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2026 - 2027\ganjil\kirim\260903\"/>
    </mc:Choice>
  </mc:AlternateContent>
  <xr:revisionPtr revIDLastSave="0" documentId="13_ncr:1_{F39270DB-FEEC-4126-A47D-485E82C7536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JADWAL PELAJARAN 26-27" sheetId="7" r:id="rId1"/>
  </sheets>
  <definedNames>
    <definedName name="_xlnm.Print_Area" localSheetId="0">'JADWAL PELAJARAN 26-27'!$B$1:$AI$78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70" i="7" l="1"/>
  <c r="AK69" i="7"/>
  <c r="AM3" i="7"/>
  <c r="AL4" i="7"/>
  <c r="AK28" i="7" l="1"/>
  <c r="AN28" i="7" s="1"/>
  <c r="AK27" i="7"/>
  <c r="AN27" i="7" s="1"/>
  <c r="AK68" i="7" l="1"/>
  <c r="AK67" i="7"/>
  <c r="AK66" i="7"/>
  <c r="AK65" i="7"/>
  <c r="AK64" i="7"/>
  <c r="AK63" i="7"/>
  <c r="AK62" i="7"/>
  <c r="AK61" i="7"/>
  <c r="AK60" i="7"/>
  <c r="AK59" i="7"/>
  <c r="AK58" i="7"/>
  <c r="AK57" i="7"/>
  <c r="AK56" i="7"/>
  <c r="AK55" i="7"/>
  <c r="AK54" i="7"/>
  <c r="AK53" i="7"/>
  <c r="AK52" i="7"/>
  <c r="AK51" i="7"/>
  <c r="AK50" i="7"/>
  <c r="AK49" i="7"/>
  <c r="AK48" i="7"/>
  <c r="AK47" i="7"/>
  <c r="AK46" i="7"/>
  <c r="AK45" i="7"/>
  <c r="AK44" i="7"/>
  <c r="AK43" i="7"/>
  <c r="AK42" i="7"/>
  <c r="AK41" i="7"/>
  <c r="AK40" i="7"/>
  <c r="AK39" i="7"/>
  <c r="AK38" i="7"/>
  <c r="AK37" i="7"/>
  <c r="AK36" i="7"/>
  <c r="AK35" i="7"/>
  <c r="AK34" i="7"/>
  <c r="AK33" i="7"/>
  <c r="AK32" i="7"/>
  <c r="AK31" i="7"/>
  <c r="AK30" i="7"/>
  <c r="AK29" i="7"/>
  <c r="AK26" i="7"/>
  <c r="AK25" i="7"/>
  <c r="AK24" i="7"/>
  <c r="AK23" i="7"/>
  <c r="AK22" i="7"/>
  <c r="AK21" i="7"/>
  <c r="AK20" i="7"/>
  <c r="AK19" i="7"/>
  <c r="AK18" i="7"/>
  <c r="AK17" i="7"/>
  <c r="AK8" i="7"/>
  <c r="AK9" i="7"/>
  <c r="AK10" i="7"/>
  <c r="AK11" i="7"/>
  <c r="AK12" i="7"/>
  <c r="AK13" i="7"/>
  <c r="AK14" i="7"/>
  <c r="AK15" i="7"/>
  <c r="AK16" i="7"/>
  <c r="AN72" i="7" l="1"/>
  <c r="AN71" i="7" l="1"/>
  <c r="AN70" i="7" l="1"/>
  <c r="AN69" i="7"/>
  <c r="AN68" i="7"/>
  <c r="AN67" i="7"/>
  <c r="AN66" i="7"/>
  <c r="AN65" i="7"/>
  <c r="AN64" i="7"/>
  <c r="AN63" i="7"/>
  <c r="AN62" i="7"/>
  <c r="AN61" i="7"/>
  <c r="AN60" i="7"/>
  <c r="AN59" i="7" l="1"/>
  <c r="AN58" i="7" l="1"/>
  <c r="AN57" i="7"/>
  <c r="AN56" i="7"/>
  <c r="AN55" i="7"/>
  <c r="AN54" i="7"/>
  <c r="AN53" i="7"/>
  <c r="AN48" i="7" l="1"/>
  <c r="AN38" i="7"/>
  <c r="AN24" i="7" l="1"/>
  <c r="AN25" i="7"/>
  <c r="AN26" i="7"/>
  <c r="AN16" i="7"/>
  <c r="AN14" i="7"/>
  <c r="AN15" i="7"/>
  <c r="AN8" i="7" l="1"/>
  <c r="AN9" i="7"/>
  <c r="AN10" i="7"/>
  <c r="AN11" i="7"/>
  <c r="AN12" i="7"/>
  <c r="AN13" i="7"/>
  <c r="AN17" i="7"/>
  <c r="AN18" i="7"/>
  <c r="AN19" i="7"/>
  <c r="AN20" i="7"/>
  <c r="AN21" i="7"/>
  <c r="AN22" i="7"/>
  <c r="AN23" i="7"/>
  <c r="AN29" i="7"/>
  <c r="AN30" i="7"/>
  <c r="AN31" i="7"/>
  <c r="AN32" i="7"/>
  <c r="AN33" i="7"/>
  <c r="AN34" i="7"/>
  <c r="AN35" i="7"/>
  <c r="AN36" i="7"/>
  <c r="AN37" i="7"/>
  <c r="AN39" i="7"/>
  <c r="AN40" i="7"/>
  <c r="AN41" i="7"/>
  <c r="AN42" i="7"/>
  <c r="AN43" i="7"/>
  <c r="AN44" i="7"/>
  <c r="AN45" i="7"/>
  <c r="AN46" i="7"/>
  <c r="AN47" i="7"/>
  <c r="AN49" i="7"/>
  <c r="AN50" i="7"/>
  <c r="AN51" i="7"/>
  <c r="AN52" i="7"/>
  <c r="AK7" i="7"/>
  <c r="AN7" i="7" s="1"/>
</calcChain>
</file>

<file path=xl/sharedStrings.xml><?xml version="1.0" encoding="utf-8"?>
<sst xmlns="http://schemas.openxmlformats.org/spreadsheetml/2006/main" count="282" uniqueCount="184">
  <si>
    <t>S</t>
  </si>
  <si>
    <t>A</t>
  </si>
  <si>
    <t>T</t>
  </si>
  <si>
    <t>U</t>
  </si>
  <si>
    <t>R</t>
  </si>
  <si>
    <t>D</t>
  </si>
  <si>
    <t>N</t>
  </si>
  <si>
    <t>M</t>
  </si>
  <si>
    <t>E</t>
  </si>
  <si>
    <t>H</t>
  </si>
  <si>
    <t>Drs. FAHMI AMRULLAH</t>
  </si>
  <si>
    <t xml:space="preserve">Kepala Sekolah </t>
  </si>
  <si>
    <t>Jam ke</t>
  </si>
  <si>
    <t>DURASI</t>
  </si>
  <si>
    <t>KELAS X</t>
  </si>
  <si>
    <t>KELAS XI</t>
  </si>
  <si>
    <t>KELAS XII</t>
  </si>
  <si>
    <t>KODE</t>
  </si>
  <si>
    <t>NAMA GURU</t>
  </si>
  <si>
    <t>MATA PELAJARAN</t>
  </si>
  <si>
    <t>Drs. H. DJOKO PITONO</t>
  </si>
  <si>
    <t>Drs. ISMAIL</t>
  </si>
  <si>
    <t>Drs. H.M. ROKHANUDIN</t>
  </si>
  <si>
    <t>SHOLAT DHUHA</t>
  </si>
  <si>
    <t>B</t>
  </si>
  <si>
    <t>I</t>
  </si>
  <si>
    <t>L</t>
  </si>
  <si>
    <t>K</t>
  </si>
  <si>
    <t>Tembusan : Mudir Pendidikan PP Tebuireng</t>
  </si>
  <si>
    <t>HARI</t>
  </si>
  <si>
    <t>X1</t>
  </si>
  <si>
    <t>X2</t>
  </si>
  <si>
    <t>X3</t>
  </si>
  <si>
    <t>X4</t>
  </si>
  <si>
    <t>X5</t>
  </si>
  <si>
    <t>X6</t>
  </si>
  <si>
    <t>X7</t>
  </si>
  <si>
    <t>X8</t>
  </si>
  <si>
    <t>10.20 - 11.00</t>
  </si>
  <si>
    <t>11.00 - 11.40</t>
  </si>
  <si>
    <t>11.40 - 12.20</t>
  </si>
  <si>
    <t>12.20 - 13.00</t>
  </si>
  <si>
    <t>ISTIRAHAT</t>
  </si>
  <si>
    <t>06.45 - 07.20</t>
  </si>
  <si>
    <t>07.20 - 08.00</t>
  </si>
  <si>
    <t>08.00 - 08.40</t>
  </si>
  <si>
    <t>08.40 - 09.20</t>
  </si>
  <si>
    <t>09.20 - 10.00</t>
  </si>
  <si>
    <t>10.00 - 10.20</t>
  </si>
  <si>
    <t>MUKHAMMAD HAFIDZ ABIZAR, M.H.</t>
  </si>
  <si>
    <t>AHAD</t>
  </si>
  <si>
    <t xml:space="preserve">HARI KESANGGUPAN </t>
  </si>
  <si>
    <t xml:space="preserve">SENIN </t>
  </si>
  <si>
    <t xml:space="preserve">SELASA </t>
  </si>
  <si>
    <t xml:space="preserve">SABTU </t>
  </si>
  <si>
    <t xml:space="preserve">RABU </t>
  </si>
  <si>
    <t xml:space="preserve">KAMIS </t>
  </si>
  <si>
    <t>LAILLATUL FAIZAH, S.Sos.</t>
  </si>
  <si>
    <t>Matematika</t>
  </si>
  <si>
    <t>Biologi</t>
  </si>
  <si>
    <t>Geografi</t>
  </si>
  <si>
    <t>Penjaskes</t>
  </si>
  <si>
    <t>Bahasa Inggris</t>
  </si>
  <si>
    <t>Akhlaq</t>
  </si>
  <si>
    <t>Ekonomi</t>
  </si>
  <si>
    <t>Kimia</t>
  </si>
  <si>
    <t>BK</t>
  </si>
  <si>
    <t>Fiqih</t>
  </si>
  <si>
    <t>XI1</t>
  </si>
  <si>
    <t>XI2</t>
  </si>
  <si>
    <t>XI3</t>
  </si>
  <si>
    <t>XI4</t>
  </si>
  <si>
    <t>XI5</t>
  </si>
  <si>
    <t>XI6</t>
  </si>
  <si>
    <t>XI7</t>
  </si>
  <si>
    <t>XI8</t>
  </si>
  <si>
    <t>XII1</t>
  </si>
  <si>
    <t>XII2</t>
  </si>
  <si>
    <t>XII3</t>
  </si>
  <si>
    <t>XII4</t>
  </si>
  <si>
    <t>XII5</t>
  </si>
  <si>
    <t>XII6</t>
  </si>
  <si>
    <t>XII7</t>
  </si>
  <si>
    <t>XII8</t>
  </si>
  <si>
    <t>ket :</t>
  </si>
  <si>
    <t>07.20 - 07.50</t>
  </si>
  <si>
    <t>07.50 - 08.20</t>
  </si>
  <si>
    <t>08.20 - 08.50</t>
  </si>
  <si>
    <t>08.50 - 09.20</t>
  </si>
  <si>
    <t>10.00 - 10.30</t>
  </si>
  <si>
    <t>10.30 - 11.00</t>
  </si>
  <si>
    <t>11.00 - 11.30</t>
  </si>
  <si>
    <t>11.30 - 12.00</t>
  </si>
  <si>
    <t>12.00 - 12.30</t>
  </si>
  <si>
    <t>12.30 - 13.00</t>
  </si>
  <si>
    <t>EKSTRAKULIKULER PRAMUKA</t>
  </si>
  <si>
    <t>Jam Pendampingan Wali Kelas</t>
  </si>
  <si>
    <t>NI'MATURROHMAH, M.Pd.</t>
  </si>
  <si>
    <t>XI9</t>
  </si>
  <si>
    <t>ARIFIN ALI PURWADI, S.Si, M.MPd.</t>
  </si>
  <si>
    <t>ULFAH CHURIWIYAH, M.Pd.</t>
  </si>
  <si>
    <t>DEFFI APRILIA SUSANTI, S.Pd.</t>
  </si>
  <si>
    <t>H. SUWARSO IDRIS, S.Pd.</t>
  </si>
  <si>
    <t>SRI UTAMI, S.Pd.</t>
  </si>
  <si>
    <t>SITI NURJANAH, S.Pd.</t>
  </si>
  <si>
    <t>H. NAJIB, S.Ag.</t>
  </si>
  <si>
    <t>PARTINI, S.Pd.</t>
  </si>
  <si>
    <t>CAHYONISASI, S.Pd.</t>
  </si>
  <si>
    <t>H. FAUZAN KAMAL, S.Ag.</t>
  </si>
  <si>
    <t>SUJATI, S.Pd.</t>
  </si>
  <si>
    <t>AGUS MAULANA, S.Ag., S.Pd.I.</t>
  </si>
  <si>
    <t>DWI INDAH LESTARI, S.Pd.</t>
  </si>
  <si>
    <t>ABDUL MALIK, S.Ag., S.Pd.I.</t>
  </si>
  <si>
    <t>EVA DESSY PINASTI, S.Si.</t>
  </si>
  <si>
    <t>IDA CHUSNUL KHOTIMAH, S.Pd.</t>
  </si>
  <si>
    <t>IMAMUDIN, S.Pd.</t>
  </si>
  <si>
    <t>ODIK TUGI H., S.Pd.</t>
  </si>
  <si>
    <t>YANUVARI MUTIK, M.Psi.</t>
  </si>
  <si>
    <t>MUSTAKIM MOHAMAD, S.Sos.I.</t>
  </si>
  <si>
    <t>IKA YUNITA INDRAWATI, M.Pd.</t>
  </si>
  <si>
    <t>HUSNUL KHOTIMAH, S.Si.</t>
  </si>
  <si>
    <t>M. SYAM'UN ROSYADI, M.Hi.</t>
  </si>
  <si>
    <t>YULI KHARISMA DZATI, S.Pd.</t>
  </si>
  <si>
    <t>MUHAMMAD ANSORI, M.Pd.I.</t>
  </si>
  <si>
    <t>ACHMAD FAUZI, M.Si.</t>
  </si>
  <si>
    <t>DWI MULYANI, S.Pd.</t>
  </si>
  <si>
    <t>NAILUL HIKMAH, M.Pd.</t>
  </si>
  <si>
    <t>M. UMAR ABDUL AZIZ, S.Ag.</t>
  </si>
  <si>
    <t>BUSROL ADHIM, S.Ag.</t>
  </si>
  <si>
    <t>NURUL QOMARIYAH SAYUTI, S.Si.</t>
  </si>
  <si>
    <t>WAHYU HIDAYATI, S.Pd.</t>
  </si>
  <si>
    <t>ZUNITA LISDIANA, S.Pd.</t>
  </si>
  <si>
    <t>YOGI MAULANA FERDIANSYAH, S.Pd.</t>
  </si>
  <si>
    <t>MIRZA NURUL LAILI, S.Pd.</t>
  </si>
  <si>
    <t>MOCH. LUTHFI FAZRI, S.A., S.H.</t>
  </si>
  <si>
    <t>NIDHOM ALI HAZMI, S.Sy.</t>
  </si>
  <si>
    <t>ACH. QONI' ALI CHAFID, S.Pd.</t>
  </si>
  <si>
    <t>KHOIROTUNNISA', S.Pd.</t>
  </si>
  <si>
    <t>FATIMAH FITRIANA, S.Sos.</t>
  </si>
  <si>
    <t>LIHAM HASAN AL MUJAB, S.H.</t>
  </si>
  <si>
    <t>MUHAMAD FAHRUDIN, S.Ag.</t>
  </si>
  <si>
    <t>MUHAMMAD YAZID Z.M., M.Pd.</t>
  </si>
  <si>
    <t>RAHMADANI TRI HANDAYANI, S.Pd.</t>
  </si>
  <si>
    <t>BILLY YUSSAQ DESAOSA, S.Pd.</t>
  </si>
  <si>
    <t>NOVITA JUNI ANDRIYANI, S.Psi.</t>
  </si>
  <si>
    <t>RIFQI HAWARI, M.Pd.</t>
  </si>
  <si>
    <t>RONA PUSVITA, S.Pd.</t>
  </si>
  <si>
    <t>EVITRI SUTANTI, S.Si.</t>
  </si>
  <si>
    <t>MUHAMAD KEMAL RIZA, S.M.</t>
  </si>
  <si>
    <t>LAZIMAH NUR AINI P., S.Pd.</t>
  </si>
  <si>
    <t>THOHA BISYRI, S.H.</t>
  </si>
  <si>
    <t>PRATIWI INTAN FITRIYANA, S.Pd.</t>
  </si>
  <si>
    <t>RIZKI FIRMANSYAH, S.Pd.</t>
  </si>
  <si>
    <t>LILIK NURIYATI, S.Si.</t>
  </si>
  <si>
    <t>ABDAN FILARDI</t>
  </si>
  <si>
    <t>MOH. FIKRI ARDIANTO, S.Pd.</t>
  </si>
  <si>
    <t>Bahasa Indonesia</t>
  </si>
  <si>
    <t>Pend. Kewarganegaraan</t>
  </si>
  <si>
    <t>Seni Budaya</t>
  </si>
  <si>
    <t>Nahwu Shorof</t>
  </si>
  <si>
    <t>Fisika</t>
  </si>
  <si>
    <t>PAI / Fiqih</t>
  </si>
  <si>
    <t>Bahasa Inggris / Bhs Inggris TL</t>
  </si>
  <si>
    <t>PAI / Aswaja</t>
  </si>
  <si>
    <t>Geografi / Antropologi</t>
  </si>
  <si>
    <t>Matematika TL</t>
  </si>
  <si>
    <t>Fiqih / Bahasa Arab</t>
  </si>
  <si>
    <t>Biologi / Informatika</t>
  </si>
  <si>
    <t>Ekonomi/ PKWU/ Antropologi</t>
  </si>
  <si>
    <t>Bahasa Arab / Nahwu Shorof</t>
  </si>
  <si>
    <t>Sejarah /  Antropologi</t>
  </si>
  <si>
    <t>PAI / Akhlaq</t>
  </si>
  <si>
    <t>Sosiologi /  Antropologi</t>
  </si>
  <si>
    <t>Akhlaq/ Nahwu Shorof</t>
  </si>
  <si>
    <t>PAI</t>
  </si>
  <si>
    <t>Al Qur an / Aswaja</t>
  </si>
  <si>
    <t>Aswaja</t>
  </si>
  <si>
    <t>Seni Budaya / Informatika</t>
  </si>
  <si>
    <t>Akhlaq / Fiqih</t>
  </si>
  <si>
    <t>Al-Quran</t>
  </si>
  <si>
    <t>KOKULIKULER RISET</t>
  </si>
  <si>
    <t>BIMBINGAN BELAJAR 
TES KEMAMPUAN AKADEMIK</t>
  </si>
  <si>
    <t>Jombang, 18 Juli 2026</t>
  </si>
  <si>
    <t>Jadwal berlaku mulai hari AHAD 19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</si>
</sst>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indexed="62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9"/>
      <color indexed="17"/>
      <name val="Times New Roman"/>
      <family val="1"/>
    </font>
    <font>
      <b/>
      <sz val="9"/>
      <color theme="1"/>
      <name val="Arial Narrow"/>
      <family val="2"/>
    </font>
    <font>
      <b/>
      <sz val="9"/>
      <name val="Arial Narrow"/>
      <family val="2"/>
    </font>
    <font>
      <b/>
      <sz val="14"/>
      <name val="Arial Narrow"/>
      <family val="2"/>
    </font>
    <font>
      <sz val="11"/>
      <color theme="1"/>
      <name val="Calibri"/>
      <family val="2"/>
      <scheme val="minor"/>
    </font>
    <font>
      <b/>
      <sz val="18"/>
      <name val="Arial Narrow"/>
      <family val="2"/>
    </font>
    <font>
      <b/>
      <sz val="10"/>
      <name val="Arial Narrow"/>
      <family val="2"/>
    </font>
    <font>
      <b/>
      <sz val="10"/>
      <color theme="0"/>
      <name val="Arial Narrow"/>
      <family val="2"/>
    </font>
    <font>
      <b/>
      <sz val="10"/>
      <color rgb="FFFF0000"/>
      <name val="Arial Narrow"/>
      <family val="2"/>
    </font>
    <font>
      <b/>
      <sz val="8"/>
      <name val="Arial Narrow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2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13" fillId="4" borderId="2" xfId="0" applyFont="1" applyFill="1" applyBorder="1" applyAlignment="1" applyProtection="1">
      <alignment horizontal="center" vertical="center" wrapText="1"/>
      <protection locked="0"/>
    </xf>
    <xf numFmtId="0" fontId="13" fillId="4" borderId="4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/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4" borderId="2" xfId="0" applyFont="1" applyFill="1" applyBorder="1" applyAlignment="1" applyProtection="1">
      <alignment horizontal="center" vertical="center" wrapText="1"/>
      <protection locked="0"/>
    </xf>
    <xf numFmtId="0" fontId="15" fillId="4" borderId="4" xfId="0" applyFont="1" applyFill="1" applyBorder="1" applyAlignment="1" applyProtection="1">
      <alignment horizontal="center" vertical="center" wrapText="1"/>
      <protection locked="0"/>
    </xf>
    <xf numFmtId="0" fontId="15" fillId="4" borderId="5" xfId="0" applyFont="1" applyFill="1" applyBorder="1" applyAlignment="1" applyProtection="1">
      <alignment horizontal="center" vertical="center" wrapText="1"/>
      <protection locked="0"/>
    </xf>
    <xf numFmtId="0" fontId="15" fillId="4" borderId="10" xfId="0" applyFont="1" applyFill="1" applyBorder="1" applyAlignment="1" applyProtection="1">
      <alignment horizontal="center" vertical="center" wrapText="1"/>
      <protection locked="0"/>
    </xf>
    <xf numFmtId="0" fontId="15" fillId="4" borderId="14" xfId="0" applyFont="1" applyFill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>
      <alignment horizontal="center" vertical="center"/>
    </xf>
    <xf numFmtId="0" fontId="15" fillId="4" borderId="12" xfId="0" applyFont="1" applyFill="1" applyBorder="1" applyAlignment="1" applyProtection="1">
      <alignment horizontal="center" vertical="center" wrapText="1"/>
      <protection locked="0"/>
    </xf>
    <xf numFmtId="0" fontId="16" fillId="4" borderId="2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9" fillId="9" borderId="0" xfId="0" applyFont="1" applyFill="1"/>
    <xf numFmtId="0" fontId="13" fillId="9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6" fillId="2" borderId="6" xfId="0" applyFont="1" applyFill="1" applyBorder="1" applyAlignment="1">
      <alignment vertical="center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3" xfId="0" applyFont="1" applyFill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4" borderId="5" xfId="0" applyFont="1" applyFill="1" applyBorder="1" applyAlignment="1" applyProtection="1">
      <alignment horizontal="center" vertical="center" wrapText="1"/>
      <protection locked="0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3" fillId="6" borderId="3" xfId="0" applyFont="1" applyFill="1" applyBorder="1" applyAlignment="1" applyProtection="1">
      <alignment horizontal="center" vertical="center" wrapText="1"/>
      <protection locked="0"/>
    </xf>
    <xf numFmtId="0" fontId="13" fillId="6" borderId="6" xfId="0" applyFont="1" applyFill="1" applyBorder="1" applyAlignment="1" applyProtection="1">
      <alignment horizontal="center" vertical="center" wrapText="1"/>
      <protection locked="0"/>
    </xf>
    <xf numFmtId="0" fontId="13" fillId="6" borderId="14" xfId="0" applyFont="1" applyFill="1" applyBorder="1" applyAlignment="1" applyProtection="1">
      <alignment horizontal="center" vertical="center" wrapText="1"/>
      <protection locked="0"/>
    </xf>
    <xf numFmtId="0" fontId="14" fillId="7" borderId="3" xfId="0" applyFont="1" applyFill="1" applyBorder="1" applyAlignment="1" applyProtection="1">
      <alignment horizontal="center" vertical="center" wrapText="1"/>
      <protection locked="0"/>
    </xf>
    <xf numFmtId="0" fontId="14" fillId="7" borderId="6" xfId="0" applyFont="1" applyFill="1" applyBorder="1" applyAlignment="1" applyProtection="1">
      <alignment horizontal="center" vertical="center" wrapText="1"/>
      <protection locked="0"/>
    </xf>
    <xf numFmtId="0" fontId="14" fillId="7" borderId="12" xfId="0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0" fontId="13" fillId="2" borderId="8" xfId="0" applyFont="1" applyFill="1" applyBorder="1" applyAlignment="1" applyProtection="1">
      <alignment horizontal="center" vertical="center" wrapText="1"/>
      <protection locked="0"/>
    </xf>
    <xf numFmtId="0" fontId="13" fillId="2" borderId="13" xfId="0" applyFont="1" applyFill="1" applyBorder="1" applyAlignment="1" applyProtection="1">
      <alignment horizontal="center" vertical="center" wrapText="1"/>
      <protection locked="0"/>
    </xf>
    <xf numFmtId="0" fontId="13" fillId="2" borderId="9" xfId="0" applyFont="1" applyFill="1" applyBorder="1" applyAlignment="1" applyProtection="1">
      <alignment horizontal="center" vertical="center" wrapText="1"/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0" fontId="13" fillId="2" borderId="14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4" fillId="7" borderId="8" xfId="0" applyFont="1" applyFill="1" applyBorder="1" applyAlignment="1" applyProtection="1">
      <alignment horizontal="center" vertical="center" wrapText="1"/>
      <protection locked="0"/>
    </xf>
    <xf numFmtId="0" fontId="14" fillId="7" borderId="7" xfId="0" applyFont="1" applyFill="1" applyBorder="1" applyAlignment="1" applyProtection="1">
      <alignment horizontal="center" vertical="center" wrapText="1"/>
      <protection locked="0"/>
    </xf>
    <xf numFmtId="0" fontId="13" fillId="6" borderId="9" xfId="0" applyFont="1" applyFill="1" applyBorder="1" applyAlignment="1" applyProtection="1">
      <alignment horizontal="center" vertical="center" wrapText="1"/>
      <protection locked="0"/>
    </xf>
    <xf numFmtId="0" fontId="13" fillId="6" borderId="8" xfId="0" applyFont="1" applyFill="1" applyBorder="1" applyAlignment="1" applyProtection="1">
      <alignment horizontal="center" vertical="center" wrapText="1"/>
      <protection locked="0"/>
    </xf>
    <xf numFmtId="0" fontId="14" fillId="7" borderId="9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 2 2" xfId="1" xr:uid="{00000000-0005-0000-0000-000001000000}"/>
  </cellStyles>
  <dxfs count="256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133350</xdr:rowOff>
    </xdr:from>
    <xdr:to>
      <xdr:col>34</xdr:col>
      <xdr:colOff>2105526</xdr:colOff>
      <xdr:row>3</xdr:row>
      <xdr:rowOff>219075</xdr:rowOff>
    </xdr:to>
    <xdr:sp macro="" textlink="">
      <xdr:nvSpPr>
        <xdr:cNvPr id="2" name="Text Box 29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159919" y="133350"/>
          <a:ext cx="11440528" cy="837699"/>
        </a:xfrm>
        <a:prstGeom prst="rect">
          <a:avLst/>
        </a:prstGeom>
        <a:solidFill>
          <a:srgbClr val="FFFFFF"/>
        </a:solidFill>
        <a:ln w="57150" cmpd="thinThick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358140</xdr:colOff>
      <xdr:row>0</xdr:row>
      <xdr:rowOff>133350</xdr:rowOff>
    </xdr:from>
    <xdr:to>
      <xdr:col>15</xdr:col>
      <xdr:colOff>19063</xdr:colOff>
      <xdr:row>3</xdr:row>
      <xdr:rowOff>59062</xdr:rowOff>
    </xdr:to>
    <xdr:sp macro="" textlink="">
      <xdr:nvSpPr>
        <xdr:cNvPr id="3" name="Text Box 29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129665" y="133350"/>
          <a:ext cx="2718448" cy="668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45720" rIns="54864" bIns="0" anchor="t" upright="1"/>
        <a:lstStyle/>
        <a:p>
          <a:pPr algn="ctr" rtl="1">
            <a:defRPr sz="1000"/>
          </a:pPr>
          <a:r>
            <a:rPr lang="en-US" sz="1400" b="1" i="0" strike="noStrike">
              <a:solidFill>
                <a:sysClr val="windowText" lastClr="000000"/>
              </a:solidFill>
              <a:latin typeface="Algerian"/>
            </a:rPr>
            <a:t>SMA A. WAHID HASYIM</a:t>
          </a:r>
        </a:p>
        <a:p>
          <a:pPr algn="ctr" rtl="1">
            <a:defRPr sz="1000"/>
          </a:pPr>
          <a:r>
            <a:rPr lang="en-US" sz="1400" b="1" i="0" strike="noStrike">
              <a:solidFill>
                <a:sysClr val="windowText" lastClr="000000"/>
              </a:solidFill>
              <a:latin typeface="Algerian"/>
            </a:rPr>
            <a:t>TEBUIRENG JOMBANG</a:t>
          </a:r>
        </a:p>
      </xdr:txBody>
    </xdr:sp>
    <xdr:clientData/>
  </xdr:twoCellAnchor>
  <xdr:twoCellAnchor>
    <xdr:from>
      <xdr:col>15</xdr:col>
      <xdr:colOff>40004</xdr:colOff>
      <xdr:row>1</xdr:row>
      <xdr:rowOff>28575</xdr:rowOff>
    </xdr:from>
    <xdr:to>
      <xdr:col>34</xdr:col>
      <xdr:colOff>44823</xdr:colOff>
      <xdr:row>3</xdr:row>
      <xdr:rowOff>66675</xdr:rowOff>
    </xdr:to>
    <xdr:sp macro="" textlink="">
      <xdr:nvSpPr>
        <xdr:cNvPr id="4" name="Text Box 29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3939651" y="275104"/>
          <a:ext cx="5943937" cy="531159"/>
        </a:xfrm>
        <a:prstGeom prst="rect">
          <a:avLst/>
        </a:prstGeom>
        <a:solidFill>
          <a:schemeClr val="accent5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1">
            <a:defRPr sz="1000"/>
          </a:pPr>
          <a:r>
            <a:rPr lang="en-US" sz="2400" b="1" i="0" strike="noStrike">
              <a:solidFill>
                <a:sysClr val="windowText" lastClr="000000"/>
              </a:solidFill>
              <a:latin typeface="Century Gothic" pitchFamily="34" charset="0"/>
              <a:cs typeface="Arial"/>
            </a:rPr>
            <a:t>JADWAL PELAJARAN</a:t>
          </a:r>
        </a:p>
      </xdr:txBody>
    </xdr:sp>
    <xdr:clientData/>
  </xdr:twoCellAnchor>
  <xdr:twoCellAnchor>
    <xdr:from>
      <xdr:col>3</xdr:col>
      <xdr:colOff>752475</xdr:colOff>
      <xdr:row>2</xdr:row>
      <xdr:rowOff>57149</xdr:rowOff>
    </xdr:from>
    <xdr:to>
      <xdr:col>13</xdr:col>
      <xdr:colOff>28575</xdr:colOff>
      <xdr:row>4</xdr:row>
      <xdr:rowOff>85725</xdr:rowOff>
    </xdr:to>
    <xdr:sp macro="" textlink="">
      <xdr:nvSpPr>
        <xdr:cNvPr id="5" name="Text Box 29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514475" y="552449"/>
          <a:ext cx="1800225" cy="5238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45720" rIns="54864" bIns="0" anchor="t" upright="1"/>
        <a:lstStyle/>
        <a:p>
          <a:pPr algn="ctr" rtl="1">
            <a:defRPr sz="1000"/>
          </a:pPr>
          <a:r>
            <a:rPr lang="en-US" sz="1800" b="1" i="0" strike="noStrike">
              <a:solidFill>
                <a:sysClr val="windowText" lastClr="000000"/>
              </a:solidFill>
              <a:latin typeface="Berlin Sans FB"/>
            </a:rPr>
            <a:t>2026</a:t>
          </a:r>
          <a:r>
            <a:rPr lang="en-US" sz="1800" b="1" i="0" strike="noStrike" baseline="0">
              <a:solidFill>
                <a:sysClr val="windowText" lastClr="000000"/>
              </a:solidFill>
              <a:latin typeface="Berlin Sans FB"/>
            </a:rPr>
            <a:t> - 2027</a:t>
          </a:r>
          <a:endParaRPr lang="en-US" sz="1800" b="1" i="0" strike="noStrike">
            <a:solidFill>
              <a:sysClr val="windowText" lastClr="000000"/>
            </a:solidFill>
            <a:latin typeface="Berlin Sans FB"/>
          </a:endParaRPr>
        </a:p>
        <a:p>
          <a:pPr algn="ctr" rtl="1">
            <a:defRPr sz="1000"/>
          </a:pPr>
          <a:endParaRPr lang="en-US" sz="1800" b="1" i="0" strike="noStrike">
            <a:solidFill>
              <a:srgbClr val="000000"/>
            </a:solidFill>
            <a:latin typeface="Berlin Sans FB"/>
          </a:endParaRPr>
        </a:p>
      </xdr:txBody>
    </xdr:sp>
    <xdr:clientData/>
  </xdr:twoCellAnchor>
  <xdr:twoCellAnchor>
    <xdr:from>
      <xdr:col>1</xdr:col>
      <xdr:colOff>304800</xdr:colOff>
      <xdr:row>0</xdr:row>
      <xdr:rowOff>238125</xdr:rowOff>
    </xdr:from>
    <xdr:to>
      <xdr:col>3</xdr:col>
      <xdr:colOff>295275</xdr:colOff>
      <xdr:row>3</xdr:row>
      <xdr:rowOff>171450</xdr:rowOff>
    </xdr:to>
    <xdr:pic>
      <xdr:nvPicPr>
        <xdr:cNvPr id="6" name="Picture 5" descr="lamba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38125"/>
          <a:ext cx="6096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134472</xdr:colOff>
      <xdr:row>1</xdr:row>
      <xdr:rowOff>24093</xdr:rowOff>
    </xdr:from>
    <xdr:to>
      <xdr:col>34</xdr:col>
      <xdr:colOff>1815354</xdr:colOff>
      <xdr:row>3</xdr:row>
      <xdr:rowOff>62193</xdr:rowOff>
    </xdr:to>
    <xdr:sp macro="" textlink="">
      <xdr:nvSpPr>
        <xdr:cNvPr id="9" name="Text Box 292">
          <a:extLst>
            <a:ext uri="{FF2B5EF4-FFF2-40B4-BE49-F238E27FC236}">
              <a16:creationId xmlns:a16="http://schemas.microsoft.com/office/drawing/2014/main" id="{144C8C64-A4CE-4552-BAEA-C4ABAC849026}"/>
            </a:ext>
          </a:extLst>
        </xdr:cNvPr>
        <xdr:cNvSpPr txBox="1">
          <a:spLocks noChangeArrowheads="1"/>
        </xdr:cNvSpPr>
      </xdr:nvSpPr>
      <xdr:spPr bwMode="auto">
        <a:xfrm>
          <a:off x="9973237" y="270622"/>
          <a:ext cx="1680882" cy="531159"/>
        </a:xfrm>
        <a:prstGeom prst="rect">
          <a:avLst/>
        </a:prstGeom>
        <a:solidFill>
          <a:schemeClr val="accent5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1">
            <a:defRPr sz="1000"/>
          </a:pPr>
          <a:r>
            <a:rPr lang="en-US" sz="2400" b="1" i="0" strike="noStrike">
              <a:solidFill>
                <a:sysClr val="windowText" lastClr="000000"/>
              </a:solidFill>
              <a:latin typeface="Century Gothic" pitchFamily="34" charset="0"/>
              <a:cs typeface="Arial"/>
            </a:rPr>
            <a:t>REV 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84"/>
  <sheetViews>
    <sheetView tabSelected="1" zoomScale="85" zoomScaleNormal="85" workbookViewId="0">
      <pane ySplit="6" topLeftCell="A7" activePane="bottomLeft" state="frozen"/>
      <selection pane="bottomLeft" activeCell="AL3" sqref="AL3"/>
    </sheetView>
  </sheetViews>
  <sheetFormatPr defaultRowHeight="19.5" customHeight="1" x14ac:dyDescent="0.2"/>
  <cols>
    <col min="1" max="1" width="2.28515625" style="3" customWidth="1"/>
    <col min="2" max="2" width="5.140625" style="7" customWidth="1"/>
    <col min="3" max="3" width="4.140625" style="7" customWidth="1"/>
    <col min="4" max="4" width="10" style="7" customWidth="1"/>
    <col min="5" max="12" width="3.5703125" style="27" customWidth="1"/>
    <col min="13" max="13" width="1.42578125" style="27" customWidth="1"/>
    <col min="14" max="19" width="3.5703125" style="27" customWidth="1"/>
    <col min="20" max="20" width="3.5703125" style="28" customWidth="1"/>
    <col min="21" max="22" width="3.5703125" style="27" customWidth="1"/>
    <col min="23" max="23" width="1.28515625" style="27" customWidth="1"/>
    <col min="24" max="31" width="3.5703125" style="27" customWidth="1"/>
    <col min="32" max="32" width="1.28515625" style="7" customWidth="1"/>
    <col min="33" max="33" width="4.140625" style="7" customWidth="1"/>
    <col min="34" max="35" width="29.28515625" style="7" customWidth="1"/>
    <col min="36" max="36" width="3.5703125" style="3" customWidth="1"/>
    <col min="37" max="37" width="3.85546875" style="29" bestFit="1" customWidth="1"/>
    <col min="38" max="38" width="3.7109375" style="3" customWidth="1"/>
    <col min="39" max="40" width="9.140625" style="3"/>
    <col min="41" max="41" width="9" style="3" customWidth="1"/>
    <col min="42" max="42" width="9.140625" style="3"/>
    <col min="43" max="48" width="8.85546875" style="51" customWidth="1"/>
    <col min="49" max="257" width="9.140625" style="3"/>
    <col min="258" max="258" width="2.28515625" style="3" customWidth="1"/>
    <col min="259" max="259" width="5.140625" style="3" customWidth="1"/>
    <col min="260" max="260" width="4.140625" style="3" customWidth="1"/>
    <col min="261" max="261" width="14" style="3" customWidth="1"/>
    <col min="262" max="287" width="4.28515625" style="3" customWidth="1"/>
    <col min="288" max="288" width="1.28515625" style="3" customWidth="1"/>
    <col min="289" max="289" width="4.28515625" style="3" customWidth="1"/>
    <col min="290" max="290" width="24.28515625" style="3" customWidth="1"/>
    <col min="291" max="291" width="23.42578125" style="3" customWidth="1"/>
    <col min="292" max="292" width="3.5703125" style="3" customWidth="1"/>
    <col min="293" max="294" width="3.7109375" style="3" customWidth="1"/>
    <col min="295" max="513" width="9.140625" style="3"/>
    <col min="514" max="514" width="2.28515625" style="3" customWidth="1"/>
    <col min="515" max="515" width="5.140625" style="3" customWidth="1"/>
    <col min="516" max="516" width="4.140625" style="3" customWidth="1"/>
    <col min="517" max="517" width="14" style="3" customWidth="1"/>
    <col min="518" max="543" width="4.28515625" style="3" customWidth="1"/>
    <col min="544" max="544" width="1.28515625" style="3" customWidth="1"/>
    <col min="545" max="545" width="4.28515625" style="3" customWidth="1"/>
    <col min="546" max="546" width="24.28515625" style="3" customWidth="1"/>
    <col min="547" max="547" width="23.42578125" style="3" customWidth="1"/>
    <col min="548" max="548" width="3.5703125" style="3" customWidth="1"/>
    <col min="549" max="550" width="3.7109375" style="3" customWidth="1"/>
    <col min="551" max="769" width="9.140625" style="3"/>
    <col min="770" max="770" width="2.28515625" style="3" customWidth="1"/>
    <col min="771" max="771" width="5.140625" style="3" customWidth="1"/>
    <col min="772" max="772" width="4.140625" style="3" customWidth="1"/>
    <col min="773" max="773" width="14" style="3" customWidth="1"/>
    <col min="774" max="799" width="4.28515625" style="3" customWidth="1"/>
    <col min="800" max="800" width="1.28515625" style="3" customWidth="1"/>
    <col min="801" max="801" width="4.28515625" style="3" customWidth="1"/>
    <col min="802" max="802" width="24.28515625" style="3" customWidth="1"/>
    <col min="803" max="803" width="23.42578125" style="3" customWidth="1"/>
    <col min="804" max="804" width="3.5703125" style="3" customWidth="1"/>
    <col min="805" max="806" width="3.7109375" style="3" customWidth="1"/>
    <col min="807" max="1025" width="9.140625" style="3"/>
    <col min="1026" max="1026" width="2.28515625" style="3" customWidth="1"/>
    <col min="1027" max="1027" width="5.140625" style="3" customWidth="1"/>
    <col min="1028" max="1028" width="4.140625" style="3" customWidth="1"/>
    <col min="1029" max="1029" width="14" style="3" customWidth="1"/>
    <col min="1030" max="1055" width="4.28515625" style="3" customWidth="1"/>
    <col min="1056" max="1056" width="1.28515625" style="3" customWidth="1"/>
    <col min="1057" max="1057" width="4.28515625" style="3" customWidth="1"/>
    <col min="1058" max="1058" width="24.28515625" style="3" customWidth="1"/>
    <col min="1059" max="1059" width="23.42578125" style="3" customWidth="1"/>
    <col min="1060" max="1060" width="3.5703125" style="3" customWidth="1"/>
    <col min="1061" max="1062" width="3.7109375" style="3" customWidth="1"/>
    <col min="1063" max="1281" width="9.140625" style="3"/>
    <col min="1282" max="1282" width="2.28515625" style="3" customWidth="1"/>
    <col min="1283" max="1283" width="5.140625" style="3" customWidth="1"/>
    <col min="1284" max="1284" width="4.140625" style="3" customWidth="1"/>
    <col min="1285" max="1285" width="14" style="3" customWidth="1"/>
    <col min="1286" max="1311" width="4.28515625" style="3" customWidth="1"/>
    <col min="1312" max="1312" width="1.28515625" style="3" customWidth="1"/>
    <col min="1313" max="1313" width="4.28515625" style="3" customWidth="1"/>
    <col min="1314" max="1314" width="24.28515625" style="3" customWidth="1"/>
    <col min="1315" max="1315" width="23.42578125" style="3" customWidth="1"/>
    <col min="1316" max="1316" width="3.5703125" style="3" customWidth="1"/>
    <col min="1317" max="1318" width="3.7109375" style="3" customWidth="1"/>
    <col min="1319" max="1537" width="9.140625" style="3"/>
    <col min="1538" max="1538" width="2.28515625" style="3" customWidth="1"/>
    <col min="1539" max="1539" width="5.140625" style="3" customWidth="1"/>
    <col min="1540" max="1540" width="4.140625" style="3" customWidth="1"/>
    <col min="1541" max="1541" width="14" style="3" customWidth="1"/>
    <col min="1542" max="1567" width="4.28515625" style="3" customWidth="1"/>
    <col min="1568" max="1568" width="1.28515625" style="3" customWidth="1"/>
    <col min="1569" max="1569" width="4.28515625" style="3" customWidth="1"/>
    <col min="1570" max="1570" width="24.28515625" style="3" customWidth="1"/>
    <col min="1571" max="1571" width="23.42578125" style="3" customWidth="1"/>
    <col min="1572" max="1572" width="3.5703125" style="3" customWidth="1"/>
    <col min="1573" max="1574" width="3.7109375" style="3" customWidth="1"/>
    <col min="1575" max="1793" width="9.140625" style="3"/>
    <col min="1794" max="1794" width="2.28515625" style="3" customWidth="1"/>
    <col min="1795" max="1795" width="5.140625" style="3" customWidth="1"/>
    <col min="1796" max="1796" width="4.140625" style="3" customWidth="1"/>
    <col min="1797" max="1797" width="14" style="3" customWidth="1"/>
    <col min="1798" max="1823" width="4.28515625" style="3" customWidth="1"/>
    <col min="1824" max="1824" width="1.28515625" style="3" customWidth="1"/>
    <col min="1825" max="1825" width="4.28515625" style="3" customWidth="1"/>
    <col min="1826" max="1826" width="24.28515625" style="3" customWidth="1"/>
    <col min="1827" max="1827" width="23.42578125" style="3" customWidth="1"/>
    <col min="1828" max="1828" width="3.5703125" style="3" customWidth="1"/>
    <col min="1829" max="1830" width="3.7109375" style="3" customWidth="1"/>
    <col min="1831" max="2049" width="9.140625" style="3"/>
    <col min="2050" max="2050" width="2.28515625" style="3" customWidth="1"/>
    <col min="2051" max="2051" width="5.140625" style="3" customWidth="1"/>
    <col min="2052" max="2052" width="4.140625" style="3" customWidth="1"/>
    <col min="2053" max="2053" width="14" style="3" customWidth="1"/>
    <col min="2054" max="2079" width="4.28515625" style="3" customWidth="1"/>
    <col min="2080" max="2080" width="1.28515625" style="3" customWidth="1"/>
    <col min="2081" max="2081" width="4.28515625" style="3" customWidth="1"/>
    <col min="2082" max="2082" width="24.28515625" style="3" customWidth="1"/>
    <col min="2083" max="2083" width="23.42578125" style="3" customWidth="1"/>
    <col min="2084" max="2084" width="3.5703125" style="3" customWidth="1"/>
    <col min="2085" max="2086" width="3.7109375" style="3" customWidth="1"/>
    <col min="2087" max="2305" width="9.140625" style="3"/>
    <col min="2306" max="2306" width="2.28515625" style="3" customWidth="1"/>
    <col min="2307" max="2307" width="5.140625" style="3" customWidth="1"/>
    <col min="2308" max="2308" width="4.140625" style="3" customWidth="1"/>
    <col min="2309" max="2309" width="14" style="3" customWidth="1"/>
    <col min="2310" max="2335" width="4.28515625" style="3" customWidth="1"/>
    <col min="2336" max="2336" width="1.28515625" style="3" customWidth="1"/>
    <col min="2337" max="2337" width="4.28515625" style="3" customWidth="1"/>
    <col min="2338" max="2338" width="24.28515625" style="3" customWidth="1"/>
    <col min="2339" max="2339" width="23.42578125" style="3" customWidth="1"/>
    <col min="2340" max="2340" width="3.5703125" style="3" customWidth="1"/>
    <col min="2341" max="2342" width="3.7109375" style="3" customWidth="1"/>
    <col min="2343" max="2561" width="9.140625" style="3"/>
    <col min="2562" max="2562" width="2.28515625" style="3" customWidth="1"/>
    <col min="2563" max="2563" width="5.140625" style="3" customWidth="1"/>
    <col min="2564" max="2564" width="4.140625" style="3" customWidth="1"/>
    <col min="2565" max="2565" width="14" style="3" customWidth="1"/>
    <col min="2566" max="2591" width="4.28515625" style="3" customWidth="1"/>
    <col min="2592" max="2592" width="1.28515625" style="3" customWidth="1"/>
    <col min="2593" max="2593" width="4.28515625" style="3" customWidth="1"/>
    <col min="2594" max="2594" width="24.28515625" style="3" customWidth="1"/>
    <col min="2595" max="2595" width="23.42578125" style="3" customWidth="1"/>
    <col min="2596" max="2596" width="3.5703125" style="3" customWidth="1"/>
    <col min="2597" max="2598" width="3.7109375" style="3" customWidth="1"/>
    <col min="2599" max="2817" width="9.140625" style="3"/>
    <col min="2818" max="2818" width="2.28515625" style="3" customWidth="1"/>
    <col min="2819" max="2819" width="5.140625" style="3" customWidth="1"/>
    <col min="2820" max="2820" width="4.140625" style="3" customWidth="1"/>
    <col min="2821" max="2821" width="14" style="3" customWidth="1"/>
    <col min="2822" max="2847" width="4.28515625" style="3" customWidth="1"/>
    <col min="2848" max="2848" width="1.28515625" style="3" customWidth="1"/>
    <col min="2849" max="2849" width="4.28515625" style="3" customWidth="1"/>
    <col min="2850" max="2850" width="24.28515625" style="3" customWidth="1"/>
    <col min="2851" max="2851" width="23.42578125" style="3" customWidth="1"/>
    <col min="2852" max="2852" width="3.5703125" style="3" customWidth="1"/>
    <col min="2853" max="2854" width="3.7109375" style="3" customWidth="1"/>
    <col min="2855" max="3073" width="9.140625" style="3"/>
    <col min="3074" max="3074" width="2.28515625" style="3" customWidth="1"/>
    <col min="3075" max="3075" width="5.140625" style="3" customWidth="1"/>
    <col min="3076" max="3076" width="4.140625" style="3" customWidth="1"/>
    <col min="3077" max="3077" width="14" style="3" customWidth="1"/>
    <col min="3078" max="3103" width="4.28515625" style="3" customWidth="1"/>
    <col min="3104" max="3104" width="1.28515625" style="3" customWidth="1"/>
    <col min="3105" max="3105" width="4.28515625" style="3" customWidth="1"/>
    <col min="3106" max="3106" width="24.28515625" style="3" customWidth="1"/>
    <col min="3107" max="3107" width="23.42578125" style="3" customWidth="1"/>
    <col min="3108" max="3108" width="3.5703125" style="3" customWidth="1"/>
    <col min="3109" max="3110" width="3.7109375" style="3" customWidth="1"/>
    <col min="3111" max="3329" width="9.140625" style="3"/>
    <col min="3330" max="3330" width="2.28515625" style="3" customWidth="1"/>
    <col min="3331" max="3331" width="5.140625" style="3" customWidth="1"/>
    <col min="3332" max="3332" width="4.140625" style="3" customWidth="1"/>
    <col min="3333" max="3333" width="14" style="3" customWidth="1"/>
    <col min="3334" max="3359" width="4.28515625" style="3" customWidth="1"/>
    <col min="3360" max="3360" width="1.28515625" style="3" customWidth="1"/>
    <col min="3361" max="3361" width="4.28515625" style="3" customWidth="1"/>
    <col min="3362" max="3362" width="24.28515625" style="3" customWidth="1"/>
    <col min="3363" max="3363" width="23.42578125" style="3" customWidth="1"/>
    <col min="3364" max="3364" width="3.5703125" style="3" customWidth="1"/>
    <col min="3365" max="3366" width="3.7109375" style="3" customWidth="1"/>
    <col min="3367" max="3585" width="9.140625" style="3"/>
    <col min="3586" max="3586" width="2.28515625" style="3" customWidth="1"/>
    <col min="3587" max="3587" width="5.140625" style="3" customWidth="1"/>
    <col min="3588" max="3588" width="4.140625" style="3" customWidth="1"/>
    <col min="3589" max="3589" width="14" style="3" customWidth="1"/>
    <col min="3590" max="3615" width="4.28515625" style="3" customWidth="1"/>
    <col min="3616" max="3616" width="1.28515625" style="3" customWidth="1"/>
    <col min="3617" max="3617" width="4.28515625" style="3" customWidth="1"/>
    <col min="3618" max="3618" width="24.28515625" style="3" customWidth="1"/>
    <col min="3619" max="3619" width="23.42578125" style="3" customWidth="1"/>
    <col min="3620" max="3620" width="3.5703125" style="3" customWidth="1"/>
    <col min="3621" max="3622" width="3.7109375" style="3" customWidth="1"/>
    <col min="3623" max="3841" width="9.140625" style="3"/>
    <col min="3842" max="3842" width="2.28515625" style="3" customWidth="1"/>
    <col min="3843" max="3843" width="5.140625" style="3" customWidth="1"/>
    <col min="3844" max="3844" width="4.140625" style="3" customWidth="1"/>
    <col min="3845" max="3845" width="14" style="3" customWidth="1"/>
    <col min="3846" max="3871" width="4.28515625" style="3" customWidth="1"/>
    <col min="3872" max="3872" width="1.28515625" style="3" customWidth="1"/>
    <col min="3873" max="3873" width="4.28515625" style="3" customWidth="1"/>
    <col min="3874" max="3874" width="24.28515625" style="3" customWidth="1"/>
    <col min="3875" max="3875" width="23.42578125" style="3" customWidth="1"/>
    <col min="3876" max="3876" width="3.5703125" style="3" customWidth="1"/>
    <col min="3877" max="3878" width="3.7109375" style="3" customWidth="1"/>
    <col min="3879" max="4097" width="9.140625" style="3"/>
    <col min="4098" max="4098" width="2.28515625" style="3" customWidth="1"/>
    <col min="4099" max="4099" width="5.140625" style="3" customWidth="1"/>
    <col min="4100" max="4100" width="4.140625" style="3" customWidth="1"/>
    <col min="4101" max="4101" width="14" style="3" customWidth="1"/>
    <col min="4102" max="4127" width="4.28515625" style="3" customWidth="1"/>
    <col min="4128" max="4128" width="1.28515625" style="3" customWidth="1"/>
    <col min="4129" max="4129" width="4.28515625" style="3" customWidth="1"/>
    <col min="4130" max="4130" width="24.28515625" style="3" customWidth="1"/>
    <col min="4131" max="4131" width="23.42578125" style="3" customWidth="1"/>
    <col min="4132" max="4132" width="3.5703125" style="3" customWidth="1"/>
    <col min="4133" max="4134" width="3.7109375" style="3" customWidth="1"/>
    <col min="4135" max="4353" width="9.140625" style="3"/>
    <col min="4354" max="4354" width="2.28515625" style="3" customWidth="1"/>
    <col min="4355" max="4355" width="5.140625" style="3" customWidth="1"/>
    <col min="4356" max="4356" width="4.140625" style="3" customWidth="1"/>
    <col min="4357" max="4357" width="14" style="3" customWidth="1"/>
    <col min="4358" max="4383" width="4.28515625" style="3" customWidth="1"/>
    <col min="4384" max="4384" width="1.28515625" style="3" customWidth="1"/>
    <col min="4385" max="4385" width="4.28515625" style="3" customWidth="1"/>
    <col min="4386" max="4386" width="24.28515625" style="3" customWidth="1"/>
    <col min="4387" max="4387" width="23.42578125" style="3" customWidth="1"/>
    <col min="4388" max="4388" width="3.5703125" style="3" customWidth="1"/>
    <col min="4389" max="4390" width="3.7109375" style="3" customWidth="1"/>
    <col min="4391" max="4609" width="9.140625" style="3"/>
    <col min="4610" max="4610" width="2.28515625" style="3" customWidth="1"/>
    <col min="4611" max="4611" width="5.140625" style="3" customWidth="1"/>
    <col min="4612" max="4612" width="4.140625" style="3" customWidth="1"/>
    <col min="4613" max="4613" width="14" style="3" customWidth="1"/>
    <col min="4614" max="4639" width="4.28515625" style="3" customWidth="1"/>
    <col min="4640" max="4640" width="1.28515625" style="3" customWidth="1"/>
    <col min="4641" max="4641" width="4.28515625" style="3" customWidth="1"/>
    <col min="4642" max="4642" width="24.28515625" style="3" customWidth="1"/>
    <col min="4643" max="4643" width="23.42578125" style="3" customWidth="1"/>
    <col min="4644" max="4644" width="3.5703125" style="3" customWidth="1"/>
    <col min="4645" max="4646" width="3.7109375" style="3" customWidth="1"/>
    <col min="4647" max="4865" width="9.140625" style="3"/>
    <col min="4866" max="4866" width="2.28515625" style="3" customWidth="1"/>
    <col min="4867" max="4867" width="5.140625" style="3" customWidth="1"/>
    <col min="4868" max="4868" width="4.140625" style="3" customWidth="1"/>
    <col min="4869" max="4869" width="14" style="3" customWidth="1"/>
    <col min="4870" max="4895" width="4.28515625" style="3" customWidth="1"/>
    <col min="4896" max="4896" width="1.28515625" style="3" customWidth="1"/>
    <col min="4897" max="4897" width="4.28515625" style="3" customWidth="1"/>
    <col min="4898" max="4898" width="24.28515625" style="3" customWidth="1"/>
    <col min="4899" max="4899" width="23.42578125" style="3" customWidth="1"/>
    <col min="4900" max="4900" width="3.5703125" style="3" customWidth="1"/>
    <col min="4901" max="4902" width="3.7109375" style="3" customWidth="1"/>
    <col min="4903" max="5121" width="9.140625" style="3"/>
    <col min="5122" max="5122" width="2.28515625" style="3" customWidth="1"/>
    <col min="5123" max="5123" width="5.140625" style="3" customWidth="1"/>
    <col min="5124" max="5124" width="4.140625" style="3" customWidth="1"/>
    <col min="5125" max="5125" width="14" style="3" customWidth="1"/>
    <col min="5126" max="5151" width="4.28515625" style="3" customWidth="1"/>
    <col min="5152" max="5152" width="1.28515625" style="3" customWidth="1"/>
    <col min="5153" max="5153" width="4.28515625" style="3" customWidth="1"/>
    <col min="5154" max="5154" width="24.28515625" style="3" customWidth="1"/>
    <col min="5155" max="5155" width="23.42578125" style="3" customWidth="1"/>
    <col min="5156" max="5156" width="3.5703125" style="3" customWidth="1"/>
    <col min="5157" max="5158" width="3.7109375" style="3" customWidth="1"/>
    <col min="5159" max="5377" width="9.140625" style="3"/>
    <col min="5378" max="5378" width="2.28515625" style="3" customWidth="1"/>
    <col min="5379" max="5379" width="5.140625" style="3" customWidth="1"/>
    <col min="5380" max="5380" width="4.140625" style="3" customWidth="1"/>
    <col min="5381" max="5381" width="14" style="3" customWidth="1"/>
    <col min="5382" max="5407" width="4.28515625" style="3" customWidth="1"/>
    <col min="5408" max="5408" width="1.28515625" style="3" customWidth="1"/>
    <col min="5409" max="5409" width="4.28515625" style="3" customWidth="1"/>
    <col min="5410" max="5410" width="24.28515625" style="3" customWidth="1"/>
    <col min="5411" max="5411" width="23.42578125" style="3" customWidth="1"/>
    <col min="5412" max="5412" width="3.5703125" style="3" customWidth="1"/>
    <col min="5413" max="5414" width="3.7109375" style="3" customWidth="1"/>
    <col min="5415" max="5633" width="9.140625" style="3"/>
    <col min="5634" max="5634" width="2.28515625" style="3" customWidth="1"/>
    <col min="5635" max="5635" width="5.140625" style="3" customWidth="1"/>
    <col min="5636" max="5636" width="4.140625" style="3" customWidth="1"/>
    <col min="5637" max="5637" width="14" style="3" customWidth="1"/>
    <col min="5638" max="5663" width="4.28515625" style="3" customWidth="1"/>
    <col min="5664" max="5664" width="1.28515625" style="3" customWidth="1"/>
    <col min="5665" max="5665" width="4.28515625" style="3" customWidth="1"/>
    <col min="5666" max="5666" width="24.28515625" style="3" customWidth="1"/>
    <col min="5667" max="5667" width="23.42578125" style="3" customWidth="1"/>
    <col min="5668" max="5668" width="3.5703125" style="3" customWidth="1"/>
    <col min="5669" max="5670" width="3.7109375" style="3" customWidth="1"/>
    <col min="5671" max="5889" width="9.140625" style="3"/>
    <col min="5890" max="5890" width="2.28515625" style="3" customWidth="1"/>
    <col min="5891" max="5891" width="5.140625" style="3" customWidth="1"/>
    <col min="5892" max="5892" width="4.140625" style="3" customWidth="1"/>
    <col min="5893" max="5893" width="14" style="3" customWidth="1"/>
    <col min="5894" max="5919" width="4.28515625" style="3" customWidth="1"/>
    <col min="5920" max="5920" width="1.28515625" style="3" customWidth="1"/>
    <col min="5921" max="5921" width="4.28515625" style="3" customWidth="1"/>
    <col min="5922" max="5922" width="24.28515625" style="3" customWidth="1"/>
    <col min="5923" max="5923" width="23.42578125" style="3" customWidth="1"/>
    <col min="5924" max="5924" width="3.5703125" style="3" customWidth="1"/>
    <col min="5925" max="5926" width="3.7109375" style="3" customWidth="1"/>
    <col min="5927" max="6145" width="9.140625" style="3"/>
    <col min="6146" max="6146" width="2.28515625" style="3" customWidth="1"/>
    <col min="6147" max="6147" width="5.140625" style="3" customWidth="1"/>
    <col min="6148" max="6148" width="4.140625" style="3" customWidth="1"/>
    <col min="6149" max="6149" width="14" style="3" customWidth="1"/>
    <col min="6150" max="6175" width="4.28515625" style="3" customWidth="1"/>
    <col min="6176" max="6176" width="1.28515625" style="3" customWidth="1"/>
    <col min="6177" max="6177" width="4.28515625" style="3" customWidth="1"/>
    <col min="6178" max="6178" width="24.28515625" style="3" customWidth="1"/>
    <col min="6179" max="6179" width="23.42578125" style="3" customWidth="1"/>
    <col min="6180" max="6180" width="3.5703125" style="3" customWidth="1"/>
    <col min="6181" max="6182" width="3.7109375" style="3" customWidth="1"/>
    <col min="6183" max="6401" width="9.140625" style="3"/>
    <col min="6402" max="6402" width="2.28515625" style="3" customWidth="1"/>
    <col min="6403" max="6403" width="5.140625" style="3" customWidth="1"/>
    <col min="6404" max="6404" width="4.140625" style="3" customWidth="1"/>
    <col min="6405" max="6405" width="14" style="3" customWidth="1"/>
    <col min="6406" max="6431" width="4.28515625" style="3" customWidth="1"/>
    <col min="6432" max="6432" width="1.28515625" style="3" customWidth="1"/>
    <col min="6433" max="6433" width="4.28515625" style="3" customWidth="1"/>
    <col min="6434" max="6434" width="24.28515625" style="3" customWidth="1"/>
    <col min="6435" max="6435" width="23.42578125" style="3" customWidth="1"/>
    <col min="6436" max="6436" width="3.5703125" style="3" customWidth="1"/>
    <col min="6437" max="6438" width="3.7109375" style="3" customWidth="1"/>
    <col min="6439" max="6657" width="9.140625" style="3"/>
    <col min="6658" max="6658" width="2.28515625" style="3" customWidth="1"/>
    <col min="6659" max="6659" width="5.140625" style="3" customWidth="1"/>
    <col min="6660" max="6660" width="4.140625" style="3" customWidth="1"/>
    <col min="6661" max="6661" width="14" style="3" customWidth="1"/>
    <col min="6662" max="6687" width="4.28515625" style="3" customWidth="1"/>
    <col min="6688" max="6688" width="1.28515625" style="3" customWidth="1"/>
    <col min="6689" max="6689" width="4.28515625" style="3" customWidth="1"/>
    <col min="6690" max="6690" width="24.28515625" style="3" customWidth="1"/>
    <col min="6691" max="6691" width="23.42578125" style="3" customWidth="1"/>
    <col min="6692" max="6692" width="3.5703125" style="3" customWidth="1"/>
    <col min="6693" max="6694" width="3.7109375" style="3" customWidth="1"/>
    <col min="6695" max="6913" width="9.140625" style="3"/>
    <col min="6914" max="6914" width="2.28515625" style="3" customWidth="1"/>
    <col min="6915" max="6915" width="5.140625" style="3" customWidth="1"/>
    <col min="6916" max="6916" width="4.140625" style="3" customWidth="1"/>
    <col min="6917" max="6917" width="14" style="3" customWidth="1"/>
    <col min="6918" max="6943" width="4.28515625" style="3" customWidth="1"/>
    <col min="6944" max="6944" width="1.28515625" style="3" customWidth="1"/>
    <col min="6945" max="6945" width="4.28515625" style="3" customWidth="1"/>
    <col min="6946" max="6946" width="24.28515625" style="3" customWidth="1"/>
    <col min="6947" max="6947" width="23.42578125" style="3" customWidth="1"/>
    <col min="6948" max="6948" width="3.5703125" style="3" customWidth="1"/>
    <col min="6949" max="6950" width="3.7109375" style="3" customWidth="1"/>
    <col min="6951" max="7169" width="9.140625" style="3"/>
    <col min="7170" max="7170" width="2.28515625" style="3" customWidth="1"/>
    <col min="7171" max="7171" width="5.140625" style="3" customWidth="1"/>
    <col min="7172" max="7172" width="4.140625" style="3" customWidth="1"/>
    <col min="7173" max="7173" width="14" style="3" customWidth="1"/>
    <col min="7174" max="7199" width="4.28515625" style="3" customWidth="1"/>
    <col min="7200" max="7200" width="1.28515625" style="3" customWidth="1"/>
    <col min="7201" max="7201" width="4.28515625" style="3" customWidth="1"/>
    <col min="7202" max="7202" width="24.28515625" style="3" customWidth="1"/>
    <col min="7203" max="7203" width="23.42578125" style="3" customWidth="1"/>
    <col min="7204" max="7204" width="3.5703125" style="3" customWidth="1"/>
    <col min="7205" max="7206" width="3.7109375" style="3" customWidth="1"/>
    <col min="7207" max="7425" width="9.140625" style="3"/>
    <col min="7426" max="7426" width="2.28515625" style="3" customWidth="1"/>
    <col min="7427" max="7427" width="5.140625" style="3" customWidth="1"/>
    <col min="7428" max="7428" width="4.140625" style="3" customWidth="1"/>
    <col min="7429" max="7429" width="14" style="3" customWidth="1"/>
    <col min="7430" max="7455" width="4.28515625" style="3" customWidth="1"/>
    <col min="7456" max="7456" width="1.28515625" style="3" customWidth="1"/>
    <col min="7457" max="7457" width="4.28515625" style="3" customWidth="1"/>
    <col min="7458" max="7458" width="24.28515625" style="3" customWidth="1"/>
    <col min="7459" max="7459" width="23.42578125" style="3" customWidth="1"/>
    <col min="7460" max="7460" width="3.5703125" style="3" customWidth="1"/>
    <col min="7461" max="7462" width="3.7109375" style="3" customWidth="1"/>
    <col min="7463" max="7681" width="9.140625" style="3"/>
    <col min="7682" max="7682" width="2.28515625" style="3" customWidth="1"/>
    <col min="7683" max="7683" width="5.140625" style="3" customWidth="1"/>
    <col min="7684" max="7684" width="4.140625" style="3" customWidth="1"/>
    <col min="7685" max="7685" width="14" style="3" customWidth="1"/>
    <col min="7686" max="7711" width="4.28515625" style="3" customWidth="1"/>
    <col min="7712" max="7712" width="1.28515625" style="3" customWidth="1"/>
    <col min="7713" max="7713" width="4.28515625" style="3" customWidth="1"/>
    <col min="7714" max="7714" width="24.28515625" style="3" customWidth="1"/>
    <col min="7715" max="7715" width="23.42578125" style="3" customWidth="1"/>
    <col min="7716" max="7716" width="3.5703125" style="3" customWidth="1"/>
    <col min="7717" max="7718" width="3.7109375" style="3" customWidth="1"/>
    <col min="7719" max="7937" width="9.140625" style="3"/>
    <col min="7938" max="7938" width="2.28515625" style="3" customWidth="1"/>
    <col min="7939" max="7939" width="5.140625" style="3" customWidth="1"/>
    <col min="7940" max="7940" width="4.140625" style="3" customWidth="1"/>
    <col min="7941" max="7941" width="14" style="3" customWidth="1"/>
    <col min="7942" max="7967" width="4.28515625" style="3" customWidth="1"/>
    <col min="7968" max="7968" width="1.28515625" style="3" customWidth="1"/>
    <col min="7969" max="7969" width="4.28515625" style="3" customWidth="1"/>
    <col min="7970" max="7970" width="24.28515625" style="3" customWidth="1"/>
    <col min="7971" max="7971" width="23.42578125" style="3" customWidth="1"/>
    <col min="7972" max="7972" width="3.5703125" style="3" customWidth="1"/>
    <col min="7973" max="7974" width="3.7109375" style="3" customWidth="1"/>
    <col min="7975" max="8193" width="9.140625" style="3"/>
    <col min="8194" max="8194" width="2.28515625" style="3" customWidth="1"/>
    <col min="8195" max="8195" width="5.140625" style="3" customWidth="1"/>
    <col min="8196" max="8196" width="4.140625" style="3" customWidth="1"/>
    <col min="8197" max="8197" width="14" style="3" customWidth="1"/>
    <col min="8198" max="8223" width="4.28515625" style="3" customWidth="1"/>
    <col min="8224" max="8224" width="1.28515625" style="3" customWidth="1"/>
    <col min="8225" max="8225" width="4.28515625" style="3" customWidth="1"/>
    <col min="8226" max="8226" width="24.28515625" style="3" customWidth="1"/>
    <col min="8227" max="8227" width="23.42578125" style="3" customWidth="1"/>
    <col min="8228" max="8228" width="3.5703125" style="3" customWidth="1"/>
    <col min="8229" max="8230" width="3.7109375" style="3" customWidth="1"/>
    <col min="8231" max="8449" width="9.140625" style="3"/>
    <col min="8450" max="8450" width="2.28515625" style="3" customWidth="1"/>
    <col min="8451" max="8451" width="5.140625" style="3" customWidth="1"/>
    <col min="8452" max="8452" width="4.140625" style="3" customWidth="1"/>
    <col min="8453" max="8453" width="14" style="3" customWidth="1"/>
    <col min="8454" max="8479" width="4.28515625" style="3" customWidth="1"/>
    <col min="8480" max="8480" width="1.28515625" style="3" customWidth="1"/>
    <col min="8481" max="8481" width="4.28515625" style="3" customWidth="1"/>
    <col min="8482" max="8482" width="24.28515625" style="3" customWidth="1"/>
    <col min="8483" max="8483" width="23.42578125" style="3" customWidth="1"/>
    <col min="8484" max="8484" width="3.5703125" style="3" customWidth="1"/>
    <col min="8485" max="8486" width="3.7109375" style="3" customWidth="1"/>
    <col min="8487" max="8705" width="9.140625" style="3"/>
    <col min="8706" max="8706" width="2.28515625" style="3" customWidth="1"/>
    <col min="8707" max="8707" width="5.140625" style="3" customWidth="1"/>
    <col min="8708" max="8708" width="4.140625" style="3" customWidth="1"/>
    <col min="8709" max="8709" width="14" style="3" customWidth="1"/>
    <col min="8710" max="8735" width="4.28515625" style="3" customWidth="1"/>
    <col min="8736" max="8736" width="1.28515625" style="3" customWidth="1"/>
    <col min="8737" max="8737" width="4.28515625" style="3" customWidth="1"/>
    <col min="8738" max="8738" width="24.28515625" style="3" customWidth="1"/>
    <col min="8739" max="8739" width="23.42578125" style="3" customWidth="1"/>
    <col min="8740" max="8740" width="3.5703125" style="3" customWidth="1"/>
    <col min="8741" max="8742" width="3.7109375" style="3" customWidth="1"/>
    <col min="8743" max="8961" width="9.140625" style="3"/>
    <col min="8962" max="8962" width="2.28515625" style="3" customWidth="1"/>
    <col min="8963" max="8963" width="5.140625" style="3" customWidth="1"/>
    <col min="8964" max="8964" width="4.140625" style="3" customWidth="1"/>
    <col min="8965" max="8965" width="14" style="3" customWidth="1"/>
    <col min="8966" max="8991" width="4.28515625" style="3" customWidth="1"/>
    <col min="8992" max="8992" width="1.28515625" style="3" customWidth="1"/>
    <col min="8993" max="8993" width="4.28515625" style="3" customWidth="1"/>
    <col min="8994" max="8994" width="24.28515625" style="3" customWidth="1"/>
    <col min="8995" max="8995" width="23.42578125" style="3" customWidth="1"/>
    <col min="8996" max="8996" width="3.5703125" style="3" customWidth="1"/>
    <col min="8997" max="8998" width="3.7109375" style="3" customWidth="1"/>
    <col min="8999" max="9217" width="9.140625" style="3"/>
    <col min="9218" max="9218" width="2.28515625" style="3" customWidth="1"/>
    <col min="9219" max="9219" width="5.140625" style="3" customWidth="1"/>
    <col min="9220" max="9220" width="4.140625" style="3" customWidth="1"/>
    <col min="9221" max="9221" width="14" style="3" customWidth="1"/>
    <col min="9222" max="9247" width="4.28515625" style="3" customWidth="1"/>
    <col min="9248" max="9248" width="1.28515625" style="3" customWidth="1"/>
    <col min="9249" max="9249" width="4.28515625" style="3" customWidth="1"/>
    <col min="9250" max="9250" width="24.28515625" style="3" customWidth="1"/>
    <col min="9251" max="9251" width="23.42578125" style="3" customWidth="1"/>
    <col min="9252" max="9252" width="3.5703125" style="3" customWidth="1"/>
    <col min="9253" max="9254" width="3.7109375" style="3" customWidth="1"/>
    <col min="9255" max="9473" width="9.140625" style="3"/>
    <col min="9474" max="9474" width="2.28515625" style="3" customWidth="1"/>
    <col min="9475" max="9475" width="5.140625" style="3" customWidth="1"/>
    <col min="9476" max="9476" width="4.140625" style="3" customWidth="1"/>
    <col min="9477" max="9477" width="14" style="3" customWidth="1"/>
    <col min="9478" max="9503" width="4.28515625" style="3" customWidth="1"/>
    <col min="9504" max="9504" width="1.28515625" style="3" customWidth="1"/>
    <col min="9505" max="9505" width="4.28515625" style="3" customWidth="1"/>
    <col min="9506" max="9506" width="24.28515625" style="3" customWidth="1"/>
    <col min="9507" max="9507" width="23.42578125" style="3" customWidth="1"/>
    <col min="9508" max="9508" width="3.5703125" style="3" customWidth="1"/>
    <col min="9509" max="9510" width="3.7109375" style="3" customWidth="1"/>
    <col min="9511" max="9729" width="9.140625" style="3"/>
    <col min="9730" max="9730" width="2.28515625" style="3" customWidth="1"/>
    <col min="9731" max="9731" width="5.140625" style="3" customWidth="1"/>
    <col min="9732" max="9732" width="4.140625" style="3" customWidth="1"/>
    <col min="9733" max="9733" width="14" style="3" customWidth="1"/>
    <col min="9734" max="9759" width="4.28515625" style="3" customWidth="1"/>
    <col min="9760" max="9760" width="1.28515625" style="3" customWidth="1"/>
    <col min="9761" max="9761" width="4.28515625" style="3" customWidth="1"/>
    <col min="9762" max="9762" width="24.28515625" style="3" customWidth="1"/>
    <col min="9763" max="9763" width="23.42578125" style="3" customWidth="1"/>
    <col min="9764" max="9764" width="3.5703125" style="3" customWidth="1"/>
    <col min="9765" max="9766" width="3.7109375" style="3" customWidth="1"/>
    <col min="9767" max="9985" width="9.140625" style="3"/>
    <col min="9986" max="9986" width="2.28515625" style="3" customWidth="1"/>
    <col min="9987" max="9987" width="5.140625" style="3" customWidth="1"/>
    <col min="9988" max="9988" width="4.140625" style="3" customWidth="1"/>
    <col min="9989" max="9989" width="14" style="3" customWidth="1"/>
    <col min="9990" max="10015" width="4.28515625" style="3" customWidth="1"/>
    <col min="10016" max="10016" width="1.28515625" style="3" customWidth="1"/>
    <col min="10017" max="10017" width="4.28515625" style="3" customWidth="1"/>
    <col min="10018" max="10018" width="24.28515625" style="3" customWidth="1"/>
    <col min="10019" max="10019" width="23.42578125" style="3" customWidth="1"/>
    <col min="10020" max="10020" width="3.5703125" style="3" customWidth="1"/>
    <col min="10021" max="10022" width="3.7109375" style="3" customWidth="1"/>
    <col min="10023" max="10241" width="9.140625" style="3"/>
    <col min="10242" max="10242" width="2.28515625" style="3" customWidth="1"/>
    <col min="10243" max="10243" width="5.140625" style="3" customWidth="1"/>
    <col min="10244" max="10244" width="4.140625" style="3" customWidth="1"/>
    <col min="10245" max="10245" width="14" style="3" customWidth="1"/>
    <col min="10246" max="10271" width="4.28515625" style="3" customWidth="1"/>
    <col min="10272" max="10272" width="1.28515625" style="3" customWidth="1"/>
    <col min="10273" max="10273" width="4.28515625" style="3" customWidth="1"/>
    <col min="10274" max="10274" width="24.28515625" style="3" customWidth="1"/>
    <col min="10275" max="10275" width="23.42578125" style="3" customWidth="1"/>
    <col min="10276" max="10276" width="3.5703125" style="3" customWidth="1"/>
    <col min="10277" max="10278" width="3.7109375" style="3" customWidth="1"/>
    <col min="10279" max="10497" width="9.140625" style="3"/>
    <col min="10498" max="10498" width="2.28515625" style="3" customWidth="1"/>
    <col min="10499" max="10499" width="5.140625" style="3" customWidth="1"/>
    <col min="10500" max="10500" width="4.140625" style="3" customWidth="1"/>
    <col min="10501" max="10501" width="14" style="3" customWidth="1"/>
    <col min="10502" max="10527" width="4.28515625" style="3" customWidth="1"/>
    <col min="10528" max="10528" width="1.28515625" style="3" customWidth="1"/>
    <col min="10529" max="10529" width="4.28515625" style="3" customWidth="1"/>
    <col min="10530" max="10530" width="24.28515625" style="3" customWidth="1"/>
    <col min="10531" max="10531" width="23.42578125" style="3" customWidth="1"/>
    <col min="10532" max="10532" width="3.5703125" style="3" customWidth="1"/>
    <col min="10533" max="10534" width="3.7109375" style="3" customWidth="1"/>
    <col min="10535" max="10753" width="9.140625" style="3"/>
    <col min="10754" max="10754" width="2.28515625" style="3" customWidth="1"/>
    <col min="10755" max="10755" width="5.140625" style="3" customWidth="1"/>
    <col min="10756" max="10756" width="4.140625" style="3" customWidth="1"/>
    <col min="10757" max="10757" width="14" style="3" customWidth="1"/>
    <col min="10758" max="10783" width="4.28515625" style="3" customWidth="1"/>
    <col min="10784" max="10784" width="1.28515625" style="3" customWidth="1"/>
    <col min="10785" max="10785" width="4.28515625" style="3" customWidth="1"/>
    <col min="10786" max="10786" width="24.28515625" style="3" customWidth="1"/>
    <col min="10787" max="10787" width="23.42578125" style="3" customWidth="1"/>
    <col min="10788" max="10788" width="3.5703125" style="3" customWidth="1"/>
    <col min="10789" max="10790" width="3.7109375" style="3" customWidth="1"/>
    <col min="10791" max="11009" width="9.140625" style="3"/>
    <col min="11010" max="11010" width="2.28515625" style="3" customWidth="1"/>
    <col min="11011" max="11011" width="5.140625" style="3" customWidth="1"/>
    <col min="11012" max="11012" width="4.140625" style="3" customWidth="1"/>
    <col min="11013" max="11013" width="14" style="3" customWidth="1"/>
    <col min="11014" max="11039" width="4.28515625" style="3" customWidth="1"/>
    <col min="11040" max="11040" width="1.28515625" style="3" customWidth="1"/>
    <col min="11041" max="11041" width="4.28515625" style="3" customWidth="1"/>
    <col min="11042" max="11042" width="24.28515625" style="3" customWidth="1"/>
    <col min="11043" max="11043" width="23.42578125" style="3" customWidth="1"/>
    <col min="11044" max="11044" width="3.5703125" style="3" customWidth="1"/>
    <col min="11045" max="11046" width="3.7109375" style="3" customWidth="1"/>
    <col min="11047" max="11265" width="9.140625" style="3"/>
    <col min="11266" max="11266" width="2.28515625" style="3" customWidth="1"/>
    <col min="11267" max="11267" width="5.140625" style="3" customWidth="1"/>
    <col min="11268" max="11268" width="4.140625" style="3" customWidth="1"/>
    <col min="11269" max="11269" width="14" style="3" customWidth="1"/>
    <col min="11270" max="11295" width="4.28515625" style="3" customWidth="1"/>
    <col min="11296" max="11296" width="1.28515625" style="3" customWidth="1"/>
    <col min="11297" max="11297" width="4.28515625" style="3" customWidth="1"/>
    <col min="11298" max="11298" width="24.28515625" style="3" customWidth="1"/>
    <col min="11299" max="11299" width="23.42578125" style="3" customWidth="1"/>
    <col min="11300" max="11300" width="3.5703125" style="3" customWidth="1"/>
    <col min="11301" max="11302" width="3.7109375" style="3" customWidth="1"/>
    <col min="11303" max="11521" width="9.140625" style="3"/>
    <col min="11522" max="11522" width="2.28515625" style="3" customWidth="1"/>
    <col min="11523" max="11523" width="5.140625" style="3" customWidth="1"/>
    <col min="11524" max="11524" width="4.140625" style="3" customWidth="1"/>
    <col min="11525" max="11525" width="14" style="3" customWidth="1"/>
    <col min="11526" max="11551" width="4.28515625" style="3" customWidth="1"/>
    <col min="11552" max="11552" width="1.28515625" style="3" customWidth="1"/>
    <col min="11553" max="11553" width="4.28515625" style="3" customWidth="1"/>
    <col min="11554" max="11554" width="24.28515625" style="3" customWidth="1"/>
    <col min="11555" max="11555" width="23.42578125" style="3" customWidth="1"/>
    <col min="11556" max="11556" width="3.5703125" style="3" customWidth="1"/>
    <col min="11557" max="11558" width="3.7109375" style="3" customWidth="1"/>
    <col min="11559" max="11777" width="9.140625" style="3"/>
    <col min="11778" max="11778" width="2.28515625" style="3" customWidth="1"/>
    <col min="11779" max="11779" width="5.140625" style="3" customWidth="1"/>
    <col min="11780" max="11780" width="4.140625" style="3" customWidth="1"/>
    <col min="11781" max="11781" width="14" style="3" customWidth="1"/>
    <col min="11782" max="11807" width="4.28515625" style="3" customWidth="1"/>
    <col min="11808" max="11808" width="1.28515625" style="3" customWidth="1"/>
    <col min="11809" max="11809" width="4.28515625" style="3" customWidth="1"/>
    <col min="11810" max="11810" width="24.28515625" style="3" customWidth="1"/>
    <col min="11811" max="11811" width="23.42578125" style="3" customWidth="1"/>
    <col min="11812" max="11812" width="3.5703125" style="3" customWidth="1"/>
    <col min="11813" max="11814" width="3.7109375" style="3" customWidth="1"/>
    <col min="11815" max="12033" width="9.140625" style="3"/>
    <col min="12034" max="12034" width="2.28515625" style="3" customWidth="1"/>
    <col min="12035" max="12035" width="5.140625" style="3" customWidth="1"/>
    <col min="12036" max="12036" width="4.140625" style="3" customWidth="1"/>
    <col min="12037" max="12037" width="14" style="3" customWidth="1"/>
    <col min="12038" max="12063" width="4.28515625" style="3" customWidth="1"/>
    <col min="12064" max="12064" width="1.28515625" style="3" customWidth="1"/>
    <col min="12065" max="12065" width="4.28515625" style="3" customWidth="1"/>
    <col min="12066" max="12066" width="24.28515625" style="3" customWidth="1"/>
    <col min="12067" max="12067" width="23.42578125" style="3" customWidth="1"/>
    <col min="12068" max="12068" width="3.5703125" style="3" customWidth="1"/>
    <col min="12069" max="12070" width="3.7109375" style="3" customWidth="1"/>
    <col min="12071" max="12289" width="9.140625" style="3"/>
    <col min="12290" max="12290" width="2.28515625" style="3" customWidth="1"/>
    <col min="12291" max="12291" width="5.140625" style="3" customWidth="1"/>
    <col min="12292" max="12292" width="4.140625" style="3" customWidth="1"/>
    <col min="12293" max="12293" width="14" style="3" customWidth="1"/>
    <col min="12294" max="12319" width="4.28515625" style="3" customWidth="1"/>
    <col min="12320" max="12320" width="1.28515625" style="3" customWidth="1"/>
    <col min="12321" max="12321" width="4.28515625" style="3" customWidth="1"/>
    <col min="12322" max="12322" width="24.28515625" style="3" customWidth="1"/>
    <col min="12323" max="12323" width="23.42578125" style="3" customWidth="1"/>
    <col min="12324" max="12324" width="3.5703125" style="3" customWidth="1"/>
    <col min="12325" max="12326" width="3.7109375" style="3" customWidth="1"/>
    <col min="12327" max="12545" width="9.140625" style="3"/>
    <col min="12546" max="12546" width="2.28515625" style="3" customWidth="1"/>
    <col min="12547" max="12547" width="5.140625" style="3" customWidth="1"/>
    <col min="12548" max="12548" width="4.140625" style="3" customWidth="1"/>
    <col min="12549" max="12549" width="14" style="3" customWidth="1"/>
    <col min="12550" max="12575" width="4.28515625" style="3" customWidth="1"/>
    <col min="12576" max="12576" width="1.28515625" style="3" customWidth="1"/>
    <col min="12577" max="12577" width="4.28515625" style="3" customWidth="1"/>
    <col min="12578" max="12578" width="24.28515625" style="3" customWidth="1"/>
    <col min="12579" max="12579" width="23.42578125" style="3" customWidth="1"/>
    <col min="12580" max="12580" width="3.5703125" style="3" customWidth="1"/>
    <col min="12581" max="12582" width="3.7109375" style="3" customWidth="1"/>
    <col min="12583" max="12801" width="9.140625" style="3"/>
    <col min="12802" max="12802" width="2.28515625" style="3" customWidth="1"/>
    <col min="12803" max="12803" width="5.140625" style="3" customWidth="1"/>
    <col min="12804" max="12804" width="4.140625" style="3" customWidth="1"/>
    <col min="12805" max="12805" width="14" style="3" customWidth="1"/>
    <col min="12806" max="12831" width="4.28515625" style="3" customWidth="1"/>
    <col min="12832" max="12832" width="1.28515625" style="3" customWidth="1"/>
    <col min="12833" max="12833" width="4.28515625" style="3" customWidth="1"/>
    <col min="12834" max="12834" width="24.28515625" style="3" customWidth="1"/>
    <col min="12835" max="12835" width="23.42578125" style="3" customWidth="1"/>
    <col min="12836" max="12836" width="3.5703125" style="3" customWidth="1"/>
    <col min="12837" max="12838" width="3.7109375" style="3" customWidth="1"/>
    <col min="12839" max="13057" width="9.140625" style="3"/>
    <col min="13058" max="13058" width="2.28515625" style="3" customWidth="1"/>
    <col min="13059" max="13059" width="5.140625" style="3" customWidth="1"/>
    <col min="13060" max="13060" width="4.140625" style="3" customWidth="1"/>
    <col min="13061" max="13061" width="14" style="3" customWidth="1"/>
    <col min="13062" max="13087" width="4.28515625" style="3" customWidth="1"/>
    <col min="13088" max="13088" width="1.28515625" style="3" customWidth="1"/>
    <col min="13089" max="13089" width="4.28515625" style="3" customWidth="1"/>
    <col min="13090" max="13090" width="24.28515625" style="3" customWidth="1"/>
    <col min="13091" max="13091" width="23.42578125" style="3" customWidth="1"/>
    <col min="13092" max="13092" width="3.5703125" style="3" customWidth="1"/>
    <col min="13093" max="13094" width="3.7109375" style="3" customWidth="1"/>
    <col min="13095" max="13313" width="9.140625" style="3"/>
    <col min="13314" max="13314" width="2.28515625" style="3" customWidth="1"/>
    <col min="13315" max="13315" width="5.140625" style="3" customWidth="1"/>
    <col min="13316" max="13316" width="4.140625" style="3" customWidth="1"/>
    <col min="13317" max="13317" width="14" style="3" customWidth="1"/>
    <col min="13318" max="13343" width="4.28515625" style="3" customWidth="1"/>
    <col min="13344" max="13344" width="1.28515625" style="3" customWidth="1"/>
    <col min="13345" max="13345" width="4.28515625" style="3" customWidth="1"/>
    <col min="13346" max="13346" width="24.28515625" style="3" customWidth="1"/>
    <col min="13347" max="13347" width="23.42578125" style="3" customWidth="1"/>
    <col min="13348" max="13348" width="3.5703125" style="3" customWidth="1"/>
    <col min="13349" max="13350" width="3.7109375" style="3" customWidth="1"/>
    <col min="13351" max="13569" width="9.140625" style="3"/>
    <col min="13570" max="13570" width="2.28515625" style="3" customWidth="1"/>
    <col min="13571" max="13571" width="5.140625" style="3" customWidth="1"/>
    <col min="13572" max="13572" width="4.140625" style="3" customWidth="1"/>
    <col min="13573" max="13573" width="14" style="3" customWidth="1"/>
    <col min="13574" max="13599" width="4.28515625" style="3" customWidth="1"/>
    <col min="13600" max="13600" width="1.28515625" style="3" customWidth="1"/>
    <col min="13601" max="13601" width="4.28515625" style="3" customWidth="1"/>
    <col min="13602" max="13602" width="24.28515625" style="3" customWidth="1"/>
    <col min="13603" max="13603" width="23.42578125" style="3" customWidth="1"/>
    <col min="13604" max="13604" width="3.5703125" style="3" customWidth="1"/>
    <col min="13605" max="13606" width="3.7109375" style="3" customWidth="1"/>
    <col min="13607" max="13825" width="9.140625" style="3"/>
    <col min="13826" max="13826" width="2.28515625" style="3" customWidth="1"/>
    <col min="13827" max="13827" width="5.140625" style="3" customWidth="1"/>
    <col min="13828" max="13828" width="4.140625" style="3" customWidth="1"/>
    <col min="13829" max="13829" width="14" style="3" customWidth="1"/>
    <col min="13830" max="13855" width="4.28515625" style="3" customWidth="1"/>
    <col min="13856" max="13856" width="1.28515625" style="3" customWidth="1"/>
    <col min="13857" max="13857" width="4.28515625" style="3" customWidth="1"/>
    <col min="13858" max="13858" width="24.28515625" style="3" customWidth="1"/>
    <col min="13859" max="13859" width="23.42578125" style="3" customWidth="1"/>
    <col min="13860" max="13860" width="3.5703125" style="3" customWidth="1"/>
    <col min="13861" max="13862" width="3.7109375" style="3" customWidth="1"/>
    <col min="13863" max="14081" width="9.140625" style="3"/>
    <col min="14082" max="14082" width="2.28515625" style="3" customWidth="1"/>
    <col min="14083" max="14083" width="5.140625" style="3" customWidth="1"/>
    <col min="14084" max="14084" width="4.140625" style="3" customWidth="1"/>
    <col min="14085" max="14085" width="14" style="3" customWidth="1"/>
    <col min="14086" max="14111" width="4.28515625" style="3" customWidth="1"/>
    <col min="14112" max="14112" width="1.28515625" style="3" customWidth="1"/>
    <col min="14113" max="14113" width="4.28515625" style="3" customWidth="1"/>
    <col min="14114" max="14114" width="24.28515625" style="3" customWidth="1"/>
    <col min="14115" max="14115" width="23.42578125" style="3" customWidth="1"/>
    <col min="14116" max="14116" width="3.5703125" style="3" customWidth="1"/>
    <col min="14117" max="14118" width="3.7109375" style="3" customWidth="1"/>
    <col min="14119" max="14337" width="9.140625" style="3"/>
    <col min="14338" max="14338" width="2.28515625" style="3" customWidth="1"/>
    <col min="14339" max="14339" width="5.140625" style="3" customWidth="1"/>
    <col min="14340" max="14340" width="4.140625" style="3" customWidth="1"/>
    <col min="14341" max="14341" width="14" style="3" customWidth="1"/>
    <col min="14342" max="14367" width="4.28515625" style="3" customWidth="1"/>
    <col min="14368" max="14368" width="1.28515625" style="3" customWidth="1"/>
    <col min="14369" max="14369" width="4.28515625" style="3" customWidth="1"/>
    <col min="14370" max="14370" width="24.28515625" style="3" customWidth="1"/>
    <col min="14371" max="14371" width="23.42578125" style="3" customWidth="1"/>
    <col min="14372" max="14372" width="3.5703125" style="3" customWidth="1"/>
    <col min="14373" max="14374" width="3.7109375" style="3" customWidth="1"/>
    <col min="14375" max="14593" width="9.140625" style="3"/>
    <col min="14594" max="14594" width="2.28515625" style="3" customWidth="1"/>
    <col min="14595" max="14595" width="5.140625" style="3" customWidth="1"/>
    <col min="14596" max="14596" width="4.140625" style="3" customWidth="1"/>
    <col min="14597" max="14597" width="14" style="3" customWidth="1"/>
    <col min="14598" max="14623" width="4.28515625" style="3" customWidth="1"/>
    <col min="14624" max="14624" width="1.28515625" style="3" customWidth="1"/>
    <col min="14625" max="14625" width="4.28515625" style="3" customWidth="1"/>
    <col min="14626" max="14626" width="24.28515625" style="3" customWidth="1"/>
    <col min="14627" max="14627" width="23.42578125" style="3" customWidth="1"/>
    <col min="14628" max="14628" width="3.5703125" style="3" customWidth="1"/>
    <col min="14629" max="14630" width="3.7109375" style="3" customWidth="1"/>
    <col min="14631" max="14849" width="9.140625" style="3"/>
    <col min="14850" max="14850" width="2.28515625" style="3" customWidth="1"/>
    <col min="14851" max="14851" width="5.140625" style="3" customWidth="1"/>
    <col min="14852" max="14852" width="4.140625" style="3" customWidth="1"/>
    <col min="14853" max="14853" width="14" style="3" customWidth="1"/>
    <col min="14854" max="14879" width="4.28515625" style="3" customWidth="1"/>
    <col min="14880" max="14880" width="1.28515625" style="3" customWidth="1"/>
    <col min="14881" max="14881" width="4.28515625" style="3" customWidth="1"/>
    <col min="14882" max="14882" width="24.28515625" style="3" customWidth="1"/>
    <col min="14883" max="14883" width="23.42578125" style="3" customWidth="1"/>
    <col min="14884" max="14884" width="3.5703125" style="3" customWidth="1"/>
    <col min="14885" max="14886" width="3.7109375" style="3" customWidth="1"/>
    <col min="14887" max="15105" width="9.140625" style="3"/>
    <col min="15106" max="15106" width="2.28515625" style="3" customWidth="1"/>
    <col min="15107" max="15107" width="5.140625" style="3" customWidth="1"/>
    <col min="15108" max="15108" width="4.140625" style="3" customWidth="1"/>
    <col min="15109" max="15109" width="14" style="3" customWidth="1"/>
    <col min="15110" max="15135" width="4.28515625" style="3" customWidth="1"/>
    <col min="15136" max="15136" width="1.28515625" style="3" customWidth="1"/>
    <col min="15137" max="15137" width="4.28515625" style="3" customWidth="1"/>
    <col min="15138" max="15138" width="24.28515625" style="3" customWidth="1"/>
    <col min="15139" max="15139" width="23.42578125" style="3" customWidth="1"/>
    <col min="15140" max="15140" width="3.5703125" style="3" customWidth="1"/>
    <col min="15141" max="15142" width="3.7109375" style="3" customWidth="1"/>
    <col min="15143" max="15361" width="9.140625" style="3"/>
    <col min="15362" max="15362" width="2.28515625" style="3" customWidth="1"/>
    <col min="15363" max="15363" width="5.140625" style="3" customWidth="1"/>
    <col min="15364" max="15364" width="4.140625" style="3" customWidth="1"/>
    <col min="15365" max="15365" width="14" style="3" customWidth="1"/>
    <col min="15366" max="15391" width="4.28515625" style="3" customWidth="1"/>
    <col min="15392" max="15392" width="1.28515625" style="3" customWidth="1"/>
    <col min="15393" max="15393" width="4.28515625" style="3" customWidth="1"/>
    <col min="15394" max="15394" width="24.28515625" style="3" customWidth="1"/>
    <col min="15395" max="15395" width="23.42578125" style="3" customWidth="1"/>
    <col min="15396" max="15396" width="3.5703125" style="3" customWidth="1"/>
    <col min="15397" max="15398" width="3.7109375" style="3" customWidth="1"/>
    <col min="15399" max="15617" width="9.140625" style="3"/>
    <col min="15618" max="15618" width="2.28515625" style="3" customWidth="1"/>
    <col min="15619" max="15619" width="5.140625" style="3" customWidth="1"/>
    <col min="15620" max="15620" width="4.140625" style="3" customWidth="1"/>
    <col min="15621" max="15621" width="14" style="3" customWidth="1"/>
    <col min="15622" max="15647" width="4.28515625" style="3" customWidth="1"/>
    <col min="15648" max="15648" width="1.28515625" style="3" customWidth="1"/>
    <col min="15649" max="15649" width="4.28515625" style="3" customWidth="1"/>
    <col min="15650" max="15650" width="24.28515625" style="3" customWidth="1"/>
    <col min="15651" max="15651" width="23.42578125" style="3" customWidth="1"/>
    <col min="15652" max="15652" width="3.5703125" style="3" customWidth="1"/>
    <col min="15653" max="15654" width="3.7109375" style="3" customWidth="1"/>
    <col min="15655" max="15873" width="9.140625" style="3"/>
    <col min="15874" max="15874" width="2.28515625" style="3" customWidth="1"/>
    <col min="15875" max="15875" width="5.140625" style="3" customWidth="1"/>
    <col min="15876" max="15876" width="4.140625" style="3" customWidth="1"/>
    <col min="15877" max="15877" width="14" style="3" customWidth="1"/>
    <col min="15878" max="15903" width="4.28515625" style="3" customWidth="1"/>
    <col min="15904" max="15904" width="1.28515625" style="3" customWidth="1"/>
    <col min="15905" max="15905" width="4.28515625" style="3" customWidth="1"/>
    <col min="15906" max="15906" width="24.28515625" style="3" customWidth="1"/>
    <col min="15907" max="15907" width="23.42578125" style="3" customWidth="1"/>
    <col min="15908" max="15908" width="3.5703125" style="3" customWidth="1"/>
    <col min="15909" max="15910" width="3.7109375" style="3" customWidth="1"/>
    <col min="15911" max="16129" width="9.140625" style="3"/>
    <col min="16130" max="16130" width="2.28515625" style="3" customWidth="1"/>
    <col min="16131" max="16131" width="5.140625" style="3" customWidth="1"/>
    <col min="16132" max="16132" width="4.140625" style="3" customWidth="1"/>
    <col min="16133" max="16133" width="14" style="3" customWidth="1"/>
    <col min="16134" max="16159" width="4.28515625" style="3" customWidth="1"/>
    <col min="16160" max="16160" width="1.28515625" style="3" customWidth="1"/>
    <col min="16161" max="16161" width="4.28515625" style="3" customWidth="1"/>
    <col min="16162" max="16162" width="24.28515625" style="3" customWidth="1"/>
    <col min="16163" max="16163" width="23.42578125" style="3" customWidth="1"/>
    <col min="16164" max="16164" width="3.5703125" style="3" customWidth="1"/>
    <col min="16165" max="16166" width="3.7109375" style="3" customWidth="1"/>
    <col min="16167" max="16384" width="9.140625" style="3"/>
  </cols>
  <sheetData>
    <row r="1" spans="2:48" ht="19.5" customHeight="1" x14ac:dyDescent="0.2">
      <c r="B1" s="6"/>
      <c r="C1" s="6"/>
      <c r="D1" s="6"/>
      <c r="E1" s="7"/>
      <c r="F1" s="6"/>
      <c r="G1" s="6"/>
      <c r="H1" s="6"/>
      <c r="I1" s="6"/>
      <c r="J1" s="6"/>
      <c r="K1" s="6"/>
      <c r="L1" s="6"/>
      <c r="M1" s="6"/>
      <c r="N1" s="6"/>
      <c r="O1" s="6"/>
      <c r="P1" s="6">
        <v>41</v>
      </c>
      <c r="Q1" s="6"/>
      <c r="R1" s="6"/>
      <c r="S1" s="6"/>
      <c r="T1" s="8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5"/>
      <c r="AK1" s="11"/>
      <c r="AL1" s="5"/>
      <c r="AM1" s="5"/>
      <c r="AN1" s="5"/>
      <c r="AO1" s="5"/>
      <c r="AP1" s="5"/>
      <c r="AQ1" s="50"/>
      <c r="AR1" s="50"/>
      <c r="AS1" s="50"/>
      <c r="AT1" s="50"/>
    </row>
    <row r="2" spans="2:48" ht="19.5" customHeight="1" x14ac:dyDescent="0.2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8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11"/>
      <c r="AL2" s="5"/>
      <c r="AM2" s="5"/>
      <c r="AN2" s="5"/>
      <c r="AO2" s="5"/>
      <c r="AP2" s="5"/>
      <c r="AQ2" s="50"/>
      <c r="AR2" s="50"/>
      <c r="AS2" s="50"/>
      <c r="AT2" s="50"/>
    </row>
    <row r="3" spans="2:48" ht="19.5" customHeight="1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8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5"/>
      <c r="AK3" s="11"/>
      <c r="AL3" s="66">
        <v>66</v>
      </c>
      <c r="AM3" s="67" t="e">
        <f>VLOOKUP(AL3,AG7:AH94,2,FALSE)</f>
        <v>#N/A</v>
      </c>
      <c r="AN3" s="5"/>
      <c r="AO3" s="5"/>
      <c r="AP3" s="22"/>
      <c r="AQ3" s="50"/>
      <c r="AR3" s="50"/>
      <c r="AS3" s="50"/>
      <c r="AT3" s="50"/>
    </row>
    <row r="4" spans="2:48" ht="19.5" customHeight="1" thickBot="1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8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  <c r="AK4" s="11"/>
      <c r="AL4" s="11">
        <f>COUNTIF(E8:AE68,AL3)</f>
        <v>0</v>
      </c>
      <c r="AM4" s="5"/>
      <c r="AN4" s="5"/>
      <c r="AO4" s="5"/>
      <c r="AP4" s="5"/>
      <c r="AQ4" s="50"/>
      <c r="AR4" s="50"/>
      <c r="AS4" s="50"/>
      <c r="AT4" s="50"/>
    </row>
    <row r="5" spans="2:48" ht="15.75" customHeight="1" thickBot="1" x14ac:dyDescent="0.25">
      <c r="B5" s="106" t="s">
        <v>29</v>
      </c>
      <c r="C5" s="106" t="s">
        <v>12</v>
      </c>
      <c r="D5" s="106" t="s">
        <v>13</v>
      </c>
      <c r="E5" s="98" t="s">
        <v>14</v>
      </c>
      <c r="F5" s="78"/>
      <c r="G5" s="78"/>
      <c r="H5" s="78"/>
      <c r="I5" s="78"/>
      <c r="J5" s="78"/>
      <c r="K5" s="78"/>
      <c r="L5" s="79"/>
      <c r="M5" s="64"/>
      <c r="N5" s="73"/>
      <c r="O5" s="78" t="s">
        <v>15</v>
      </c>
      <c r="P5" s="78"/>
      <c r="Q5" s="78"/>
      <c r="R5" s="78"/>
      <c r="S5" s="78"/>
      <c r="T5" s="78"/>
      <c r="U5" s="78"/>
      <c r="V5" s="78"/>
      <c r="W5" s="64"/>
      <c r="X5" s="78" t="s">
        <v>16</v>
      </c>
      <c r="Y5" s="78"/>
      <c r="Z5" s="78"/>
      <c r="AA5" s="78"/>
      <c r="AB5" s="78"/>
      <c r="AC5" s="78"/>
      <c r="AD5" s="78"/>
      <c r="AE5" s="79"/>
      <c r="AF5" s="64"/>
      <c r="AG5" s="105" t="s">
        <v>17</v>
      </c>
      <c r="AH5" s="106" t="s">
        <v>18</v>
      </c>
      <c r="AI5" s="106" t="s">
        <v>19</v>
      </c>
      <c r="AJ5" s="4"/>
      <c r="AK5" s="11"/>
      <c r="AL5" s="5"/>
      <c r="AM5" s="5"/>
      <c r="AN5" s="5"/>
      <c r="AO5" s="5"/>
      <c r="AP5" s="5"/>
      <c r="AQ5" s="22" t="s">
        <v>51</v>
      </c>
      <c r="AR5" s="50"/>
      <c r="AS5" s="50"/>
      <c r="AT5" s="50"/>
    </row>
    <row r="6" spans="2:48" ht="15.75" customHeight="1" thickBot="1" x14ac:dyDescent="0.25">
      <c r="B6" s="106"/>
      <c r="C6" s="106"/>
      <c r="D6" s="106"/>
      <c r="E6" s="52" t="s">
        <v>30</v>
      </c>
      <c r="F6" s="52" t="s">
        <v>31</v>
      </c>
      <c r="G6" s="52" t="s">
        <v>32</v>
      </c>
      <c r="H6" s="52" t="s">
        <v>33</v>
      </c>
      <c r="I6" s="52" t="s">
        <v>34</v>
      </c>
      <c r="J6" s="53" t="s">
        <v>35</v>
      </c>
      <c r="K6" s="52" t="s">
        <v>36</v>
      </c>
      <c r="L6" s="71" t="s">
        <v>37</v>
      </c>
      <c r="M6" s="65"/>
      <c r="N6" s="55" t="s">
        <v>68</v>
      </c>
      <c r="O6" s="52" t="s">
        <v>69</v>
      </c>
      <c r="P6" s="52" t="s">
        <v>70</v>
      </c>
      <c r="Q6" s="52" t="s">
        <v>71</v>
      </c>
      <c r="R6" s="52" t="s">
        <v>72</v>
      </c>
      <c r="S6" s="52" t="s">
        <v>73</v>
      </c>
      <c r="T6" s="52" t="s">
        <v>74</v>
      </c>
      <c r="U6" s="52" t="s">
        <v>75</v>
      </c>
      <c r="V6" s="52" t="s">
        <v>98</v>
      </c>
      <c r="W6" s="65"/>
      <c r="X6" s="52" t="s">
        <v>76</v>
      </c>
      <c r="Y6" s="52" t="s">
        <v>77</v>
      </c>
      <c r="Z6" s="52" t="s">
        <v>78</v>
      </c>
      <c r="AA6" s="52" t="s">
        <v>79</v>
      </c>
      <c r="AB6" s="52" t="s">
        <v>80</v>
      </c>
      <c r="AC6" s="52" t="s">
        <v>81</v>
      </c>
      <c r="AD6" s="52" t="s">
        <v>82</v>
      </c>
      <c r="AE6" s="52" t="s">
        <v>83</v>
      </c>
      <c r="AF6" s="65"/>
      <c r="AG6" s="105"/>
      <c r="AH6" s="106"/>
      <c r="AI6" s="106"/>
      <c r="AJ6" s="4"/>
      <c r="AK6" s="11"/>
      <c r="AL6" s="5"/>
      <c r="AM6" s="5"/>
      <c r="AN6" s="5"/>
      <c r="AO6" s="5"/>
      <c r="AP6" s="5"/>
      <c r="AQ6" s="51" t="s">
        <v>52</v>
      </c>
      <c r="AR6" s="50" t="s">
        <v>53</v>
      </c>
      <c r="AS6" s="50" t="s">
        <v>55</v>
      </c>
      <c r="AT6" s="51" t="s">
        <v>56</v>
      </c>
      <c r="AU6" s="51" t="s">
        <v>54</v>
      </c>
      <c r="AV6" s="51" t="s">
        <v>50</v>
      </c>
    </row>
    <row r="7" spans="2:48" ht="20.25" customHeight="1" thickBot="1" x14ac:dyDescent="0.25">
      <c r="B7" s="33"/>
      <c r="C7" s="33"/>
      <c r="D7" s="34" t="s">
        <v>43</v>
      </c>
      <c r="E7" s="83" t="s">
        <v>23</v>
      </c>
      <c r="F7" s="84"/>
      <c r="G7" s="84"/>
      <c r="H7" s="84"/>
      <c r="I7" s="84"/>
      <c r="J7" s="84"/>
      <c r="K7" s="84"/>
      <c r="L7" s="84"/>
      <c r="M7" s="107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108"/>
      <c r="AG7" s="35">
        <v>1</v>
      </c>
      <c r="AH7" s="36" t="s">
        <v>97</v>
      </c>
      <c r="AI7" s="36" t="s">
        <v>174</v>
      </c>
      <c r="AJ7" s="1"/>
      <c r="AK7" s="5">
        <f t="shared" ref="AK7:AK38" si="0">COUNTIF($E$8:$AF$68,AG7)</f>
        <v>4</v>
      </c>
      <c r="AL7" s="5"/>
      <c r="AM7" s="5">
        <v>4</v>
      </c>
      <c r="AN7" s="5" t="b">
        <f>AK7=AM7</f>
        <v>1</v>
      </c>
      <c r="AO7" s="5"/>
      <c r="AP7" s="54">
        <v>1</v>
      </c>
      <c r="AQ7" s="11"/>
      <c r="AR7" s="11"/>
      <c r="AS7" s="11"/>
      <c r="AT7" s="49"/>
      <c r="AU7" s="49"/>
      <c r="AV7" s="49"/>
    </row>
    <row r="8" spans="2:48" ht="20.25" customHeight="1" thickBot="1" x14ac:dyDescent="0.25">
      <c r="B8" s="37" t="s">
        <v>0</v>
      </c>
      <c r="C8" s="33">
        <v>1</v>
      </c>
      <c r="D8" s="35" t="s">
        <v>44</v>
      </c>
      <c r="E8" s="38">
        <v>24</v>
      </c>
      <c r="F8" s="38">
        <v>56</v>
      </c>
      <c r="G8" s="38">
        <v>58</v>
      </c>
      <c r="H8" s="38">
        <v>50</v>
      </c>
      <c r="I8" s="39">
        <v>57</v>
      </c>
      <c r="J8" s="38">
        <v>20</v>
      </c>
      <c r="K8" s="38">
        <v>55</v>
      </c>
      <c r="L8" s="39">
        <v>54</v>
      </c>
      <c r="M8" s="45"/>
      <c r="N8" s="76">
        <v>35</v>
      </c>
      <c r="O8" s="38">
        <v>15</v>
      </c>
      <c r="P8" s="38">
        <v>21</v>
      </c>
      <c r="Q8" s="38">
        <v>33</v>
      </c>
      <c r="R8" s="38">
        <v>44</v>
      </c>
      <c r="S8" s="38">
        <v>42</v>
      </c>
      <c r="T8" s="38">
        <v>14</v>
      </c>
      <c r="U8" s="38">
        <v>19</v>
      </c>
      <c r="V8" s="38">
        <v>34</v>
      </c>
      <c r="W8" s="45"/>
      <c r="X8" s="38">
        <v>49</v>
      </c>
      <c r="Y8" s="38">
        <v>47</v>
      </c>
      <c r="Z8" s="38">
        <v>12</v>
      </c>
      <c r="AA8" s="38">
        <v>18</v>
      </c>
      <c r="AB8" s="38">
        <v>52</v>
      </c>
      <c r="AC8" s="38">
        <v>39</v>
      </c>
      <c r="AD8" s="38">
        <v>1</v>
      </c>
      <c r="AE8" s="39">
        <v>27</v>
      </c>
      <c r="AF8" s="57"/>
      <c r="AG8" s="56">
        <v>2</v>
      </c>
      <c r="AH8" s="36" t="s">
        <v>99</v>
      </c>
      <c r="AI8" s="36" t="s">
        <v>59</v>
      </c>
      <c r="AJ8" s="1"/>
      <c r="AK8" s="5">
        <f t="shared" si="0"/>
        <v>4</v>
      </c>
      <c r="AL8" s="5"/>
      <c r="AM8" s="5">
        <v>4</v>
      </c>
      <c r="AN8" s="5" t="b">
        <f t="shared" ref="AN8:AN58" si="1">AK8=AM8</f>
        <v>1</v>
      </c>
      <c r="AO8" s="5"/>
      <c r="AP8" s="54">
        <v>2</v>
      </c>
      <c r="AQ8" s="50"/>
      <c r="AR8" s="50"/>
      <c r="AS8" s="50"/>
    </row>
    <row r="9" spans="2:48" ht="20.25" customHeight="1" thickBot="1" x14ac:dyDescent="0.25">
      <c r="B9" s="40"/>
      <c r="C9" s="33">
        <v>2</v>
      </c>
      <c r="D9" s="35" t="s">
        <v>45</v>
      </c>
      <c r="E9" s="38">
        <v>24</v>
      </c>
      <c r="F9" s="38">
        <v>56</v>
      </c>
      <c r="G9" s="38">
        <v>58</v>
      </c>
      <c r="H9" s="38">
        <v>50</v>
      </c>
      <c r="I9" s="39">
        <v>57</v>
      </c>
      <c r="J9" s="38">
        <v>20</v>
      </c>
      <c r="K9" s="38">
        <v>55</v>
      </c>
      <c r="L9" s="39">
        <v>54</v>
      </c>
      <c r="M9" s="46"/>
      <c r="N9" s="76">
        <v>35</v>
      </c>
      <c r="O9" s="38">
        <v>15</v>
      </c>
      <c r="P9" s="38">
        <v>21</v>
      </c>
      <c r="Q9" s="38">
        <v>33</v>
      </c>
      <c r="R9" s="38">
        <v>44</v>
      </c>
      <c r="S9" s="38">
        <v>42</v>
      </c>
      <c r="T9" s="38">
        <v>14</v>
      </c>
      <c r="U9" s="38">
        <v>19</v>
      </c>
      <c r="V9" s="38">
        <v>34</v>
      </c>
      <c r="W9" s="46"/>
      <c r="X9" s="38">
        <v>49</v>
      </c>
      <c r="Y9" s="38">
        <v>47</v>
      </c>
      <c r="Z9" s="38">
        <v>12</v>
      </c>
      <c r="AA9" s="38">
        <v>18</v>
      </c>
      <c r="AB9" s="38">
        <v>52</v>
      </c>
      <c r="AC9" s="38">
        <v>39</v>
      </c>
      <c r="AD9" s="38">
        <v>1</v>
      </c>
      <c r="AE9" s="39">
        <v>27</v>
      </c>
      <c r="AF9" s="58"/>
      <c r="AG9" s="56">
        <v>3</v>
      </c>
      <c r="AH9" s="36" t="s">
        <v>100</v>
      </c>
      <c r="AI9" s="36" t="s">
        <v>60</v>
      </c>
      <c r="AJ9" s="1"/>
      <c r="AK9" s="5">
        <f t="shared" si="0"/>
        <v>4</v>
      </c>
      <c r="AL9" s="5"/>
      <c r="AM9" s="5">
        <v>4</v>
      </c>
      <c r="AN9" s="5" t="b">
        <f t="shared" si="1"/>
        <v>1</v>
      </c>
      <c r="AO9" s="5"/>
      <c r="AP9" s="54">
        <v>3</v>
      </c>
      <c r="AQ9" s="50"/>
      <c r="AR9" s="50"/>
      <c r="AS9" s="50"/>
    </row>
    <row r="10" spans="2:48" ht="20.25" customHeight="1" thickBot="1" x14ac:dyDescent="0.25">
      <c r="B10" s="40" t="s">
        <v>1</v>
      </c>
      <c r="C10" s="33">
        <v>3</v>
      </c>
      <c r="D10" s="35" t="s">
        <v>46</v>
      </c>
      <c r="E10" s="38">
        <v>32</v>
      </c>
      <c r="F10" s="38">
        <v>24</v>
      </c>
      <c r="G10" s="38">
        <v>42</v>
      </c>
      <c r="H10" s="38">
        <v>56</v>
      </c>
      <c r="I10" s="39">
        <v>54</v>
      </c>
      <c r="J10" s="38">
        <v>57</v>
      </c>
      <c r="K10" s="38">
        <v>20</v>
      </c>
      <c r="L10" s="39">
        <v>55</v>
      </c>
      <c r="M10" s="46"/>
      <c r="N10" s="76">
        <v>44</v>
      </c>
      <c r="O10" s="38">
        <v>35</v>
      </c>
      <c r="P10" s="38">
        <v>14</v>
      </c>
      <c r="Q10" s="38">
        <v>15</v>
      </c>
      <c r="R10" s="38">
        <v>33</v>
      </c>
      <c r="S10" s="38">
        <v>36</v>
      </c>
      <c r="T10" s="38">
        <v>58</v>
      </c>
      <c r="U10" s="38">
        <v>34</v>
      </c>
      <c r="V10" s="38">
        <v>31</v>
      </c>
      <c r="W10" s="46"/>
      <c r="X10" s="38">
        <v>47</v>
      </c>
      <c r="Y10" s="38">
        <v>18</v>
      </c>
      <c r="Z10" s="38">
        <v>19</v>
      </c>
      <c r="AA10" s="38">
        <v>12</v>
      </c>
      <c r="AB10" s="38">
        <v>49</v>
      </c>
      <c r="AC10" s="38">
        <v>52</v>
      </c>
      <c r="AD10" s="38">
        <v>39</v>
      </c>
      <c r="AE10" s="39">
        <v>50</v>
      </c>
      <c r="AF10" s="58"/>
      <c r="AG10" s="56">
        <v>4</v>
      </c>
      <c r="AH10" s="36" t="s">
        <v>101</v>
      </c>
      <c r="AI10" s="36" t="s">
        <v>165</v>
      </c>
      <c r="AJ10" s="1"/>
      <c r="AK10" s="5">
        <f t="shared" si="0"/>
        <v>4</v>
      </c>
      <c r="AL10" s="5"/>
      <c r="AM10" s="5">
        <v>4</v>
      </c>
      <c r="AN10" s="5" t="b">
        <f t="shared" si="1"/>
        <v>1</v>
      </c>
      <c r="AO10" s="5"/>
      <c r="AP10" s="54">
        <v>4</v>
      </c>
      <c r="AQ10" s="50"/>
      <c r="AR10" s="50"/>
      <c r="AS10" s="50"/>
    </row>
    <row r="11" spans="2:48" ht="20.25" customHeight="1" thickBot="1" x14ac:dyDescent="0.25">
      <c r="B11" s="40"/>
      <c r="C11" s="33">
        <v>4</v>
      </c>
      <c r="D11" s="35" t="s">
        <v>47</v>
      </c>
      <c r="E11" s="38">
        <v>32</v>
      </c>
      <c r="F11" s="38">
        <v>24</v>
      </c>
      <c r="G11" s="38">
        <v>42</v>
      </c>
      <c r="H11" s="38">
        <v>56</v>
      </c>
      <c r="I11" s="39">
        <v>54</v>
      </c>
      <c r="J11" s="38">
        <v>57</v>
      </c>
      <c r="K11" s="38">
        <v>20</v>
      </c>
      <c r="L11" s="39">
        <v>55</v>
      </c>
      <c r="M11" s="77"/>
      <c r="N11" s="76">
        <v>44</v>
      </c>
      <c r="O11" s="38">
        <v>35</v>
      </c>
      <c r="P11" s="38">
        <v>14</v>
      </c>
      <c r="Q11" s="38">
        <v>15</v>
      </c>
      <c r="R11" s="38">
        <v>33</v>
      </c>
      <c r="S11" s="38">
        <v>36</v>
      </c>
      <c r="T11" s="38">
        <v>58</v>
      </c>
      <c r="U11" s="38">
        <v>34</v>
      </c>
      <c r="V11" s="38">
        <v>31</v>
      </c>
      <c r="W11" s="77"/>
      <c r="X11" s="38">
        <v>47</v>
      </c>
      <c r="Y11" s="38">
        <v>18</v>
      </c>
      <c r="Z11" s="38">
        <v>19</v>
      </c>
      <c r="AA11" s="38">
        <v>12</v>
      </c>
      <c r="AB11" s="38">
        <v>49</v>
      </c>
      <c r="AC11" s="38">
        <v>52</v>
      </c>
      <c r="AD11" s="38">
        <v>39</v>
      </c>
      <c r="AE11" s="39">
        <v>50</v>
      </c>
      <c r="AF11" s="59"/>
      <c r="AG11" s="56">
        <v>5</v>
      </c>
      <c r="AH11" s="41" t="s">
        <v>49</v>
      </c>
      <c r="AI11" s="41" t="s">
        <v>61</v>
      </c>
      <c r="AJ11" s="1"/>
      <c r="AK11" s="5">
        <f t="shared" si="0"/>
        <v>4</v>
      </c>
      <c r="AL11" s="5"/>
      <c r="AM11" s="5">
        <v>4</v>
      </c>
      <c r="AN11" s="5" t="b">
        <f t="shared" si="1"/>
        <v>1</v>
      </c>
      <c r="AO11" s="5"/>
      <c r="AP11" s="54">
        <v>5</v>
      </c>
      <c r="AQ11" s="50"/>
      <c r="AR11" s="50"/>
      <c r="AS11" s="50"/>
    </row>
    <row r="12" spans="2:48" ht="20.25" customHeight="1" thickBot="1" x14ac:dyDescent="0.25">
      <c r="B12" s="40" t="s">
        <v>24</v>
      </c>
      <c r="C12" s="32"/>
      <c r="D12" s="42" t="s">
        <v>48</v>
      </c>
      <c r="E12" s="80" t="s">
        <v>42</v>
      </c>
      <c r="F12" s="81"/>
      <c r="G12" s="81"/>
      <c r="H12" s="81"/>
      <c r="I12" s="81"/>
      <c r="J12" s="81"/>
      <c r="K12" s="81"/>
      <c r="L12" s="81"/>
      <c r="M12" s="109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2"/>
      <c r="AG12" s="35">
        <v>6</v>
      </c>
      <c r="AH12" s="41" t="s">
        <v>102</v>
      </c>
      <c r="AI12" s="36" t="s">
        <v>156</v>
      </c>
      <c r="AJ12" s="1"/>
      <c r="AK12" s="5">
        <f t="shared" si="0"/>
        <v>8</v>
      </c>
      <c r="AL12" s="5"/>
      <c r="AM12" s="5">
        <v>8</v>
      </c>
      <c r="AN12" s="5" t="b">
        <f t="shared" si="1"/>
        <v>1</v>
      </c>
      <c r="AO12" s="5"/>
      <c r="AP12" s="54">
        <v>6</v>
      </c>
      <c r="AQ12" s="50"/>
      <c r="AR12" s="50"/>
      <c r="AS12" s="50"/>
      <c r="AT12" s="49"/>
      <c r="AU12" s="49"/>
    </row>
    <row r="13" spans="2:48" ht="20.25" customHeight="1" thickBot="1" x14ac:dyDescent="0.25">
      <c r="B13" s="40"/>
      <c r="C13" s="33">
        <v>5</v>
      </c>
      <c r="D13" s="35" t="s">
        <v>38</v>
      </c>
      <c r="E13" s="38">
        <v>32</v>
      </c>
      <c r="F13" s="38">
        <v>52</v>
      </c>
      <c r="G13" s="38">
        <v>56</v>
      </c>
      <c r="H13" s="38">
        <v>24</v>
      </c>
      <c r="I13" s="39">
        <v>50</v>
      </c>
      <c r="J13" s="38">
        <v>55</v>
      </c>
      <c r="K13" s="38">
        <v>54</v>
      </c>
      <c r="L13" s="38">
        <v>57</v>
      </c>
      <c r="M13" s="45"/>
      <c r="N13" s="38">
        <v>15</v>
      </c>
      <c r="O13" s="38">
        <v>44</v>
      </c>
      <c r="P13" s="38">
        <v>35</v>
      </c>
      <c r="Q13" s="38">
        <v>36</v>
      </c>
      <c r="R13" s="38">
        <v>34</v>
      </c>
      <c r="S13" s="38">
        <v>14</v>
      </c>
      <c r="T13" s="38">
        <v>42</v>
      </c>
      <c r="U13" s="38">
        <v>58</v>
      </c>
      <c r="V13" s="38">
        <v>20</v>
      </c>
      <c r="W13" s="45"/>
      <c r="X13" s="38">
        <v>18</v>
      </c>
      <c r="Y13" s="38">
        <v>39</v>
      </c>
      <c r="Z13" s="38">
        <v>33</v>
      </c>
      <c r="AA13" s="38">
        <v>27</v>
      </c>
      <c r="AB13" s="38">
        <v>47</v>
      </c>
      <c r="AC13" s="38">
        <v>49</v>
      </c>
      <c r="AD13" s="38">
        <v>60</v>
      </c>
      <c r="AE13" s="39">
        <v>1</v>
      </c>
      <c r="AF13" s="57"/>
      <c r="AG13" s="35">
        <v>7</v>
      </c>
      <c r="AH13" s="36" t="s">
        <v>103</v>
      </c>
      <c r="AI13" s="36" t="s">
        <v>157</v>
      </c>
      <c r="AJ13" s="1"/>
      <c r="AK13" s="5">
        <f t="shared" si="0"/>
        <v>14</v>
      </c>
      <c r="AL13" s="5"/>
      <c r="AM13" s="5">
        <v>14</v>
      </c>
      <c r="AN13" s="5" t="b">
        <f t="shared" si="1"/>
        <v>1</v>
      </c>
      <c r="AO13" s="5"/>
      <c r="AP13" s="54">
        <v>7</v>
      </c>
      <c r="AQ13" s="50"/>
      <c r="AR13" s="50"/>
      <c r="AS13" s="11"/>
      <c r="AT13" s="49"/>
      <c r="AU13" s="49"/>
      <c r="AV13" s="49"/>
    </row>
    <row r="14" spans="2:48" ht="20.25" customHeight="1" thickBot="1" x14ac:dyDescent="0.25">
      <c r="B14" s="40" t="s">
        <v>2</v>
      </c>
      <c r="C14" s="33">
        <v>6</v>
      </c>
      <c r="D14" s="35" t="s">
        <v>39</v>
      </c>
      <c r="E14" s="38">
        <v>32</v>
      </c>
      <c r="F14" s="38">
        <v>52</v>
      </c>
      <c r="G14" s="38">
        <v>56</v>
      </c>
      <c r="H14" s="38">
        <v>24</v>
      </c>
      <c r="I14" s="39">
        <v>50</v>
      </c>
      <c r="J14" s="38">
        <v>55</v>
      </c>
      <c r="K14" s="38">
        <v>54</v>
      </c>
      <c r="L14" s="38">
        <v>57</v>
      </c>
      <c r="M14" s="46"/>
      <c r="N14" s="38">
        <v>15</v>
      </c>
      <c r="O14" s="38">
        <v>44</v>
      </c>
      <c r="P14" s="38">
        <v>35</v>
      </c>
      <c r="Q14" s="38">
        <v>36</v>
      </c>
      <c r="R14" s="38">
        <v>34</v>
      </c>
      <c r="S14" s="38">
        <v>14</v>
      </c>
      <c r="T14" s="38">
        <v>42</v>
      </c>
      <c r="U14" s="38">
        <v>58</v>
      </c>
      <c r="V14" s="38">
        <v>20</v>
      </c>
      <c r="W14" s="46"/>
      <c r="X14" s="38">
        <v>18</v>
      </c>
      <c r="Y14" s="38">
        <v>39</v>
      </c>
      <c r="Z14" s="38">
        <v>33</v>
      </c>
      <c r="AA14" s="38">
        <v>27</v>
      </c>
      <c r="AB14" s="38">
        <v>47</v>
      </c>
      <c r="AC14" s="38">
        <v>49</v>
      </c>
      <c r="AD14" s="38">
        <v>60</v>
      </c>
      <c r="AE14" s="39">
        <v>1</v>
      </c>
      <c r="AF14" s="58"/>
      <c r="AG14" s="35">
        <v>8</v>
      </c>
      <c r="AH14" s="36" t="s">
        <v>104</v>
      </c>
      <c r="AI14" s="36" t="s">
        <v>156</v>
      </c>
      <c r="AJ14" s="1"/>
      <c r="AK14" s="5">
        <f t="shared" si="0"/>
        <v>24</v>
      </c>
      <c r="AL14" s="5"/>
      <c r="AM14" s="5">
        <v>24</v>
      </c>
      <c r="AN14" s="5" t="b">
        <f t="shared" si="1"/>
        <v>1</v>
      </c>
      <c r="AO14" s="5"/>
      <c r="AP14" s="54">
        <v>8</v>
      </c>
      <c r="AQ14" s="50"/>
      <c r="AR14" s="50"/>
      <c r="AS14" s="11"/>
      <c r="AT14" s="49"/>
      <c r="AU14" s="49"/>
      <c r="AV14" s="49"/>
    </row>
    <row r="15" spans="2:48" ht="20.25" customHeight="1" thickBot="1" x14ac:dyDescent="0.25">
      <c r="B15" s="40"/>
      <c r="C15" s="33">
        <v>7</v>
      </c>
      <c r="D15" s="35" t="s">
        <v>40</v>
      </c>
      <c r="E15" s="38">
        <v>17</v>
      </c>
      <c r="F15" s="38">
        <v>58</v>
      </c>
      <c r="G15" s="38">
        <v>24</v>
      </c>
      <c r="H15" s="38">
        <v>42</v>
      </c>
      <c r="I15" s="39">
        <v>56</v>
      </c>
      <c r="J15" s="38">
        <v>50</v>
      </c>
      <c r="K15" s="38">
        <v>57</v>
      </c>
      <c r="L15" s="38">
        <v>20</v>
      </c>
      <c r="M15" s="46"/>
      <c r="N15" s="38">
        <v>47</v>
      </c>
      <c r="O15" s="38">
        <v>14</v>
      </c>
      <c r="P15" s="38">
        <v>15</v>
      </c>
      <c r="Q15" s="38">
        <v>35</v>
      </c>
      <c r="R15" s="38">
        <v>36</v>
      </c>
      <c r="S15" s="38">
        <v>19</v>
      </c>
      <c r="T15" s="38">
        <v>44</v>
      </c>
      <c r="U15" s="38">
        <v>27</v>
      </c>
      <c r="V15" s="38">
        <v>54</v>
      </c>
      <c r="W15" s="46"/>
      <c r="X15" s="38">
        <v>39</v>
      </c>
      <c r="Y15" s="38">
        <v>34</v>
      </c>
      <c r="Z15" s="38">
        <v>18</v>
      </c>
      <c r="AA15" s="38">
        <v>49</v>
      </c>
      <c r="AB15" s="38">
        <v>32</v>
      </c>
      <c r="AC15" s="38">
        <v>22</v>
      </c>
      <c r="AD15" s="38">
        <v>33</v>
      </c>
      <c r="AE15" s="39">
        <v>60</v>
      </c>
      <c r="AF15" s="58"/>
      <c r="AG15" s="35">
        <v>9</v>
      </c>
      <c r="AH15" s="36" t="s">
        <v>20</v>
      </c>
      <c r="AI15" s="36" t="s">
        <v>158</v>
      </c>
      <c r="AJ15" s="1"/>
      <c r="AK15" s="5">
        <f t="shared" si="0"/>
        <v>16</v>
      </c>
      <c r="AL15" s="5"/>
      <c r="AM15" s="5">
        <v>16</v>
      </c>
      <c r="AN15" s="5" t="b">
        <f t="shared" si="1"/>
        <v>1</v>
      </c>
      <c r="AO15" s="5"/>
      <c r="AP15" s="54">
        <v>9</v>
      </c>
      <c r="AQ15" s="50"/>
      <c r="AR15" s="11"/>
      <c r="AS15" s="11"/>
      <c r="AT15" s="49"/>
      <c r="AU15" s="49"/>
      <c r="AV15" s="49"/>
    </row>
    <row r="16" spans="2:48" ht="20.25" customHeight="1" thickBot="1" x14ac:dyDescent="0.25">
      <c r="B16" s="40" t="s">
        <v>3</v>
      </c>
      <c r="C16" s="33">
        <v>8</v>
      </c>
      <c r="D16" s="35" t="s">
        <v>41</v>
      </c>
      <c r="E16" s="38">
        <v>17</v>
      </c>
      <c r="F16" s="38">
        <v>58</v>
      </c>
      <c r="G16" s="38">
        <v>24</v>
      </c>
      <c r="H16" s="38">
        <v>42</v>
      </c>
      <c r="I16" s="39">
        <v>56</v>
      </c>
      <c r="J16" s="38">
        <v>50</v>
      </c>
      <c r="K16" s="38">
        <v>57</v>
      </c>
      <c r="L16" s="38">
        <v>20</v>
      </c>
      <c r="M16" s="77"/>
      <c r="N16" s="38">
        <v>47</v>
      </c>
      <c r="O16" s="38">
        <v>14</v>
      </c>
      <c r="P16" s="38">
        <v>15</v>
      </c>
      <c r="Q16" s="38">
        <v>35</v>
      </c>
      <c r="R16" s="38">
        <v>36</v>
      </c>
      <c r="S16" s="38">
        <v>19</v>
      </c>
      <c r="T16" s="38">
        <v>44</v>
      </c>
      <c r="U16" s="38">
        <v>27</v>
      </c>
      <c r="V16" s="38">
        <v>54</v>
      </c>
      <c r="W16" s="77"/>
      <c r="X16" s="38">
        <v>39</v>
      </c>
      <c r="Y16" s="38">
        <v>34</v>
      </c>
      <c r="Z16" s="38">
        <v>18</v>
      </c>
      <c r="AA16" s="38">
        <v>49</v>
      </c>
      <c r="AB16" s="38">
        <v>32</v>
      </c>
      <c r="AC16" s="38">
        <v>22</v>
      </c>
      <c r="AD16" s="38">
        <v>33</v>
      </c>
      <c r="AE16" s="39">
        <v>60</v>
      </c>
      <c r="AF16" s="59"/>
      <c r="AG16" s="35">
        <v>10</v>
      </c>
      <c r="AH16" s="36" t="s">
        <v>21</v>
      </c>
      <c r="AI16" s="36" t="s">
        <v>156</v>
      </c>
      <c r="AJ16" s="1"/>
      <c r="AK16" s="5">
        <f t="shared" si="0"/>
        <v>23</v>
      </c>
      <c r="AL16" s="5"/>
      <c r="AM16" s="5">
        <v>23</v>
      </c>
      <c r="AN16" s="5" t="b">
        <f t="shared" si="1"/>
        <v>1</v>
      </c>
      <c r="AO16" s="5"/>
      <c r="AP16" s="54">
        <v>10</v>
      </c>
      <c r="AQ16" s="50"/>
      <c r="AR16" s="50"/>
      <c r="AS16" s="11"/>
      <c r="AT16" s="49"/>
      <c r="AU16" s="49"/>
      <c r="AV16" s="49"/>
    </row>
    <row r="17" spans="2:48" ht="20.25" customHeight="1" thickBot="1" x14ac:dyDescent="0.25">
      <c r="B17" s="33"/>
      <c r="C17" s="33"/>
      <c r="D17" s="34" t="s">
        <v>43</v>
      </c>
      <c r="E17" s="83" t="s">
        <v>23</v>
      </c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5"/>
      <c r="AG17" s="35">
        <v>11</v>
      </c>
      <c r="AH17" s="36" t="s">
        <v>22</v>
      </c>
      <c r="AI17" s="36" t="s">
        <v>157</v>
      </c>
      <c r="AJ17" s="1"/>
      <c r="AK17" s="5">
        <f t="shared" si="0"/>
        <v>14</v>
      </c>
      <c r="AL17" s="5"/>
      <c r="AM17" s="5">
        <v>14</v>
      </c>
      <c r="AN17" s="5" t="b">
        <f t="shared" si="1"/>
        <v>1</v>
      </c>
      <c r="AO17" s="5"/>
      <c r="AP17" s="54">
        <v>13</v>
      </c>
      <c r="AQ17" s="11"/>
      <c r="AR17" s="11"/>
      <c r="AS17" s="11"/>
      <c r="AT17" s="49"/>
      <c r="AU17" s="49"/>
      <c r="AV17" s="49"/>
    </row>
    <row r="18" spans="2:48" ht="20.25" customHeight="1" thickBot="1" x14ac:dyDescent="0.25">
      <c r="B18" s="37"/>
      <c r="C18" s="33">
        <v>1</v>
      </c>
      <c r="D18" s="35" t="s">
        <v>85</v>
      </c>
      <c r="E18" s="38">
        <v>40</v>
      </c>
      <c r="F18" s="38">
        <v>61</v>
      </c>
      <c r="G18" s="38">
        <v>10</v>
      </c>
      <c r="H18" s="38">
        <v>43</v>
      </c>
      <c r="I18" s="39">
        <v>51</v>
      </c>
      <c r="J18" s="38">
        <v>58</v>
      </c>
      <c r="K18" s="38">
        <v>60</v>
      </c>
      <c r="L18" s="38">
        <v>46</v>
      </c>
      <c r="M18" s="45"/>
      <c r="N18" s="38">
        <v>38</v>
      </c>
      <c r="O18" s="38">
        <v>47</v>
      </c>
      <c r="P18" s="38">
        <v>36</v>
      </c>
      <c r="Q18" s="38">
        <v>24</v>
      </c>
      <c r="R18" s="38">
        <v>45</v>
      </c>
      <c r="S18" s="38">
        <v>30</v>
      </c>
      <c r="T18" s="38">
        <v>37</v>
      </c>
      <c r="U18" s="38">
        <v>31</v>
      </c>
      <c r="V18" s="38">
        <v>41</v>
      </c>
      <c r="W18" s="45"/>
      <c r="X18" s="38">
        <v>21</v>
      </c>
      <c r="Y18" s="38">
        <v>49</v>
      </c>
      <c r="Z18" s="38">
        <v>42</v>
      </c>
      <c r="AA18" s="38">
        <v>39</v>
      </c>
      <c r="AB18" s="38">
        <v>18</v>
      </c>
      <c r="AC18" s="38">
        <v>55</v>
      </c>
      <c r="AD18" s="38">
        <v>52</v>
      </c>
      <c r="AE18" s="39">
        <v>12</v>
      </c>
      <c r="AF18" s="57"/>
      <c r="AG18" s="35">
        <v>12</v>
      </c>
      <c r="AH18" s="36" t="s">
        <v>105</v>
      </c>
      <c r="AI18" s="36" t="s">
        <v>159</v>
      </c>
      <c r="AJ18" s="1"/>
      <c r="AK18" s="5">
        <f t="shared" si="0"/>
        <v>12</v>
      </c>
      <c r="AL18" s="5"/>
      <c r="AM18" s="5">
        <v>12</v>
      </c>
      <c r="AN18" s="5" t="b">
        <f t="shared" si="1"/>
        <v>1</v>
      </c>
      <c r="AO18" s="5"/>
      <c r="AP18" s="54">
        <v>14</v>
      </c>
      <c r="AQ18" s="11"/>
      <c r="AR18" s="11"/>
      <c r="AS18" s="11"/>
      <c r="AT18" s="49"/>
      <c r="AU18" s="49"/>
      <c r="AV18" s="49"/>
    </row>
    <row r="19" spans="2:48" ht="20.25" customHeight="1" thickBot="1" x14ac:dyDescent="0.25">
      <c r="B19" s="40" t="s">
        <v>1</v>
      </c>
      <c r="C19" s="33">
        <v>2</v>
      </c>
      <c r="D19" s="35" t="s">
        <v>86</v>
      </c>
      <c r="E19" s="38">
        <v>40</v>
      </c>
      <c r="F19" s="38">
        <v>61</v>
      </c>
      <c r="G19" s="38">
        <v>10</v>
      </c>
      <c r="H19" s="38">
        <v>43</v>
      </c>
      <c r="I19" s="39">
        <v>51</v>
      </c>
      <c r="J19" s="38">
        <v>58</v>
      </c>
      <c r="K19" s="38">
        <v>60</v>
      </c>
      <c r="L19" s="38">
        <v>46</v>
      </c>
      <c r="M19" s="46"/>
      <c r="N19" s="38">
        <v>38</v>
      </c>
      <c r="O19" s="38">
        <v>47</v>
      </c>
      <c r="P19" s="38">
        <v>36</v>
      </c>
      <c r="Q19" s="38">
        <v>24</v>
      </c>
      <c r="R19" s="38">
        <v>45</v>
      </c>
      <c r="S19" s="38">
        <v>30</v>
      </c>
      <c r="T19" s="38">
        <v>37</v>
      </c>
      <c r="U19" s="38">
        <v>31</v>
      </c>
      <c r="V19" s="38">
        <v>41</v>
      </c>
      <c r="W19" s="46"/>
      <c r="X19" s="38">
        <v>21</v>
      </c>
      <c r="Y19" s="38">
        <v>49</v>
      </c>
      <c r="Z19" s="38">
        <v>42</v>
      </c>
      <c r="AA19" s="38">
        <v>39</v>
      </c>
      <c r="AB19" s="38">
        <v>18</v>
      </c>
      <c r="AC19" s="38">
        <v>55</v>
      </c>
      <c r="AD19" s="38">
        <v>52</v>
      </c>
      <c r="AE19" s="39">
        <v>12</v>
      </c>
      <c r="AF19" s="58"/>
      <c r="AG19" s="35">
        <v>13</v>
      </c>
      <c r="AH19" s="36" t="s">
        <v>10</v>
      </c>
      <c r="AI19" s="36" t="s">
        <v>62</v>
      </c>
      <c r="AJ19" s="1"/>
      <c r="AK19" s="5">
        <f t="shared" si="0"/>
        <v>12</v>
      </c>
      <c r="AL19" s="5"/>
      <c r="AM19" s="5">
        <v>12</v>
      </c>
      <c r="AN19" s="5" t="b">
        <f t="shared" si="1"/>
        <v>1</v>
      </c>
      <c r="AO19" s="5"/>
      <c r="AP19" s="54">
        <v>15</v>
      </c>
      <c r="AQ19" s="11"/>
      <c r="AR19" s="11"/>
      <c r="AS19" s="11"/>
      <c r="AT19" s="49"/>
      <c r="AU19" s="49"/>
      <c r="AV19" s="49"/>
    </row>
    <row r="20" spans="2:48" ht="20.25" customHeight="1" thickBot="1" x14ac:dyDescent="0.25">
      <c r="B20" s="40"/>
      <c r="C20" s="33">
        <v>3</v>
      </c>
      <c r="D20" s="35" t="s">
        <v>87</v>
      </c>
      <c r="E20" s="38">
        <v>46</v>
      </c>
      <c r="F20" s="38">
        <v>43</v>
      </c>
      <c r="G20" s="38">
        <v>28</v>
      </c>
      <c r="H20" s="38">
        <v>10</v>
      </c>
      <c r="I20" s="39">
        <v>55</v>
      </c>
      <c r="J20" s="38">
        <v>60</v>
      </c>
      <c r="K20" s="38">
        <v>58</v>
      </c>
      <c r="L20" s="38">
        <v>31</v>
      </c>
      <c r="M20" s="46"/>
      <c r="N20" s="38">
        <v>36</v>
      </c>
      <c r="O20" s="38">
        <v>32</v>
      </c>
      <c r="P20" s="38">
        <v>21</v>
      </c>
      <c r="Q20" s="38">
        <v>39</v>
      </c>
      <c r="R20" s="38">
        <v>24</v>
      </c>
      <c r="S20" s="38">
        <v>37</v>
      </c>
      <c r="T20" s="38">
        <v>54</v>
      </c>
      <c r="U20" s="38">
        <v>42</v>
      </c>
      <c r="V20" s="38">
        <v>51</v>
      </c>
      <c r="W20" s="46"/>
      <c r="X20" s="38">
        <v>40</v>
      </c>
      <c r="Y20" s="38">
        <v>30</v>
      </c>
      <c r="Z20" s="38">
        <v>49</v>
      </c>
      <c r="AA20" s="38">
        <v>47</v>
      </c>
      <c r="AB20" s="38">
        <v>45</v>
      </c>
      <c r="AC20" s="38">
        <v>12</v>
      </c>
      <c r="AD20" s="38">
        <v>18</v>
      </c>
      <c r="AE20" s="39">
        <v>52</v>
      </c>
      <c r="AF20" s="58"/>
      <c r="AG20" s="35">
        <v>14</v>
      </c>
      <c r="AH20" s="36" t="s">
        <v>106</v>
      </c>
      <c r="AI20" s="36" t="s">
        <v>160</v>
      </c>
      <c r="AJ20" s="1"/>
      <c r="AK20" s="5">
        <f t="shared" si="0"/>
        <v>32</v>
      </c>
      <c r="AL20" s="5"/>
      <c r="AM20" s="5">
        <v>32</v>
      </c>
      <c r="AN20" s="5" t="b">
        <f t="shared" si="1"/>
        <v>1</v>
      </c>
      <c r="AO20" s="5"/>
      <c r="AP20" s="54">
        <v>16</v>
      </c>
      <c r="AQ20" s="11"/>
      <c r="AR20" s="11"/>
      <c r="AS20" s="11"/>
      <c r="AT20" s="49"/>
      <c r="AU20" s="49"/>
      <c r="AV20" s="49"/>
    </row>
    <row r="21" spans="2:48" ht="20.25" customHeight="1" thickBot="1" x14ac:dyDescent="0.25">
      <c r="B21" s="40" t="s">
        <v>9</v>
      </c>
      <c r="C21" s="33">
        <v>4</v>
      </c>
      <c r="D21" s="35" t="s">
        <v>88</v>
      </c>
      <c r="E21" s="38">
        <v>46</v>
      </c>
      <c r="F21" s="38">
        <v>43</v>
      </c>
      <c r="G21" s="38">
        <v>28</v>
      </c>
      <c r="H21" s="38">
        <v>10</v>
      </c>
      <c r="I21" s="39">
        <v>55</v>
      </c>
      <c r="J21" s="38">
        <v>60</v>
      </c>
      <c r="K21" s="38">
        <v>58</v>
      </c>
      <c r="L21" s="38">
        <v>31</v>
      </c>
      <c r="M21" s="77"/>
      <c r="N21" s="38">
        <v>36</v>
      </c>
      <c r="O21" s="38">
        <v>32</v>
      </c>
      <c r="P21" s="38">
        <v>21</v>
      </c>
      <c r="Q21" s="38">
        <v>39</v>
      </c>
      <c r="R21" s="38">
        <v>24</v>
      </c>
      <c r="S21" s="38">
        <v>37</v>
      </c>
      <c r="T21" s="38">
        <v>54</v>
      </c>
      <c r="U21" s="38">
        <v>42</v>
      </c>
      <c r="V21" s="38">
        <v>51</v>
      </c>
      <c r="W21" s="77"/>
      <c r="X21" s="38">
        <v>40</v>
      </c>
      <c r="Y21" s="38">
        <v>30</v>
      </c>
      <c r="Z21" s="38">
        <v>49</v>
      </c>
      <c r="AA21" s="38">
        <v>47</v>
      </c>
      <c r="AB21" s="38">
        <v>45</v>
      </c>
      <c r="AC21" s="38">
        <v>12</v>
      </c>
      <c r="AD21" s="38">
        <v>18</v>
      </c>
      <c r="AE21" s="39">
        <v>52</v>
      </c>
      <c r="AF21" s="59"/>
      <c r="AG21" s="35">
        <v>15</v>
      </c>
      <c r="AH21" s="36" t="s">
        <v>107</v>
      </c>
      <c r="AI21" s="36" t="s">
        <v>58</v>
      </c>
      <c r="AJ21" s="1"/>
      <c r="AK21" s="5">
        <f t="shared" si="0"/>
        <v>31</v>
      </c>
      <c r="AL21" s="5"/>
      <c r="AM21" s="5">
        <v>31</v>
      </c>
      <c r="AN21" s="5" t="b">
        <f t="shared" si="1"/>
        <v>1</v>
      </c>
      <c r="AO21" s="5"/>
      <c r="AP21" s="54">
        <v>17</v>
      </c>
      <c r="AQ21" s="11"/>
      <c r="AR21" s="11"/>
      <c r="AS21" s="11"/>
      <c r="AT21" s="49"/>
      <c r="AU21" s="49"/>
      <c r="AV21" s="49"/>
    </row>
    <row r="22" spans="2:48" ht="20.25" customHeight="1" thickBot="1" x14ac:dyDescent="0.25">
      <c r="B22" s="40"/>
      <c r="C22" s="33"/>
      <c r="D22" s="42" t="s">
        <v>47</v>
      </c>
      <c r="E22" s="80" t="s">
        <v>42</v>
      </c>
      <c r="F22" s="81"/>
      <c r="G22" s="81"/>
      <c r="H22" s="81"/>
      <c r="I22" s="81"/>
      <c r="J22" s="81"/>
      <c r="K22" s="81"/>
      <c r="L22" s="81"/>
      <c r="M22" s="110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  <c r="AG22" s="35">
        <v>16</v>
      </c>
      <c r="AH22" s="36" t="s">
        <v>108</v>
      </c>
      <c r="AI22" s="36" t="s">
        <v>179</v>
      </c>
      <c r="AJ22" s="1"/>
      <c r="AK22" s="5">
        <f t="shared" si="0"/>
        <v>12</v>
      </c>
      <c r="AL22" s="5"/>
      <c r="AM22" s="5">
        <v>12</v>
      </c>
      <c r="AN22" s="5" t="b">
        <f t="shared" si="1"/>
        <v>1</v>
      </c>
      <c r="AO22" s="5"/>
      <c r="AP22" s="54">
        <v>18</v>
      </c>
      <c r="AQ22" s="11"/>
      <c r="AR22" s="11"/>
      <c r="AS22" s="11"/>
      <c r="AT22" s="49"/>
      <c r="AU22" s="49"/>
      <c r="AV22" s="49"/>
    </row>
    <row r="23" spans="2:48" ht="20.25" customHeight="1" thickBot="1" x14ac:dyDescent="0.25">
      <c r="B23" s="40" t="s">
        <v>1</v>
      </c>
      <c r="C23" s="33">
        <v>5</v>
      </c>
      <c r="D23" s="35" t="s">
        <v>89</v>
      </c>
      <c r="E23" s="38">
        <v>43</v>
      </c>
      <c r="F23" s="38">
        <v>28</v>
      </c>
      <c r="G23" s="38">
        <v>52</v>
      </c>
      <c r="H23" s="38">
        <v>33</v>
      </c>
      <c r="I23" s="39">
        <v>58</v>
      </c>
      <c r="J23" s="38">
        <v>24</v>
      </c>
      <c r="K23" s="38">
        <v>64</v>
      </c>
      <c r="L23" s="39">
        <v>38</v>
      </c>
      <c r="M23" s="45"/>
      <c r="N23" s="76">
        <v>31</v>
      </c>
      <c r="O23" s="38">
        <v>30</v>
      </c>
      <c r="P23" s="38">
        <v>44</v>
      </c>
      <c r="Q23" s="38">
        <v>46</v>
      </c>
      <c r="R23" s="38">
        <v>35</v>
      </c>
      <c r="S23" s="38">
        <v>45</v>
      </c>
      <c r="T23" s="38">
        <v>56</v>
      </c>
      <c r="U23" s="38">
        <v>51</v>
      </c>
      <c r="V23" s="38">
        <v>42</v>
      </c>
      <c r="W23" s="45"/>
      <c r="X23" s="38">
        <v>37</v>
      </c>
      <c r="Y23" s="38">
        <v>59</v>
      </c>
      <c r="Z23" s="38">
        <v>40</v>
      </c>
      <c r="AA23" s="38">
        <v>5</v>
      </c>
      <c r="AB23" s="38">
        <v>21</v>
      </c>
      <c r="AC23" s="38">
        <v>47</v>
      </c>
      <c r="AD23" s="38">
        <v>12</v>
      </c>
      <c r="AE23" s="39">
        <v>18</v>
      </c>
      <c r="AF23" s="45"/>
      <c r="AG23" s="35">
        <v>17</v>
      </c>
      <c r="AH23" s="36" t="s">
        <v>109</v>
      </c>
      <c r="AI23" s="36" t="s">
        <v>64</v>
      </c>
      <c r="AJ23" s="1"/>
      <c r="AK23" s="5">
        <f t="shared" si="0"/>
        <v>23</v>
      </c>
      <c r="AL23" s="5"/>
      <c r="AM23" s="5">
        <v>23</v>
      </c>
      <c r="AN23" s="5" t="b">
        <f t="shared" si="1"/>
        <v>1</v>
      </c>
      <c r="AO23" s="5"/>
      <c r="AP23" s="54">
        <v>19</v>
      </c>
      <c r="AQ23" s="11"/>
      <c r="AR23" s="11"/>
      <c r="AS23" s="11"/>
      <c r="AT23" s="49"/>
      <c r="AU23" s="49"/>
      <c r="AV23" s="49"/>
    </row>
    <row r="24" spans="2:48" ht="20.25" customHeight="1" thickBot="1" x14ac:dyDescent="0.25">
      <c r="B24" s="40"/>
      <c r="C24" s="33">
        <v>6</v>
      </c>
      <c r="D24" s="35" t="s">
        <v>90</v>
      </c>
      <c r="E24" s="38">
        <v>43</v>
      </c>
      <c r="F24" s="38">
        <v>28</v>
      </c>
      <c r="G24" s="38">
        <v>52</v>
      </c>
      <c r="H24" s="38">
        <v>33</v>
      </c>
      <c r="I24" s="39">
        <v>58</v>
      </c>
      <c r="J24" s="38">
        <v>24</v>
      </c>
      <c r="K24" s="38">
        <v>64</v>
      </c>
      <c r="L24" s="39">
        <v>38</v>
      </c>
      <c r="M24" s="46"/>
      <c r="N24" s="76">
        <v>31</v>
      </c>
      <c r="O24" s="38">
        <v>30</v>
      </c>
      <c r="P24" s="38">
        <v>44</v>
      </c>
      <c r="Q24" s="38">
        <v>46</v>
      </c>
      <c r="R24" s="38">
        <v>35</v>
      </c>
      <c r="S24" s="38">
        <v>45</v>
      </c>
      <c r="T24" s="38">
        <v>56</v>
      </c>
      <c r="U24" s="38">
        <v>51</v>
      </c>
      <c r="V24" s="38">
        <v>42</v>
      </c>
      <c r="W24" s="46"/>
      <c r="X24" s="38">
        <v>37</v>
      </c>
      <c r="Y24" s="38">
        <v>59</v>
      </c>
      <c r="Z24" s="38">
        <v>40</v>
      </c>
      <c r="AA24" s="38">
        <v>5</v>
      </c>
      <c r="AB24" s="38">
        <v>21</v>
      </c>
      <c r="AC24" s="38">
        <v>47</v>
      </c>
      <c r="AD24" s="38">
        <v>12</v>
      </c>
      <c r="AE24" s="39">
        <v>18</v>
      </c>
      <c r="AF24" s="46"/>
      <c r="AG24" s="35">
        <v>18</v>
      </c>
      <c r="AH24" s="36" t="s">
        <v>110</v>
      </c>
      <c r="AI24" s="36" t="s">
        <v>161</v>
      </c>
      <c r="AJ24" s="1"/>
      <c r="AK24" s="5">
        <f t="shared" si="0"/>
        <v>26</v>
      </c>
      <c r="AL24" s="5"/>
      <c r="AM24" s="5">
        <v>26</v>
      </c>
      <c r="AN24" s="5" t="b">
        <f t="shared" si="1"/>
        <v>1</v>
      </c>
      <c r="AO24" s="5"/>
      <c r="AP24" s="54">
        <v>20</v>
      </c>
      <c r="AQ24" s="11"/>
      <c r="AR24" s="11"/>
      <c r="AS24" s="11"/>
      <c r="AT24" s="49"/>
      <c r="AU24" s="49"/>
      <c r="AV24" s="49"/>
    </row>
    <row r="25" spans="2:48" ht="20.25" customHeight="1" thickBot="1" x14ac:dyDescent="0.25">
      <c r="B25" s="40" t="s">
        <v>5</v>
      </c>
      <c r="C25" s="33">
        <v>7</v>
      </c>
      <c r="D25" s="35" t="s">
        <v>91</v>
      </c>
      <c r="E25" s="38">
        <v>28</v>
      </c>
      <c r="F25" s="38">
        <v>46</v>
      </c>
      <c r="G25" s="38">
        <v>43</v>
      </c>
      <c r="H25" s="38">
        <v>61</v>
      </c>
      <c r="I25" s="39">
        <v>60</v>
      </c>
      <c r="J25" s="38">
        <v>37</v>
      </c>
      <c r="K25" s="38">
        <v>24</v>
      </c>
      <c r="L25" s="39">
        <v>59</v>
      </c>
      <c r="M25" s="46"/>
      <c r="N25" s="76">
        <v>38</v>
      </c>
      <c r="O25" s="38">
        <v>36</v>
      </c>
      <c r="P25" s="38">
        <v>30</v>
      </c>
      <c r="Q25" s="38">
        <v>51</v>
      </c>
      <c r="R25" s="38">
        <v>42</v>
      </c>
      <c r="S25" s="38">
        <v>35</v>
      </c>
      <c r="T25" s="38">
        <v>31</v>
      </c>
      <c r="U25" s="38">
        <v>44</v>
      </c>
      <c r="V25" s="38">
        <v>45</v>
      </c>
      <c r="W25" s="46"/>
      <c r="X25" s="38">
        <v>4</v>
      </c>
      <c r="Y25" s="38">
        <v>21</v>
      </c>
      <c r="Z25" s="38">
        <v>39</v>
      </c>
      <c r="AA25" s="38">
        <v>58</v>
      </c>
      <c r="AB25" s="38">
        <v>12</v>
      </c>
      <c r="AC25" s="38">
        <v>18</v>
      </c>
      <c r="AD25" s="38">
        <v>47</v>
      </c>
      <c r="AE25" s="39">
        <v>55</v>
      </c>
      <c r="AF25" s="46"/>
      <c r="AG25" s="35">
        <v>19</v>
      </c>
      <c r="AH25" s="36" t="s">
        <v>111</v>
      </c>
      <c r="AI25" s="36" t="s">
        <v>162</v>
      </c>
      <c r="AJ25" s="1"/>
      <c r="AK25" s="5">
        <f t="shared" si="0"/>
        <v>25</v>
      </c>
      <c r="AL25" s="5"/>
      <c r="AM25" s="5">
        <v>25</v>
      </c>
      <c r="AN25" s="5" t="b">
        <f t="shared" si="1"/>
        <v>1</v>
      </c>
      <c r="AO25" s="5"/>
      <c r="AP25" s="54">
        <v>21</v>
      </c>
      <c r="AQ25" s="11"/>
      <c r="AR25" s="11"/>
      <c r="AS25" s="11"/>
      <c r="AT25" s="49"/>
      <c r="AU25" s="49"/>
      <c r="AV25" s="49"/>
    </row>
    <row r="26" spans="2:48" ht="20.25" customHeight="1" thickBot="1" x14ac:dyDescent="0.25">
      <c r="B26" s="40"/>
      <c r="C26" s="33">
        <v>8</v>
      </c>
      <c r="D26" s="35" t="s">
        <v>92</v>
      </c>
      <c r="E26" s="38">
        <v>28</v>
      </c>
      <c r="F26" s="38">
        <v>46</v>
      </c>
      <c r="G26" s="38">
        <v>43</v>
      </c>
      <c r="H26" s="38">
        <v>61</v>
      </c>
      <c r="I26" s="39">
        <v>60</v>
      </c>
      <c r="J26" s="38">
        <v>37</v>
      </c>
      <c r="K26" s="38">
        <v>24</v>
      </c>
      <c r="L26" s="39">
        <v>59</v>
      </c>
      <c r="M26" s="46"/>
      <c r="N26" s="76">
        <v>38</v>
      </c>
      <c r="O26" s="38">
        <v>36</v>
      </c>
      <c r="P26" s="38">
        <v>30</v>
      </c>
      <c r="Q26" s="38">
        <v>51</v>
      </c>
      <c r="R26" s="38">
        <v>42</v>
      </c>
      <c r="S26" s="38">
        <v>35</v>
      </c>
      <c r="T26" s="38">
        <v>31</v>
      </c>
      <c r="U26" s="38">
        <v>44</v>
      </c>
      <c r="V26" s="38">
        <v>45</v>
      </c>
      <c r="W26" s="46"/>
      <c r="X26" s="38">
        <v>4</v>
      </c>
      <c r="Y26" s="38">
        <v>21</v>
      </c>
      <c r="Z26" s="38">
        <v>39</v>
      </c>
      <c r="AA26" s="38">
        <v>58</v>
      </c>
      <c r="AB26" s="38">
        <v>12</v>
      </c>
      <c r="AC26" s="38">
        <v>18</v>
      </c>
      <c r="AD26" s="38">
        <v>47</v>
      </c>
      <c r="AE26" s="39">
        <v>55</v>
      </c>
      <c r="AF26" s="46"/>
      <c r="AG26" s="35">
        <v>20</v>
      </c>
      <c r="AH26" s="36" t="s">
        <v>112</v>
      </c>
      <c r="AI26" s="36" t="s">
        <v>163</v>
      </c>
      <c r="AJ26" s="1"/>
      <c r="AK26" s="5">
        <f t="shared" si="0"/>
        <v>32</v>
      </c>
      <c r="AL26" s="5"/>
      <c r="AM26" s="5">
        <v>32</v>
      </c>
      <c r="AN26" s="5" t="b">
        <f t="shared" si="1"/>
        <v>1</v>
      </c>
      <c r="AO26" s="5"/>
      <c r="AP26" s="54">
        <v>22</v>
      </c>
      <c r="AQ26" s="11"/>
      <c r="AR26" s="11"/>
      <c r="AS26" s="11"/>
      <c r="AT26" s="49"/>
      <c r="AU26" s="49"/>
      <c r="AV26" s="49"/>
    </row>
    <row r="27" spans="2:48" ht="20.25" customHeight="1" thickBot="1" x14ac:dyDescent="0.25">
      <c r="B27" s="40"/>
      <c r="C27" s="72">
        <v>9</v>
      </c>
      <c r="D27" s="35" t="s">
        <v>93</v>
      </c>
      <c r="E27" s="92" t="s">
        <v>95</v>
      </c>
      <c r="F27" s="93"/>
      <c r="G27" s="93"/>
      <c r="H27" s="93"/>
      <c r="I27" s="93"/>
      <c r="J27" s="93"/>
      <c r="K27" s="93"/>
      <c r="L27" s="93"/>
      <c r="M27" s="46"/>
      <c r="N27" s="93" t="s">
        <v>180</v>
      </c>
      <c r="O27" s="93"/>
      <c r="P27" s="93"/>
      <c r="Q27" s="93"/>
      <c r="R27" s="93"/>
      <c r="S27" s="93"/>
      <c r="T27" s="93"/>
      <c r="U27" s="93"/>
      <c r="V27" s="96"/>
      <c r="W27" s="46"/>
      <c r="X27" s="86" t="s">
        <v>181</v>
      </c>
      <c r="Y27" s="87"/>
      <c r="Z27" s="87"/>
      <c r="AA27" s="87"/>
      <c r="AB27" s="87"/>
      <c r="AC27" s="87"/>
      <c r="AD27" s="87"/>
      <c r="AE27" s="88"/>
      <c r="AF27" s="46"/>
      <c r="AG27" s="35">
        <v>21</v>
      </c>
      <c r="AH27" s="36" t="s">
        <v>113</v>
      </c>
      <c r="AI27" s="36" t="s">
        <v>65</v>
      </c>
      <c r="AJ27" s="1"/>
      <c r="AK27" s="5">
        <f t="shared" si="0"/>
        <v>27</v>
      </c>
      <c r="AL27" s="5"/>
      <c r="AM27" s="5">
        <v>27</v>
      </c>
      <c r="AN27" s="5" t="b">
        <f t="shared" ref="AN27:AN28" si="2">AK27=AM27</f>
        <v>1</v>
      </c>
      <c r="AO27" s="5"/>
      <c r="AP27" s="54">
        <v>11</v>
      </c>
      <c r="AQ27" s="50"/>
      <c r="AR27" s="50"/>
      <c r="AS27" s="11"/>
      <c r="AT27" s="49"/>
      <c r="AU27" s="49"/>
      <c r="AV27" s="49"/>
    </row>
    <row r="28" spans="2:48" ht="20.25" customHeight="1" thickBot="1" x14ac:dyDescent="0.25">
      <c r="B28" s="40"/>
      <c r="C28" s="72">
        <v>10</v>
      </c>
      <c r="D28" s="35" t="s">
        <v>94</v>
      </c>
      <c r="E28" s="94"/>
      <c r="F28" s="95"/>
      <c r="G28" s="95"/>
      <c r="H28" s="95"/>
      <c r="I28" s="95"/>
      <c r="J28" s="95"/>
      <c r="K28" s="95"/>
      <c r="L28" s="95"/>
      <c r="M28" s="77"/>
      <c r="N28" s="95"/>
      <c r="O28" s="95"/>
      <c r="P28" s="95"/>
      <c r="Q28" s="95"/>
      <c r="R28" s="95"/>
      <c r="S28" s="95"/>
      <c r="T28" s="95"/>
      <c r="U28" s="95"/>
      <c r="V28" s="97"/>
      <c r="W28" s="77"/>
      <c r="X28" s="89"/>
      <c r="Y28" s="90"/>
      <c r="Z28" s="90"/>
      <c r="AA28" s="90"/>
      <c r="AB28" s="90"/>
      <c r="AC28" s="90"/>
      <c r="AD28" s="90"/>
      <c r="AE28" s="91"/>
      <c r="AF28" s="77"/>
      <c r="AG28" s="35">
        <v>22</v>
      </c>
      <c r="AH28" s="36" t="s">
        <v>114</v>
      </c>
      <c r="AI28" s="36" t="s">
        <v>59</v>
      </c>
      <c r="AJ28" s="1"/>
      <c r="AK28" s="5">
        <f t="shared" si="0"/>
        <v>21</v>
      </c>
      <c r="AL28" s="5"/>
      <c r="AM28" s="5">
        <v>21</v>
      </c>
      <c r="AN28" s="5" t="b">
        <f t="shared" si="2"/>
        <v>1</v>
      </c>
      <c r="AO28" s="5"/>
      <c r="AP28" s="54">
        <v>12</v>
      </c>
      <c r="AQ28" s="50"/>
      <c r="AR28" s="50"/>
      <c r="AS28" s="11"/>
      <c r="AT28" s="49"/>
      <c r="AU28" s="49"/>
      <c r="AV28" s="49"/>
    </row>
    <row r="29" spans="2:48" ht="20.25" customHeight="1" thickBot="1" x14ac:dyDescent="0.25">
      <c r="B29" s="33"/>
      <c r="C29" s="33"/>
      <c r="D29" s="34" t="s">
        <v>43</v>
      </c>
      <c r="E29" s="83" t="s">
        <v>23</v>
      </c>
      <c r="F29" s="84"/>
      <c r="G29" s="84"/>
      <c r="H29" s="84"/>
      <c r="I29" s="84"/>
      <c r="J29" s="84"/>
      <c r="K29" s="84"/>
      <c r="L29" s="84"/>
      <c r="M29" s="111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5"/>
      <c r="AG29" s="35">
        <v>23</v>
      </c>
      <c r="AH29" s="36" t="s">
        <v>115</v>
      </c>
      <c r="AI29" s="43" t="s">
        <v>162</v>
      </c>
      <c r="AJ29" s="1"/>
      <c r="AK29" s="5">
        <f t="shared" si="0"/>
        <v>24</v>
      </c>
      <c r="AL29" s="5"/>
      <c r="AM29" s="5">
        <v>24</v>
      </c>
      <c r="AN29" s="5" t="b">
        <f t="shared" si="1"/>
        <v>1</v>
      </c>
      <c r="AO29" s="5"/>
      <c r="AP29" s="54">
        <v>23</v>
      </c>
      <c r="AQ29" s="11"/>
      <c r="AR29" s="11"/>
      <c r="AS29" s="11"/>
      <c r="AT29" s="49"/>
      <c r="AU29" s="49"/>
      <c r="AV29" s="49"/>
    </row>
    <row r="30" spans="2:48" ht="20.25" customHeight="1" thickBot="1" x14ac:dyDescent="0.25">
      <c r="B30" s="37" t="s">
        <v>0</v>
      </c>
      <c r="C30" s="33">
        <v>1</v>
      </c>
      <c r="D30" s="35" t="s">
        <v>44</v>
      </c>
      <c r="E30" s="68">
        <v>47</v>
      </c>
      <c r="F30" s="68">
        <v>24</v>
      </c>
      <c r="G30" s="68">
        <v>31</v>
      </c>
      <c r="H30" s="68">
        <v>40</v>
      </c>
      <c r="I30" s="70">
        <v>44</v>
      </c>
      <c r="J30" s="68">
        <v>41</v>
      </c>
      <c r="K30" s="68">
        <v>51</v>
      </c>
      <c r="L30" s="68">
        <v>46</v>
      </c>
      <c r="M30" s="45"/>
      <c r="N30" s="68">
        <v>30</v>
      </c>
      <c r="O30" s="68">
        <v>56</v>
      </c>
      <c r="P30" s="68">
        <v>21</v>
      </c>
      <c r="Q30" s="68">
        <v>19</v>
      </c>
      <c r="R30" s="68">
        <v>33</v>
      </c>
      <c r="S30" s="68">
        <v>39</v>
      </c>
      <c r="T30" s="68">
        <v>37</v>
      </c>
      <c r="U30" s="68">
        <v>27</v>
      </c>
      <c r="V30" s="68">
        <v>58</v>
      </c>
      <c r="W30" s="45"/>
      <c r="X30" s="68">
        <v>15</v>
      </c>
      <c r="Y30" s="68">
        <v>45</v>
      </c>
      <c r="Z30" s="68">
        <v>54</v>
      </c>
      <c r="AA30" s="68">
        <v>34</v>
      </c>
      <c r="AB30" s="68">
        <v>32</v>
      </c>
      <c r="AC30" s="68">
        <v>22</v>
      </c>
      <c r="AD30" s="68">
        <v>50</v>
      </c>
      <c r="AE30" s="70">
        <v>17</v>
      </c>
      <c r="AF30" s="57"/>
      <c r="AG30" s="35">
        <v>24</v>
      </c>
      <c r="AH30" s="36" t="s">
        <v>116</v>
      </c>
      <c r="AI30" s="43" t="s">
        <v>60</v>
      </c>
      <c r="AJ30" s="2"/>
      <c r="AK30" s="5">
        <f t="shared" si="0"/>
        <v>25</v>
      </c>
      <c r="AL30" s="5"/>
      <c r="AM30" s="5">
        <v>25</v>
      </c>
      <c r="AN30" s="5" t="b">
        <f t="shared" si="1"/>
        <v>1</v>
      </c>
      <c r="AO30" s="5"/>
      <c r="AP30" s="54">
        <v>24</v>
      </c>
      <c r="AQ30" s="11"/>
      <c r="AR30" s="11"/>
      <c r="AS30" s="11"/>
      <c r="AT30" s="49"/>
      <c r="AU30" s="49"/>
      <c r="AV30" s="49"/>
    </row>
    <row r="31" spans="2:48" ht="20.25" customHeight="1" thickBot="1" x14ac:dyDescent="0.25">
      <c r="B31" s="40"/>
      <c r="C31" s="33">
        <v>2</v>
      </c>
      <c r="D31" s="35" t="s">
        <v>45</v>
      </c>
      <c r="E31" s="38">
        <v>47</v>
      </c>
      <c r="F31" s="38">
        <v>32</v>
      </c>
      <c r="G31" s="38">
        <v>37</v>
      </c>
      <c r="H31" s="38">
        <v>59</v>
      </c>
      <c r="I31" s="39">
        <v>60</v>
      </c>
      <c r="J31" s="38">
        <v>63</v>
      </c>
      <c r="K31" s="38">
        <v>51</v>
      </c>
      <c r="L31" s="38">
        <v>22</v>
      </c>
      <c r="M31" s="46"/>
      <c r="N31" s="38">
        <v>10</v>
      </c>
      <c r="O31" s="38">
        <v>56</v>
      </c>
      <c r="P31" s="38">
        <v>20</v>
      </c>
      <c r="Q31" s="38">
        <v>8</v>
      </c>
      <c r="R31" s="38">
        <v>41</v>
      </c>
      <c r="S31" s="38">
        <v>39</v>
      </c>
      <c r="T31" s="38">
        <v>45</v>
      </c>
      <c r="U31" s="38">
        <v>27</v>
      </c>
      <c r="V31" s="38">
        <v>58</v>
      </c>
      <c r="W31" s="46"/>
      <c r="X31" s="38">
        <v>15</v>
      </c>
      <c r="Y31" s="38">
        <v>5</v>
      </c>
      <c r="Z31" s="38">
        <v>54</v>
      </c>
      <c r="AA31" s="38">
        <v>23</v>
      </c>
      <c r="AB31" s="38">
        <v>30</v>
      </c>
      <c r="AC31" s="38">
        <v>14</v>
      </c>
      <c r="AD31" s="38">
        <v>50</v>
      </c>
      <c r="AE31" s="39">
        <v>17</v>
      </c>
      <c r="AF31" s="58"/>
      <c r="AG31" s="35">
        <v>25</v>
      </c>
      <c r="AH31" s="36" t="s">
        <v>117</v>
      </c>
      <c r="AI31" s="43" t="s">
        <v>66</v>
      </c>
      <c r="AJ31" s="1"/>
      <c r="AK31" s="5">
        <f t="shared" si="0"/>
        <v>0</v>
      </c>
      <c r="AL31" s="5"/>
      <c r="AM31" s="5">
        <v>0</v>
      </c>
      <c r="AN31" s="5" t="b">
        <f t="shared" si="1"/>
        <v>1</v>
      </c>
      <c r="AO31" s="5"/>
      <c r="AP31" s="54">
        <v>25</v>
      </c>
      <c r="AQ31" s="11"/>
      <c r="AR31" s="11"/>
      <c r="AS31" s="11"/>
      <c r="AT31" s="49"/>
      <c r="AU31" s="49"/>
      <c r="AV31" s="49"/>
    </row>
    <row r="32" spans="2:48" ht="20.25" customHeight="1" thickBot="1" x14ac:dyDescent="0.25">
      <c r="B32" s="40" t="s">
        <v>8</v>
      </c>
      <c r="C32" s="33">
        <v>3</v>
      </c>
      <c r="D32" s="35" t="s">
        <v>46</v>
      </c>
      <c r="E32" s="38">
        <v>56</v>
      </c>
      <c r="F32" s="38">
        <v>17</v>
      </c>
      <c r="G32" s="38">
        <v>47</v>
      </c>
      <c r="H32" s="38">
        <v>50</v>
      </c>
      <c r="I32" s="39">
        <v>22</v>
      </c>
      <c r="J32" s="38">
        <v>40</v>
      </c>
      <c r="K32" s="38">
        <v>59</v>
      </c>
      <c r="L32" s="38">
        <v>24</v>
      </c>
      <c r="M32" s="46"/>
      <c r="N32" s="38">
        <v>52</v>
      </c>
      <c r="O32" s="38">
        <v>32</v>
      </c>
      <c r="P32" s="38">
        <v>14</v>
      </c>
      <c r="Q32" s="38">
        <v>8</v>
      </c>
      <c r="R32" s="38">
        <v>19</v>
      </c>
      <c r="S32" s="38">
        <v>37</v>
      </c>
      <c r="T32" s="38">
        <v>45</v>
      </c>
      <c r="U32" s="38">
        <v>20</v>
      </c>
      <c r="V32" s="38">
        <v>58</v>
      </c>
      <c r="W32" s="46"/>
      <c r="X32" s="38">
        <v>21</v>
      </c>
      <c r="Y32" s="38">
        <v>5</v>
      </c>
      <c r="Z32" s="38">
        <v>54</v>
      </c>
      <c r="AA32" s="38">
        <v>34</v>
      </c>
      <c r="AB32" s="38">
        <v>10</v>
      </c>
      <c r="AC32" s="38">
        <v>31</v>
      </c>
      <c r="AD32" s="38">
        <v>33</v>
      </c>
      <c r="AE32" s="39">
        <v>23</v>
      </c>
      <c r="AF32" s="58"/>
      <c r="AG32" s="35">
        <v>26</v>
      </c>
      <c r="AH32" s="36" t="s">
        <v>118</v>
      </c>
      <c r="AI32" s="43" t="s">
        <v>66</v>
      </c>
      <c r="AJ32" s="1"/>
      <c r="AK32" s="5">
        <f t="shared" si="0"/>
        <v>0</v>
      </c>
      <c r="AL32" s="5"/>
      <c r="AM32" s="5">
        <v>0</v>
      </c>
      <c r="AN32" s="5" t="b">
        <f t="shared" si="1"/>
        <v>1</v>
      </c>
      <c r="AO32" s="5"/>
      <c r="AP32" s="54">
        <v>26</v>
      </c>
      <c r="AQ32" s="11"/>
      <c r="AR32" s="11"/>
      <c r="AS32" s="11"/>
      <c r="AT32" s="49"/>
      <c r="AU32" s="49"/>
      <c r="AV32" s="49"/>
    </row>
    <row r="33" spans="2:48" ht="20.25" customHeight="1" thickBot="1" x14ac:dyDescent="0.25">
      <c r="B33" s="40"/>
      <c r="C33" s="33">
        <v>4</v>
      </c>
      <c r="D33" s="35" t="s">
        <v>47</v>
      </c>
      <c r="E33" s="38">
        <v>56</v>
      </c>
      <c r="F33" s="38">
        <v>17</v>
      </c>
      <c r="G33" s="38">
        <v>47</v>
      </c>
      <c r="H33" s="38">
        <v>50</v>
      </c>
      <c r="I33" s="39">
        <v>22</v>
      </c>
      <c r="J33" s="38">
        <v>40</v>
      </c>
      <c r="K33" s="38">
        <v>59</v>
      </c>
      <c r="L33" s="38">
        <v>24</v>
      </c>
      <c r="M33" s="77"/>
      <c r="N33" s="38">
        <v>52</v>
      </c>
      <c r="O33" s="38">
        <v>32</v>
      </c>
      <c r="P33" s="38">
        <v>14</v>
      </c>
      <c r="Q33" s="38">
        <v>8</v>
      </c>
      <c r="R33" s="38">
        <v>19</v>
      </c>
      <c r="S33" s="38">
        <v>37</v>
      </c>
      <c r="T33" s="38">
        <v>30</v>
      </c>
      <c r="U33" s="38">
        <v>20</v>
      </c>
      <c r="V33" s="38">
        <v>44</v>
      </c>
      <c r="W33" s="77"/>
      <c r="X33" s="38">
        <v>21</v>
      </c>
      <c r="Y33" s="38">
        <v>15</v>
      </c>
      <c r="Z33" s="38">
        <v>3</v>
      </c>
      <c r="AA33" s="38">
        <v>34</v>
      </c>
      <c r="AB33" s="38">
        <v>10</v>
      </c>
      <c r="AC33" s="38">
        <v>31</v>
      </c>
      <c r="AD33" s="38">
        <v>33</v>
      </c>
      <c r="AE33" s="39">
        <v>23</v>
      </c>
      <c r="AF33" s="59"/>
      <c r="AG33" s="35">
        <v>27</v>
      </c>
      <c r="AH33" s="36" t="s">
        <v>119</v>
      </c>
      <c r="AI33" s="36" t="s">
        <v>164</v>
      </c>
      <c r="AJ33" s="1"/>
      <c r="AK33" s="5">
        <f t="shared" si="0"/>
        <v>25</v>
      </c>
      <c r="AL33" s="5"/>
      <c r="AM33" s="5">
        <v>25</v>
      </c>
      <c r="AN33" s="5" t="b">
        <f t="shared" si="1"/>
        <v>1</v>
      </c>
      <c r="AO33" s="5"/>
      <c r="AP33" s="54">
        <v>27</v>
      </c>
      <c r="AQ33" s="11"/>
      <c r="AR33" s="11"/>
      <c r="AS33" s="11"/>
      <c r="AT33" s="49"/>
      <c r="AU33" s="49"/>
      <c r="AV33" s="49"/>
    </row>
    <row r="34" spans="2:48" ht="20.25" customHeight="1" thickBot="1" x14ac:dyDescent="0.25">
      <c r="B34" s="40" t="s">
        <v>6</v>
      </c>
      <c r="C34" s="33"/>
      <c r="D34" s="42" t="s">
        <v>48</v>
      </c>
      <c r="E34" s="80" t="s">
        <v>42</v>
      </c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2"/>
      <c r="AG34" s="35">
        <v>28</v>
      </c>
      <c r="AH34" s="36" t="s">
        <v>120</v>
      </c>
      <c r="AI34" s="36" t="s">
        <v>58</v>
      </c>
      <c r="AJ34" s="1"/>
      <c r="AK34" s="5">
        <f t="shared" si="0"/>
        <v>12</v>
      </c>
      <c r="AL34" s="5"/>
      <c r="AM34" s="5">
        <v>12</v>
      </c>
      <c r="AN34" s="5" t="b">
        <f t="shared" si="1"/>
        <v>1</v>
      </c>
      <c r="AO34" s="5"/>
      <c r="AP34" s="54">
        <v>28</v>
      </c>
      <c r="AQ34" s="11"/>
      <c r="AR34" s="11"/>
      <c r="AS34" s="11"/>
      <c r="AT34" s="49"/>
      <c r="AU34" s="49"/>
      <c r="AV34" s="49"/>
    </row>
    <row r="35" spans="2:48" ht="20.25" customHeight="1" thickBot="1" x14ac:dyDescent="0.25">
      <c r="B35" s="40"/>
      <c r="C35" s="33">
        <v>5</v>
      </c>
      <c r="D35" s="35" t="s">
        <v>38</v>
      </c>
      <c r="E35" s="38">
        <v>47</v>
      </c>
      <c r="F35" s="38">
        <v>42</v>
      </c>
      <c r="G35" s="38">
        <v>10</v>
      </c>
      <c r="H35" s="38">
        <v>37</v>
      </c>
      <c r="I35" s="39">
        <v>63</v>
      </c>
      <c r="J35" s="38">
        <v>21</v>
      </c>
      <c r="K35" s="38">
        <v>50</v>
      </c>
      <c r="L35" s="38">
        <v>60</v>
      </c>
      <c r="M35" s="45"/>
      <c r="N35" s="38">
        <v>56</v>
      </c>
      <c r="O35" s="38">
        <v>52</v>
      </c>
      <c r="P35" s="38">
        <v>45</v>
      </c>
      <c r="Q35" s="38">
        <v>31</v>
      </c>
      <c r="R35" s="38">
        <v>8</v>
      </c>
      <c r="S35" s="38">
        <v>18</v>
      </c>
      <c r="T35" s="38">
        <v>30</v>
      </c>
      <c r="U35" s="38">
        <v>54</v>
      </c>
      <c r="V35" s="38">
        <v>41</v>
      </c>
      <c r="W35" s="45"/>
      <c r="X35" s="38">
        <v>15</v>
      </c>
      <c r="Y35" s="38">
        <v>34</v>
      </c>
      <c r="Z35" s="38">
        <v>33</v>
      </c>
      <c r="AA35" s="38">
        <v>7</v>
      </c>
      <c r="AB35" s="38">
        <v>14</v>
      </c>
      <c r="AC35" s="38">
        <v>23</v>
      </c>
      <c r="AD35" s="38">
        <v>17</v>
      </c>
      <c r="AE35" s="39">
        <v>27</v>
      </c>
      <c r="AF35" s="57"/>
      <c r="AG35" s="35">
        <v>29</v>
      </c>
      <c r="AH35" s="36" t="s">
        <v>121</v>
      </c>
      <c r="AI35" s="36" t="s">
        <v>63</v>
      </c>
      <c r="AJ35" s="1"/>
      <c r="AK35" s="5">
        <f t="shared" si="0"/>
        <v>16</v>
      </c>
      <c r="AL35" s="5"/>
      <c r="AM35" s="5">
        <v>16</v>
      </c>
      <c r="AN35" s="5" t="b">
        <f t="shared" si="1"/>
        <v>1</v>
      </c>
      <c r="AO35" s="5"/>
      <c r="AP35" s="54">
        <v>29</v>
      </c>
      <c r="AQ35" s="11"/>
      <c r="AR35" s="11"/>
      <c r="AS35" s="11"/>
      <c r="AT35" s="49"/>
      <c r="AU35" s="49"/>
      <c r="AV35" s="49"/>
    </row>
    <row r="36" spans="2:48" ht="20.25" customHeight="1" thickBot="1" x14ac:dyDescent="0.25">
      <c r="B36" s="40" t="s">
        <v>25</v>
      </c>
      <c r="C36" s="33">
        <v>6</v>
      </c>
      <c r="D36" s="35" t="s">
        <v>39</v>
      </c>
      <c r="E36" s="38">
        <v>32</v>
      </c>
      <c r="F36" s="38">
        <v>42</v>
      </c>
      <c r="G36" s="38">
        <v>10</v>
      </c>
      <c r="H36" s="38">
        <v>37</v>
      </c>
      <c r="I36" s="39">
        <v>63</v>
      </c>
      <c r="J36" s="38">
        <v>21</v>
      </c>
      <c r="K36" s="38">
        <v>50</v>
      </c>
      <c r="L36" s="38">
        <v>60</v>
      </c>
      <c r="M36" s="46"/>
      <c r="N36" s="38">
        <v>56</v>
      </c>
      <c r="O36" s="38">
        <v>52</v>
      </c>
      <c r="P36" s="38">
        <v>45</v>
      </c>
      <c r="Q36" s="38">
        <v>31</v>
      </c>
      <c r="R36" s="38">
        <v>24</v>
      </c>
      <c r="S36" s="38">
        <v>18</v>
      </c>
      <c r="T36" s="38">
        <v>8</v>
      </c>
      <c r="U36" s="38">
        <v>54</v>
      </c>
      <c r="V36" s="38">
        <v>41</v>
      </c>
      <c r="W36" s="46"/>
      <c r="X36" s="38">
        <v>15</v>
      </c>
      <c r="Y36" s="38">
        <v>34</v>
      </c>
      <c r="Z36" s="38">
        <v>33</v>
      </c>
      <c r="AA36" s="38">
        <v>7</v>
      </c>
      <c r="AB36" s="38">
        <v>14</v>
      </c>
      <c r="AC36" s="38">
        <v>23</v>
      </c>
      <c r="AD36" s="38">
        <v>17</v>
      </c>
      <c r="AE36" s="39">
        <v>27</v>
      </c>
      <c r="AF36" s="58"/>
      <c r="AG36" s="35">
        <v>30</v>
      </c>
      <c r="AH36" s="36" t="s">
        <v>122</v>
      </c>
      <c r="AI36" s="36" t="s">
        <v>165</v>
      </c>
      <c r="AJ36" s="1"/>
      <c r="AK36" s="5">
        <f t="shared" si="0"/>
        <v>33</v>
      </c>
      <c r="AL36" s="5"/>
      <c r="AM36" s="3">
        <v>33</v>
      </c>
      <c r="AN36" s="5" t="b">
        <f t="shared" si="1"/>
        <v>1</v>
      </c>
      <c r="AO36" s="5"/>
      <c r="AP36" s="54">
        <v>30</v>
      </c>
      <c r="AQ36" s="11"/>
      <c r="AR36" s="11"/>
      <c r="AS36" s="11"/>
      <c r="AT36" s="49"/>
      <c r="AU36" s="49"/>
      <c r="AV36" s="49"/>
    </row>
    <row r="37" spans="2:48" ht="20.25" customHeight="1" thickBot="1" x14ac:dyDescent="0.25">
      <c r="B37" s="40"/>
      <c r="C37" s="33">
        <v>7</v>
      </c>
      <c r="D37" s="35" t="s">
        <v>40</v>
      </c>
      <c r="E37" s="38">
        <v>42</v>
      </c>
      <c r="F37" s="38">
        <v>47</v>
      </c>
      <c r="G37" s="38">
        <v>32</v>
      </c>
      <c r="H37" s="38">
        <v>10</v>
      </c>
      <c r="I37" s="39">
        <v>24</v>
      </c>
      <c r="J37" s="38">
        <v>50</v>
      </c>
      <c r="K37" s="38">
        <v>60</v>
      </c>
      <c r="L37" s="38">
        <v>58</v>
      </c>
      <c r="M37" s="46"/>
      <c r="N37" s="38">
        <v>20</v>
      </c>
      <c r="O37" s="38">
        <v>31</v>
      </c>
      <c r="P37" s="38">
        <v>22</v>
      </c>
      <c r="Q37" s="38">
        <v>19</v>
      </c>
      <c r="R37" s="38">
        <v>46</v>
      </c>
      <c r="S37" s="38">
        <v>14</v>
      </c>
      <c r="T37" s="38">
        <v>34</v>
      </c>
      <c r="U37" s="38">
        <v>45</v>
      </c>
      <c r="V37" s="38">
        <v>27</v>
      </c>
      <c r="W37" s="46"/>
      <c r="X37" s="38">
        <v>37</v>
      </c>
      <c r="Y37" s="38">
        <v>7</v>
      </c>
      <c r="Z37" s="38">
        <v>15</v>
      </c>
      <c r="AA37" s="38">
        <v>54</v>
      </c>
      <c r="AB37" s="38">
        <v>21</v>
      </c>
      <c r="AC37" s="38">
        <v>30</v>
      </c>
      <c r="AD37" s="38">
        <v>23</v>
      </c>
      <c r="AE37" s="39">
        <v>17</v>
      </c>
      <c r="AF37" s="58"/>
      <c r="AG37" s="35">
        <v>31</v>
      </c>
      <c r="AH37" s="36" t="s">
        <v>123</v>
      </c>
      <c r="AI37" s="36" t="s">
        <v>166</v>
      </c>
      <c r="AJ37" s="1"/>
      <c r="AK37" s="5">
        <f t="shared" si="0"/>
        <v>29</v>
      </c>
      <c r="AL37" s="5"/>
      <c r="AM37" s="5">
        <v>29</v>
      </c>
      <c r="AN37" s="5" t="b">
        <f t="shared" si="1"/>
        <v>1</v>
      </c>
      <c r="AO37" s="5"/>
      <c r="AP37" s="54">
        <v>31</v>
      </c>
      <c r="AQ37" s="11"/>
      <c r="AR37" s="11"/>
      <c r="AS37" s="11"/>
      <c r="AT37" s="49"/>
      <c r="AU37" s="49"/>
      <c r="AV37" s="49"/>
    </row>
    <row r="38" spans="2:48" ht="20.25" customHeight="1" thickBot="1" x14ac:dyDescent="0.25">
      <c r="B38" s="40" t="s">
        <v>6</v>
      </c>
      <c r="C38" s="33">
        <v>8</v>
      </c>
      <c r="D38" s="35" t="s">
        <v>41</v>
      </c>
      <c r="E38" s="38">
        <v>42</v>
      </c>
      <c r="F38" s="38">
        <v>47</v>
      </c>
      <c r="G38" s="38">
        <v>32</v>
      </c>
      <c r="H38" s="38">
        <v>10</v>
      </c>
      <c r="I38" s="39">
        <v>24</v>
      </c>
      <c r="J38" s="38">
        <v>50</v>
      </c>
      <c r="K38" s="38">
        <v>60</v>
      </c>
      <c r="L38" s="38">
        <v>58</v>
      </c>
      <c r="M38" s="77"/>
      <c r="N38" s="38">
        <v>20</v>
      </c>
      <c r="O38" s="38">
        <v>31</v>
      </c>
      <c r="P38" s="38">
        <v>22</v>
      </c>
      <c r="Q38" s="38">
        <v>19</v>
      </c>
      <c r="R38" s="38">
        <v>46</v>
      </c>
      <c r="S38" s="38">
        <v>14</v>
      </c>
      <c r="T38" s="38">
        <v>34</v>
      </c>
      <c r="U38" s="38">
        <v>45</v>
      </c>
      <c r="V38" s="38">
        <v>27</v>
      </c>
      <c r="W38" s="77"/>
      <c r="X38" s="38">
        <v>37</v>
      </c>
      <c r="Y38" s="38">
        <v>7</v>
      </c>
      <c r="Z38" s="38">
        <v>15</v>
      </c>
      <c r="AA38" s="38">
        <v>54</v>
      </c>
      <c r="AB38" s="38">
        <v>21</v>
      </c>
      <c r="AC38" s="38">
        <v>30</v>
      </c>
      <c r="AD38" s="38">
        <v>23</v>
      </c>
      <c r="AE38" s="39">
        <v>17</v>
      </c>
      <c r="AF38" s="59"/>
      <c r="AG38" s="35">
        <v>32</v>
      </c>
      <c r="AH38" s="36" t="s">
        <v>124</v>
      </c>
      <c r="AI38" s="36" t="s">
        <v>167</v>
      </c>
      <c r="AJ38" s="2"/>
      <c r="AK38" s="5">
        <f t="shared" si="0"/>
        <v>25</v>
      </c>
      <c r="AL38" s="5"/>
      <c r="AM38" s="5">
        <v>25</v>
      </c>
      <c r="AN38" s="5" t="b">
        <f t="shared" si="1"/>
        <v>1</v>
      </c>
      <c r="AO38" s="5"/>
      <c r="AP38" s="54">
        <v>32</v>
      </c>
      <c r="AQ38" s="11"/>
      <c r="AR38" s="11"/>
      <c r="AS38" s="11"/>
      <c r="AT38" s="49"/>
      <c r="AU38" s="49"/>
      <c r="AV38" s="49"/>
    </row>
    <row r="39" spans="2:48" ht="20.25" customHeight="1" thickBot="1" x14ac:dyDescent="0.25">
      <c r="B39" s="33"/>
      <c r="C39" s="33"/>
      <c r="D39" s="34" t="s">
        <v>43</v>
      </c>
      <c r="E39" s="83" t="s">
        <v>23</v>
      </c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5"/>
      <c r="AG39" s="35">
        <v>33</v>
      </c>
      <c r="AH39" s="36" t="s">
        <v>125</v>
      </c>
      <c r="AI39" s="36" t="s">
        <v>168</v>
      </c>
      <c r="AJ39" s="1"/>
      <c r="AK39" s="5">
        <f t="shared" ref="AK39:AK70" si="3">COUNTIF($E$8:$AF$68,AG39)</f>
        <v>27</v>
      </c>
      <c r="AL39" s="5"/>
      <c r="AM39" s="5">
        <v>27</v>
      </c>
      <c r="AN39" s="5" t="b">
        <f t="shared" si="1"/>
        <v>1</v>
      </c>
      <c r="AO39" s="5"/>
      <c r="AP39" s="54">
        <v>33</v>
      </c>
      <c r="AQ39" s="11"/>
      <c r="AR39" s="11"/>
      <c r="AS39" s="11"/>
      <c r="AT39" s="49"/>
      <c r="AU39" s="49"/>
      <c r="AV39" s="49"/>
    </row>
    <row r="40" spans="2:48" ht="20.25" customHeight="1" thickBot="1" x14ac:dyDescent="0.25">
      <c r="B40" s="37" t="s">
        <v>0</v>
      </c>
      <c r="C40" s="33">
        <v>1</v>
      </c>
      <c r="D40" s="35" t="s">
        <v>44</v>
      </c>
      <c r="E40" s="74">
        <v>13</v>
      </c>
      <c r="F40" s="74">
        <v>11</v>
      </c>
      <c r="G40" s="74">
        <v>17</v>
      </c>
      <c r="H40" s="74">
        <v>40</v>
      </c>
      <c r="I40" s="75">
        <v>60</v>
      </c>
      <c r="J40" s="74">
        <v>22</v>
      </c>
      <c r="K40" s="74">
        <v>50</v>
      </c>
      <c r="L40" s="74">
        <v>61</v>
      </c>
      <c r="M40" s="45"/>
      <c r="N40" s="74">
        <v>56</v>
      </c>
      <c r="O40" s="74">
        <v>8</v>
      </c>
      <c r="P40" s="74">
        <v>39</v>
      </c>
      <c r="Q40" s="74">
        <v>24</v>
      </c>
      <c r="R40" s="74">
        <v>18</v>
      </c>
      <c r="S40" s="74">
        <v>34</v>
      </c>
      <c r="T40" s="74">
        <v>14</v>
      </c>
      <c r="U40" s="74">
        <v>41</v>
      </c>
      <c r="V40" s="74">
        <v>15</v>
      </c>
      <c r="W40" s="45"/>
      <c r="X40" s="74">
        <v>7</v>
      </c>
      <c r="Y40" s="74">
        <v>10</v>
      </c>
      <c r="Z40" s="74">
        <v>3</v>
      </c>
      <c r="AA40" s="74">
        <v>51</v>
      </c>
      <c r="AB40" s="74">
        <v>23</v>
      </c>
      <c r="AC40" s="74">
        <v>31</v>
      </c>
      <c r="AD40" s="74">
        <v>27</v>
      </c>
      <c r="AE40" s="75">
        <v>46</v>
      </c>
      <c r="AF40" s="57"/>
      <c r="AG40" s="35">
        <v>34</v>
      </c>
      <c r="AH40" s="36" t="s">
        <v>126</v>
      </c>
      <c r="AI40" s="36" t="s">
        <v>169</v>
      </c>
      <c r="AJ40" s="1"/>
      <c r="AK40" s="5">
        <f t="shared" si="3"/>
        <v>31</v>
      </c>
      <c r="AL40" s="5"/>
      <c r="AM40" s="5">
        <v>31</v>
      </c>
      <c r="AN40" s="5" t="b">
        <f t="shared" si="1"/>
        <v>1</v>
      </c>
      <c r="AO40" s="5"/>
      <c r="AP40" s="54">
        <v>34</v>
      </c>
      <c r="AQ40" s="11"/>
      <c r="AR40" s="11"/>
      <c r="AS40" s="11"/>
      <c r="AT40" s="49"/>
      <c r="AU40" s="49"/>
      <c r="AV40" s="49"/>
    </row>
    <row r="41" spans="2:48" ht="20.25" customHeight="1" thickBot="1" x14ac:dyDescent="0.25">
      <c r="B41" s="40" t="s">
        <v>8</v>
      </c>
      <c r="C41" s="33">
        <v>2</v>
      </c>
      <c r="D41" s="35" t="s">
        <v>45</v>
      </c>
      <c r="E41" s="38">
        <v>13</v>
      </c>
      <c r="F41" s="38">
        <v>11</v>
      </c>
      <c r="G41" s="38">
        <v>17</v>
      </c>
      <c r="H41" s="38">
        <v>40</v>
      </c>
      <c r="I41" s="39">
        <v>22</v>
      </c>
      <c r="J41" s="38">
        <v>63</v>
      </c>
      <c r="K41" s="38">
        <v>50</v>
      </c>
      <c r="L41" s="38">
        <v>61</v>
      </c>
      <c r="M41" s="46"/>
      <c r="N41" s="38">
        <v>56</v>
      </c>
      <c r="O41" s="38">
        <v>8</v>
      </c>
      <c r="P41" s="38">
        <v>39</v>
      </c>
      <c r="Q41" s="38">
        <v>24</v>
      </c>
      <c r="R41" s="38">
        <v>18</v>
      </c>
      <c r="S41" s="38">
        <v>34</v>
      </c>
      <c r="T41" s="38">
        <v>14</v>
      </c>
      <c r="U41" s="38">
        <v>41</v>
      </c>
      <c r="V41" s="38">
        <v>15</v>
      </c>
      <c r="W41" s="46"/>
      <c r="X41" s="38">
        <v>7</v>
      </c>
      <c r="Y41" s="38">
        <v>10</v>
      </c>
      <c r="Z41" s="38">
        <v>3</v>
      </c>
      <c r="AA41" s="38">
        <v>51</v>
      </c>
      <c r="AB41" s="38">
        <v>23</v>
      </c>
      <c r="AC41" s="38">
        <v>31</v>
      </c>
      <c r="AD41" s="38">
        <v>27</v>
      </c>
      <c r="AE41" s="39">
        <v>46</v>
      </c>
      <c r="AF41" s="58"/>
      <c r="AG41" s="35">
        <v>35</v>
      </c>
      <c r="AH41" s="36" t="s">
        <v>127</v>
      </c>
      <c r="AI41" s="36" t="s">
        <v>179</v>
      </c>
      <c r="AJ41" s="1"/>
      <c r="AK41" s="5">
        <f t="shared" si="3"/>
        <v>12</v>
      </c>
      <c r="AL41" s="5"/>
      <c r="AM41" s="5">
        <v>12</v>
      </c>
      <c r="AN41" s="5" t="b">
        <f t="shared" si="1"/>
        <v>1</v>
      </c>
      <c r="AO41" s="5"/>
      <c r="AP41" s="54">
        <v>35</v>
      </c>
      <c r="AQ41" s="11"/>
      <c r="AR41" s="11"/>
      <c r="AS41" s="11"/>
      <c r="AT41" s="49"/>
      <c r="AU41" s="49"/>
      <c r="AV41" s="49"/>
    </row>
    <row r="42" spans="2:48" ht="20.25" customHeight="1" thickBot="1" x14ac:dyDescent="0.25">
      <c r="B42" s="40"/>
      <c r="C42" s="33">
        <v>3</v>
      </c>
      <c r="D42" s="35" t="s">
        <v>46</v>
      </c>
      <c r="E42" s="38">
        <v>63</v>
      </c>
      <c r="F42" s="38">
        <v>13</v>
      </c>
      <c r="G42" s="38">
        <v>33</v>
      </c>
      <c r="H42" s="38">
        <v>59</v>
      </c>
      <c r="I42" s="39">
        <v>40</v>
      </c>
      <c r="J42" s="38">
        <v>61</v>
      </c>
      <c r="K42" s="38">
        <v>22</v>
      </c>
      <c r="L42" s="38">
        <v>60</v>
      </c>
      <c r="M42" s="46"/>
      <c r="N42" s="38">
        <v>45</v>
      </c>
      <c r="O42" s="38">
        <v>7</v>
      </c>
      <c r="P42" s="38">
        <v>20</v>
      </c>
      <c r="Q42" s="38">
        <v>11</v>
      </c>
      <c r="R42" s="38">
        <v>41</v>
      </c>
      <c r="S42" s="38">
        <v>39</v>
      </c>
      <c r="T42" s="38">
        <v>18</v>
      </c>
      <c r="U42" s="38">
        <v>34</v>
      </c>
      <c r="V42" s="38">
        <v>8</v>
      </c>
      <c r="W42" s="46"/>
      <c r="X42" s="38">
        <v>10</v>
      </c>
      <c r="Y42" s="38">
        <v>2</v>
      </c>
      <c r="Z42" s="38">
        <v>3</v>
      </c>
      <c r="AA42" s="38">
        <v>23</v>
      </c>
      <c r="AB42" s="38">
        <v>30</v>
      </c>
      <c r="AC42" s="38">
        <v>14</v>
      </c>
      <c r="AD42" s="38">
        <v>46</v>
      </c>
      <c r="AE42" s="39">
        <v>50</v>
      </c>
      <c r="AF42" s="58"/>
      <c r="AG42" s="35">
        <v>36</v>
      </c>
      <c r="AH42" s="36" t="s">
        <v>128</v>
      </c>
      <c r="AI42" s="36" t="s">
        <v>67</v>
      </c>
      <c r="AJ42" s="2"/>
      <c r="AK42" s="5">
        <f t="shared" si="3"/>
        <v>12</v>
      </c>
      <c r="AL42" s="5"/>
      <c r="AM42" s="5">
        <v>12</v>
      </c>
      <c r="AN42" s="5" t="b">
        <f t="shared" si="1"/>
        <v>1</v>
      </c>
      <c r="AO42" s="5"/>
      <c r="AP42" s="54">
        <v>36</v>
      </c>
      <c r="AQ42" s="11"/>
      <c r="AR42" s="11"/>
      <c r="AS42" s="11"/>
      <c r="AT42" s="49"/>
      <c r="AU42" s="49"/>
      <c r="AV42" s="49"/>
    </row>
    <row r="43" spans="2:48" ht="20.25" customHeight="1" thickBot="1" x14ac:dyDescent="0.25">
      <c r="B43" s="40" t="s">
        <v>26</v>
      </c>
      <c r="C43" s="33">
        <v>4</v>
      </c>
      <c r="D43" s="35" t="s">
        <v>47</v>
      </c>
      <c r="E43" s="38">
        <v>63</v>
      </c>
      <c r="F43" s="38">
        <v>13</v>
      </c>
      <c r="G43" s="38">
        <v>33</v>
      </c>
      <c r="H43" s="38">
        <v>37</v>
      </c>
      <c r="I43" s="39">
        <v>40</v>
      </c>
      <c r="J43" s="38">
        <v>61</v>
      </c>
      <c r="K43" s="38">
        <v>22</v>
      </c>
      <c r="L43" s="38">
        <v>60</v>
      </c>
      <c r="M43" s="77"/>
      <c r="N43" s="38">
        <v>45</v>
      </c>
      <c r="O43" s="38">
        <v>7</v>
      </c>
      <c r="P43" s="38">
        <v>8</v>
      </c>
      <c r="Q43" s="38">
        <v>11</v>
      </c>
      <c r="R43" s="38">
        <v>24</v>
      </c>
      <c r="S43" s="38">
        <v>56</v>
      </c>
      <c r="T43" s="38">
        <v>18</v>
      </c>
      <c r="U43" s="38">
        <v>34</v>
      </c>
      <c r="V43" s="38">
        <v>44</v>
      </c>
      <c r="W43" s="77"/>
      <c r="X43" s="38">
        <v>10</v>
      </c>
      <c r="Y43" s="38">
        <v>2</v>
      </c>
      <c r="Z43" s="38">
        <v>15</v>
      </c>
      <c r="AA43" s="38">
        <v>58</v>
      </c>
      <c r="AB43" s="38">
        <v>30</v>
      </c>
      <c r="AC43" s="38">
        <v>50</v>
      </c>
      <c r="AD43" s="38">
        <v>46</v>
      </c>
      <c r="AE43" s="39">
        <v>17</v>
      </c>
      <c r="AF43" s="59"/>
      <c r="AG43" s="35">
        <v>37</v>
      </c>
      <c r="AH43" s="36" t="s">
        <v>129</v>
      </c>
      <c r="AI43" s="36" t="s">
        <v>167</v>
      </c>
      <c r="AJ43" s="1"/>
      <c r="AK43" s="5">
        <f t="shared" si="3"/>
        <v>25</v>
      </c>
      <c r="AL43" s="5"/>
      <c r="AM43" s="5">
        <v>25</v>
      </c>
      <c r="AN43" s="5" t="b">
        <f t="shared" si="1"/>
        <v>1</v>
      </c>
      <c r="AO43" s="5"/>
      <c r="AP43" s="54">
        <v>37</v>
      </c>
      <c r="AQ43" s="11"/>
      <c r="AR43" s="11"/>
      <c r="AS43" s="11"/>
      <c r="AT43" s="49"/>
      <c r="AU43" s="49"/>
      <c r="AV43" s="49"/>
    </row>
    <row r="44" spans="2:48" ht="20.25" customHeight="1" thickBot="1" x14ac:dyDescent="0.3">
      <c r="B44" s="40" t="s">
        <v>1</v>
      </c>
      <c r="C44" s="33"/>
      <c r="D44" s="42" t="s">
        <v>48</v>
      </c>
      <c r="E44" s="80" t="s">
        <v>42</v>
      </c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2"/>
      <c r="AG44" s="35">
        <v>38</v>
      </c>
      <c r="AH44" s="36" t="s">
        <v>130</v>
      </c>
      <c r="AI44" s="36" t="s">
        <v>160</v>
      </c>
      <c r="AJ44" s="1"/>
      <c r="AK44" s="5">
        <f t="shared" si="3"/>
        <v>6</v>
      </c>
      <c r="AL44" s="5"/>
      <c r="AM44" s="10">
        <v>6</v>
      </c>
      <c r="AN44" s="5" t="b">
        <f t="shared" si="1"/>
        <v>1</v>
      </c>
      <c r="AO44" s="5"/>
      <c r="AP44" s="54">
        <v>38</v>
      </c>
      <c r="AQ44" s="11"/>
      <c r="AR44" s="11"/>
      <c r="AS44" s="11"/>
      <c r="AT44" s="49"/>
      <c r="AU44" s="49"/>
      <c r="AV44" s="49"/>
    </row>
    <row r="45" spans="2:48" ht="20.25" customHeight="1" thickBot="1" x14ac:dyDescent="0.25">
      <c r="B45" s="40"/>
      <c r="C45" s="33">
        <v>5</v>
      </c>
      <c r="D45" s="35" t="s">
        <v>38</v>
      </c>
      <c r="E45" s="38">
        <v>58</v>
      </c>
      <c r="F45" s="38">
        <v>32</v>
      </c>
      <c r="G45" s="38">
        <v>13</v>
      </c>
      <c r="H45" s="38">
        <v>33</v>
      </c>
      <c r="I45" s="39">
        <v>44</v>
      </c>
      <c r="J45" s="38">
        <v>59</v>
      </c>
      <c r="K45" s="38">
        <v>63</v>
      </c>
      <c r="L45" s="38">
        <v>41</v>
      </c>
      <c r="M45" s="45"/>
      <c r="N45" s="38">
        <v>39</v>
      </c>
      <c r="O45" s="38">
        <v>20</v>
      </c>
      <c r="P45" s="38">
        <v>40</v>
      </c>
      <c r="Q45" s="38">
        <v>45</v>
      </c>
      <c r="R45" s="38">
        <v>31</v>
      </c>
      <c r="S45" s="38">
        <v>56</v>
      </c>
      <c r="T45" s="38">
        <v>34</v>
      </c>
      <c r="U45" s="38">
        <v>51</v>
      </c>
      <c r="V45" s="38">
        <v>18</v>
      </c>
      <c r="W45" s="45"/>
      <c r="X45" s="38">
        <v>23</v>
      </c>
      <c r="Y45" s="38">
        <v>14</v>
      </c>
      <c r="Z45" s="38">
        <v>10</v>
      </c>
      <c r="AA45" s="38">
        <v>15</v>
      </c>
      <c r="AB45" s="38">
        <v>55</v>
      </c>
      <c r="AC45" s="38">
        <v>21</v>
      </c>
      <c r="AD45" s="38">
        <v>50</v>
      </c>
      <c r="AE45" s="39">
        <v>27</v>
      </c>
      <c r="AF45" s="57"/>
      <c r="AG45" s="35">
        <v>39</v>
      </c>
      <c r="AH45" s="36" t="s">
        <v>131</v>
      </c>
      <c r="AI45" s="36" t="s">
        <v>170</v>
      </c>
      <c r="AJ45" s="1"/>
      <c r="AK45" s="5">
        <f t="shared" si="3"/>
        <v>29</v>
      </c>
      <c r="AL45" s="5"/>
      <c r="AM45" s="5">
        <v>29</v>
      </c>
      <c r="AN45" s="5" t="b">
        <f t="shared" si="1"/>
        <v>1</v>
      </c>
      <c r="AO45" s="5"/>
      <c r="AP45" s="54">
        <v>39</v>
      </c>
      <c r="AQ45" s="11"/>
      <c r="AR45" s="11"/>
      <c r="AS45" s="11"/>
      <c r="AT45" s="49"/>
      <c r="AU45" s="49"/>
      <c r="AV45" s="49"/>
    </row>
    <row r="46" spans="2:48" ht="20.25" customHeight="1" thickBot="1" x14ac:dyDescent="0.25">
      <c r="B46" s="40" t="s">
        <v>0</v>
      </c>
      <c r="C46" s="33">
        <v>6</v>
      </c>
      <c r="D46" s="35" t="s">
        <v>39</v>
      </c>
      <c r="E46" s="38">
        <v>58</v>
      </c>
      <c r="F46" s="38">
        <v>32</v>
      </c>
      <c r="G46" s="38">
        <v>13</v>
      </c>
      <c r="H46" s="38">
        <v>33</v>
      </c>
      <c r="I46" s="39">
        <v>44</v>
      </c>
      <c r="J46" s="38">
        <v>59</v>
      </c>
      <c r="K46" s="38">
        <v>63</v>
      </c>
      <c r="L46" s="38">
        <v>41</v>
      </c>
      <c r="M46" s="46"/>
      <c r="N46" s="38">
        <v>39</v>
      </c>
      <c r="O46" s="38">
        <v>20</v>
      </c>
      <c r="P46" s="38">
        <v>40</v>
      </c>
      <c r="Q46" s="38">
        <v>45</v>
      </c>
      <c r="R46" s="38">
        <v>31</v>
      </c>
      <c r="S46" s="38">
        <v>56</v>
      </c>
      <c r="T46" s="38">
        <v>34</v>
      </c>
      <c r="U46" s="38">
        <v>51</v>
      </c>
      <c r="V46" s="38">
        <v>18</v>
      </c>
      <c r="W46" s="46"/>
      <c r="X46" s="38">
        <v>23</v>
      </c>
      <c r="Y46" s="38">
        <v>14</v>
      </c>
      <c r="Z46" s="38">
        <v>10</v>
      </c>
      <c r="AA46" s="38">
        <v>15</v>
      </c>
      <c r="AB46" s="38">
        <v>55</v>
      </c>
      <c r="AC46" s="38">
        <v>21</v>
      </c>
      <c r="AD46" s="38">
        <v>50</v>
      </c>
      <c r="AE46" s="39">
        <v>27</v>
      </c>
      <c r="AF46" s="58"/>
      <c r="AG46" s="35">
        <v>40</v>
      </c>
      <c r="AH46" s="36" t="s">
        <v>132</v>
      </c>
      <c r="AI46" s="36" t="s">
        <v>61</v>
      </c>
      <c r="AJ46" s="1"/>
      <c r="AK46" s="5">
        <f t="shared" si="3"/>
        <v>27</v>
      </c>
      <c r="AL46" s="5"/>
      <c r="AM46" s="5">
        <v>27</v>
      </c>
      <c r="AN46" s="5" t="b">
        <f t="shared" si="1"/>
        <v>1</v>
      </c>
      <c r="AO46" s="5"/>
      <c r="AP46" s="54">
        <v>40</v>
      </c>
      <c r="AQ46" s="11"/>
      <c r="AR46" s="11"/>
      <c r="AS46" s="11"/>
      <c r="AT46" s="49"/>
      <c r="AU46" s="49"/>
      <c r="AV46" s="49"/>
    </row>
    <row r="47" spans="2:48" ht="20.25" customHeight="1" thickBot="1" x14ac:dyDescent="0.25">
      <c r="B47" s="40" t="s">
        <v>1</v>
      </c>
      <c r="C47" s="33">
        <v>7</v>
      </c>
      <c r="D47" s="35" t="s">
        <v>40</v>
      </c>
      <c r="E47" s="38">
        <v>33</v>
      </c>
      <c r="F47" s="38">
        <v>63</v>
      </c>
      <c r="G47" s="38">
        <v>37</v>
      </c>
      <c r="H47" s="38">
        <v>11</v>
      </c>
      <c r="I47" s="39">
        <v>59</v>
      </c>
      <c r="J47" s="38">
        <v>60</v>
      </c>
      <c r="K47" s="38">
        <v>21</v>
      </c>
      <c r="L47" s="38">
        <v>50</v>
      </c>
      <c r="M47" s="46"/>
      <c r="N47" s="38">
        <v>32</v>
      </c>
      <c r="O47" s="38">
        <v>56</v>
      </c>
      <c r="P47" s="38">
        <v>19</v>
      </c>
      <c r="Q47" s="38">
        <v>44</v>
      </c>
      <c r="R47" s="38">
        <v>8</v>
      </c>
      <c r="S47" s="38">
        <v>34</v>
      </c>
      <c r="T47" s="38">
        <v>55</v>
      </c>
      <c r="U47" s="38">
        <v>18</v>
      </c>
      <c r="V47" s="38">
        <v>41</v>
      </c>
      <c r="W47" s="46"/>
      <c r="X47" s="38">
        <v>14</v>
      </c>
      <c r="Y47" s="38">
        <v>15</v>
      </c>
      <c r="Z47" s="38">
        <v>51</v>
      </c>
      <c r="AA47" s="38">
        <v>27</v>
      </c>
      <c r="AB47" s="38">
        <v>30</v>
      </c>
      <c r="AC47" s="38">
        <v>10</v>
      </c>
      <c r="AD47" s="38">
        <v>23</v>
      </c>
      <c r="AE47" s="39">
        <v>31</v>
      </c>
      <c r="AF47" s="58"/>
      <c r="AG47" s="35">
        <v>41</v>
      </c>
      <c r="AH47" s="36" t="s">
        <v>133</v>
      </c>
      <c r="AI47" s="36" t="s">
        <v>168</v>
      </c>
      <c r="AJ47" s="1"/>
      <c r="AK47" s="5">
        <f t="shared" si="3"/>
        <v>25</v>
      </c>
      <c r="AL47" s="5"/>
      <c r="AM47" s="5">
        <v>25</v>
      </c>
      <c r="AN47" s="5" t="b">
        <f t="shared" si="1"/>
        <v>1</v>
      </c>
      <c r="AO47" s="5"/>
      <c r="AP47" s="54">
        <v>41</v>
      </c>
      <c r="AQ47" s="11"/>
      <c r="AR47" s="11"/>
      <c r="AS47" s="11"/>
      <c r="AT47" s="49"/>
      <c r="AU47" s="49"/>
      <c r="AV47" s="49"/>
    </row>
    <row r="48" spans="2:48" ht="20.25" customHeight="1" thickBot="1" x14ac:dyDescent="0.25">
      <c r="B48" s="40"/>
      <c r="C48" s="33">
        <v>8</v>
      </c>
      <c r="D48" s="35" t="s">
        <v>41</v>
      </c>
      <c r="E48" s="38">
        <v>33</v>
      </c>
      <c r="F48" s="38">
        <v>63</v>
      </c>
      <c r="G48" s="38">
        <v>37</v>
      </c>
      <c r="H48" s="38">
        <v>11</v>
      </c>
      <c r="I48" s="39">
        <v>59</v>
      </c>
      <c r="J48" s="38">
        <v>60</v>
      </c>
      <c r="K48" s="38">
        <v>21</v>
      </c>
      <c r="L48" s="38">
        <v>50</v>
      </c>
      <c r="M48" s="77"/>
      <c r="N48" s="38">
        <v>32</v>
      </c>
      <c r="O48" s="38">
        <v>56</v>
      </c>
      <c r="P48" s="38">
        <v>19</v>
      </c>
      <c r="Q48" s="38">
        <v>44</v>
      </c>
      <c r="R48" s="38">
        <v>8</v>
      </c>
      <c r="S48" s="38">
        <v>34</v>
      </c>
      <c r="T48" s="38">
        <v>55</v>
      </c>
      <c r="U48" s="38">
        <v>18</v>
      </c>
      <c r="V48" s="38">
        <v>41</v>
      </c>
      <c r="W48" s="77"/>
      <c r="X48" s="38">
        <v>14</v>
      </c>
      <c r="Y48" s="38">
        <v>15</v>
      </c>
      <c r="Z48" s="38">
        <v>51</v>
      </c>
      <c r="AA48" s="38">
        <v>27</v>
      </c>
      <c r="AB48" s="38">
        <v>45</v>
      </c>
      <c r="AC48" s="38">
        <v>10</v>
      </c>
      <c r="AD48" s="38">
        <v>23</v>
      </c>
      <c r="AE48" s="39">
        <v>31</v>
      </c>
      <c r="AF48" s="59"/>
      <c r="AG48" s="35">
        <v>42</v>
      </c>
      <c r="AH48" s="36" t="s">
        <v>134</v>
      </c>
      <c r="AI48" s="36" t="s">
        <v>171</v>
      </c>
      <c r="AJ48" s="2"/>
      <c r="AK48" s="5">
        <f t="shared" si="3"/>
        <v>30</v>
      </c>
      <c r="AL48" s="5"/>
      <c r="AM48" s="5">
        <v>30</v>
      </c>
      <c r="AN48" s="5" t="b">
        <f t="shared" si="1"/>
        <v>1</v>
      </c>
      <c r="AO48" s="5"/>
      <c r="AP48" s="54">
        <v>42</v>
      </c>
      <c r="AQ48" s="11"/>
      <c r="AR48" s="11"/>
      <c r="AS48" s="11"/>
      <c r="AT48" s="49"/>
      <c r="AU48" s="49"/>
      <c r="AV48" s="49"/>
    </row>
    <row r="49" spans="2:48" ht="20.25" customHeight="1" thickBot="1" x14ac:dyDescent="0.25">
      <c r="B49" s="33"/>
      <c r="C49" s="33"/>
      <c r="D49" s="34" t="s">
        <v>43</v>
      </c>
      <c r="E49" s="83" t="s">
        <v>23</v>
      </c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5"/>
      <c r="AG49" s="35">
        <v>43</v>
      </c>
      <c r="AH49" s="36" t="s">
        <v>135</v>
      </c>
      <c r="AI49" s="36" t="s">
        <v>179</v>
      </c>
      <c r="AJ49" s="2"/>
      <c r="AK49" s="5">
        <f t="shared" si="3"/>
        <v>8</v>
      </c>
      <c r="AL49" s="5"/>
      <c r="AM49" s="3">
        <v>8</v>
      </c>
      <c r="AN49" s="5" t="b">
        <f t="shared" si="1"/>
        <v>1</v>
      </c>
      <c r="AO49" s="5"/>
      <c r="AP49" s="54">
        <v>43</v>
      </c>
      <c r="AQ49" s="11"/>
      <c r="AR49" s="11"/>
      <c r="AS49" s="11"/>
      <c r="AT49" s="49"/>
      <c r="AU49" s="49"/>
      <c r="AV49" s="49"/>
    </row>
    <row r="50" spans="2:48" ht="20.25" customHeight="1" thickBot="1" x14ac:dyDescent="0.25">
      <c r="B50" s="37"/>
      <c r="C50" s="33">
        <v>1</v>
      </c>
      <c r="D50" s="35" t="s">
        <v>44</v>
      </c>
      <c r="E50" s="38">
        <v>11</v>
      </c>
      <c r="F50" s="38">
        <v>32</v>
      </c>
      <c r="G50" s="38">
        <v>29</v>
      </c>
      <c r="H50" s="38">
        <v>13</v>
      </c>
      <c r="I50" s="39">
        <v>62</v>
      </c>
      <c r="J50" s="38">
        <v>41</v>
      </c>
      <c r="K50" s="38">
        <v>61</v>
      </c>
      <c r="L50" s="38">
        <v>47</v>
      </c>
      <c r="M50" s="45"/>
      <c r="N50" s="38">
        <v>10</v>
      </c>
      <c r="O50" s="38">
        <v>30</v>
      </c>
      <c r="P50" s="38">
        <v>7</v>
      </c>
      <c r="Q50" s="38">
        <v>42</v>
      </c>
      <c r="R50" s="38">
        <v>20</v>
      </c>
      <c r="S50" s="38">
        <v>8</v>
      </c>
      <c r="T50" s="38">
        <v>56</v>
      </c>
      <c r="U50" s="38">
        <v>15</v>
      </c>
      <c r="V50" s="38">
        <v>40</v>
      </c>
      <c r="W50" s="45"/>
      <c r="X50" s="38">
        <v>19</v>
      </c>
      <c r="Y50" s="38">
        <v>21</v>
      </c>
      <c r="Z50" s="38">
        <v>23</v>
      </c>
      <c r="AA50" s="38">
        <v>16</v>
      </c>
      <c r="AB50" s="38">
        <v>39</v>
      </c>
      <c r="AC50" s="38">
        <v>9</v>
      </c>
      <c r="AD50" s="38">
        <v>54</v>
      </c>
      <c r="AE50" s="39">
        <v>31</v>
      </c>
      <c r="AF50" s="57"/>
      <c r="AG50" s="35">
        <v>44</v>
      </c>
      <c r="AH50" s="36" t="s">
        <v>136</v>
      </c>
      <c r="AI50" s="36" t="s">
        <v>158</v>
      </c>
      <c r="AJ50" s="1"/>
      <c r="AK50" s="5">
        <f t="shared" si="3"/>
        <v>21</v>
      </c>
      <c r="AL50" s="5"/>
      <c r="AM50" s="5">
        <v>21</v>
      </c>
      <c r="AN50" s="5" t="b">
        <f t="shared" si="1"/>
        <v>1</v>
      </c>
      <c r="AO50" s="5"/>
      <c r="AP50" s="54">
        <v>44</v>
      </c>
      <c r="AQ50" s="11"/>
      <c r="AR50" s="11"/>
      <c r="AS50" s="11"/>
      <c r="AT50" s="49"/>
      <c r="AU50" s="49"/>
      <c r="AV50" s="49"/>
    </row>
    <row r="51" spans="2:48" ht="20.25" customHeight="1" thickBot="1" x14ac:dyDescent="0.25">
      <c r="B51" s="40" t="s">
        <v>4</v>
      </c>
      <c r="C51" s="33">
        <v>2</v>
      </c>
      <c r="D51" s="35" t="s">
        <v>45</v>
      </c>
      <c r="E51" s="38">
        <v>11</v>
      </c>
      <c r="F51" s="38">
        <v>32</v>
      </c>
      <c r="G51" s="38">
        <v>29</v>
      </c>
      <c r="H51" s="38">
        <v>13</v>
      </c>
      <c r="I51" s="39">
        <v>62</v>
      </c>
      <c r="J51" s="38">
        <v>41</v>
      </c>
      <c r="K51" s="38">
        <v>61</v>
      </c>
      <c r="L51" s="38">
        <v>47</v>
      </c>
      <c r="M51" s="46"/>
      <c r="N51" s="38">
        <v>10</v>
      </c>
      <c r="O51" s="38">
        <v>30</v>
      </c>
      <c r="P51" s="38">
        <v>7</v>
      </c>
      <c r="Q51" s="38">
        <v>42</v>
      </c>
      <c r="R51" s="38">
        <v>20</v>
      </c>
      <c r="S51" s="38">
        <v>8</v>
      </c>
      <c r="T51" s="38">
        <v>56</v>
      </c>
      <c r="U51" s="38">
        <v>15</v>
      </c>
      <c r="V51" s="38">
        <v>40</v>
      </c>
      <c r="W51" s="46"/>
      <c r="X51" s="38">
        <v>19</v>
      </c>
      <c r="Y51" s="38">
        <v>21</v>
      </c>
      <c r="Z51" s="38">
        <v>23</v>
      </c>
      <c r="AA51" s="38">
        <v>16</v>
      </c>
      <c r="AB51" s="38">
        <v>39</v>
      </c>
      <c r="AC51" s="38">
        <v>9</v>
      </c>
      <c r="AD51" s="38">
        <v>54</v>
      </c>
      <c r="AE51" s="39">
        <v>31</v>
      </c>
      <c r="AF51" s="58"/>
      <c r="AG51" s="35">
        <v>45</v>
      </c>
      <c r="AH51" s="36" t="s">
        <v>137</v>
      </c>
      <c r="AI51" s="36" t="s">
        <v>162</v>
      </c>
      <c r="AJ51" s="1"/>
      <c r="AK51" s="5">
        <f t="shared" si="3"/>
        <v>25</v>
      </c>
      <c r="AL51" s="5"/>
      <c r="AM51" s="5">
        <v>25</v>
      </c>
      <c r="AN51" s="5" t="b">
        <f t="shared" si="1"/>
        <v>1</v>
      </c>
      <c r="AO51" s="5"/>
      <c r="AP51" s="54">
        <v>45</v>
      </c>
      <c r="AQ51" s="11"/>
      <c r="AR51" s="11"/>
      <c r="AS51" s="11"/>
      <c r="AT51" s="49"/>
      <c r="AU51" s="49"/>
      <c r="AV51" s="49"/>
    </row>
    <row r="52" spans="2:48" ht="20.25" customHeight="1" thickBot="1" x14ac:dyDescent="0.25">
      <c r="B52" s="40"/>
      <c r="C52" s="33">
        <v>3</v>
      </c>
      <c r="D52" s="35" t="s">
        <v>46</v>
      </c>
      <c r="E52" s="38">
        <v>28</v>
      </c>
      <c r="F52" s="38">
        <v>6</v>
      </c>
      <c r="G52" s="38">
        <v>11</v>
      </c>
      <c r="H52" s="38">
        <v>29</v>
      </c>
      <c r="I52" s="39">
        <v>13</v>
      </c>
      <c r="J52" s="38">
        <v>51</v>
      </c>
      <c r="K52" s="38">
        <v>41</v>
      </c>
      <c r="L52" s="38">
        <v>21</v>
      </c>
      <c r="M52" s="46"/>
      <c r="N52" s="38">
        <v>7</v>
      </c>
      <c r="O52" s="38">
        <v>39</v>
      </c>
      <c r="P52" s="38">
        <v>31</v>
      </c>
      <c r="Q52" s="38">
        <v>20</v>
      </c>
      <c r="R52" s="38">
        <v>46</v>
      </c>
      <c r="S52" s="38">
        <v>8</v>
      </c>
      <c r="T52" s="38">
        <v>37</v>
      </c>
      <c r="U52" s="38">
        <v>40</v>
      </c>
      <c r="V52" s="38">
        <v>34</v>
      </c>
      <c r="W52" s="46"/>
      <c r="X52" s="38">
        <v>42</v>
      </c>
      <c r="Y52" s="38">
        <v>30</v>
      </c>
      <c r="Z52" s="38">
        <v>16</v>
      </c>
      <c r="AA52" s="38">
        <v>10</v>
      </c>
      <c r="AB52" s="38">
        <v>32</v>
      </c>
      <c r="AC52" s="38">
        <v>54</v>
      </c>
      <c r="AD52" s="38">
        <v>9</v>
      </c>
      <c r="AE52" s="39">
        <v>47</v>
      </c>
      <c r="AF52" s="58"/>
      <c r="AG52" s="35">
        <v>46</v>
      </c>
      <c r="AH52" s="36" t="s">
        <v>138</v>
      </c>
      <c r="AI52" s="36" t="s">
        <v>172</v>
      </c>
      <c r="AJ52" s="1"/>
      <c r="AK52" s="5">
        <f t="shared" si="3"/>
        <v>29</v>
      </c>
      <c r="AL52" s="5"/>
      <c r="AM52" s="5">
        <v>29</v>
      </c>
      <c r="AN52" s="5" t="b">
        <f t="shared" si="1"/>
        <v>1</v>
      </c>
      <c r="AO52" s="5"/>
      <c r="AP52" s="54">
        <v>46</v>
      </c>
      <c r="AQ52" s="11"/>
      <c r="AR52" s="11"/>
      <c r="AS52" s="11"/>
      <c r="AT52" s="49"/>
      <c r="AU52" s="49"/>
      <c r="AV52" s="49"/>
    </row>
    <row r="53" spans="2:48" ht="20.25" customHeight="1" thickBot="1" x14ac:dyDescent="0.25">
      <c r="B53" s="40" t="s">
        <v>1</v>
      </c>
      <c r="C53" s="33">
        <v>4</v>
      </c>
      <c r="D53" s="35" t="s">
        <v>47</v>
      </c>
      <c r="E53" s="38">
        <v>28</v>
      </c>
      <c r="F53" s="38">
        <v>6</v>
      </c>
      <c r="G53" s="38">
        <v>11</v>
      </c>
      <c r="H53" s="38">
        <v>29</v>
      </c>
      <c r="I53" s="39">
        <v>13</v>
      </c>
      <c r="J53" s="38">
        <v>51</v>
      </c>
      <c r="K53" s="38">
        <v>41</v>
      </c>
      <c r="L53" s="38">
        <v>21</v>
      </c>
      <c r="M53" s="77"/>
      <c r="N53" s="38">
        <v>7</v>
      </c>
      <c r="O53" s="38">
        <v>39</v>
      </c>
      <c r="P53" s="38">
        <v>31</v>
      </c>
      <c r="Q53" s="38">
        <v>20</v>
      </c>
      <c r="R53" s="38">
        <v>46</v>
      </c>
      <c r="S53" s="38">
        <v>56</v>
      </c>
      <c r="T53" s="38">
        <v>37</v>
      </c>
      <c r="U53" s="38">
        <v>40</v>
      </c>
      <c r="V53" s="38">
        <v>34</v>
      </c>
      <c r="W53" s="77"/>
      <c r="X53" s="38">
        <v>42</v>
      </c>
      <c r="Y53" s="38">
        <v>30</v>
      </c>
      <c r="Z53" s="38">
        <v>16</v>
      </c>
      <c r="AA53" s="38">
        <v>10</v>
      </c>
      <c r="AB53" s="38">
        <v>32</v>
      </c>
      <c r="AC53" s="38">
        <v>54</v>
      </c>
      <c r="AD53" s="38">
        <v>9</v>
      </c>
      <c r="AE53" s="39">
        <v>47</v>
      </c>
      <c r="AF53" s="59"/>
      <c r="AG53" s="35">
        <v>47</v>
      </c>
      <c r="AH53" s="36" t="s">
        <v>139</v>
      </c>
      <c r="AI53" s="36" t="s">
        <v>173</v>
      </c>
      <c r="AJ53" s="1"/>
      <c r="AK53" s="5">
        <f t="shared" si="3"/>
        <v>35</v>
      </c>
      <c r="AL53" s="13"/>
      <c r="AM53" s="12">
        <v>35</v>
      </c>
      <c r="AN53" s="5" t="b">
        <f t="shared" si="1"/>
        <v>1</v>
      </c>
      <c r="AP53" s="54">
        <v>47</v>
      </c>
      <c r="AQ53" s="11"/>
      <c r="AR53" s="11"/>
      <c r="AS53" s="11"/>
      <c r="AT53" s="49"/>
      <c r="AU53" s="49"/>
      <c r="AV53" s="49"/>
    </row>
    <row r="54" spans="2:48" ht="20.25" customHeight="1" thickBot="1" x14ac:dyDescent="0.25">
      <c r="B54" s="40"/>
      <c r="C54" s="33"/>
      <c r="D54" s="42" t="s">
        <v>48</v>
      </c>
      <c r="E54" s="80" t="s">
        <v>42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2"/>
      <c r="AG54" s="35">
        <v>48</v>
      </c>
      <c r="AH54" s="36" t="s">
        <v>140</v>
      </c>
      <c r="AI54" s="36" t="s">
        <v>66</v>
      </c>
      <c r="AJ54" s="1"/>
      <c r="AK54" s="5">
        <f t="shared" si="3"/>
        <v>0</v>
      </c>
      <c r="AL54" s="5"/>
      <c r="AM54" s="3">
        <v>0</v>
      </c>
      <c r="AN54" s="5" t="b">
        <f t="shared" si="1"/>
        <v>1</v>
      </c>
      <c r="AP54" s="54">
        <v>48</v>
      </c>
      <c r="AQ54" s="11"/>
      <c r="AR54" s="11"/>
      <c r="AS54" s="11"/>
      <c r="AT54" s="49"/>
      <c r="AU54" s="49"/>
      <c r="AV54" s="49"/>
    </row>
    <row r="55" spans="2:48" ht="20.25" customHeight="1" thickBot="1" x14ac:dyDescent="0.25">
      <c r="B55" s="40" t="s">
        <v>24</v>
      </c>
      <c r="C55" s="33">
        <v>5</v>
      </c>
      <c r="D55" s="35" t="s">
        <v>38</v>
      </c>
      <c r="E55" s="38">
        <v>29</v>
      </c>
      <c r="F55" s="38">
        <v>28</v>
      </c>
      <c r="G55" s="38">
        <v>31</v>
      </c>
      <c r="H55" s="38">
        <v>62</v>
      </c>
      <c r="I55" s="39">
        <v>42</v>
      </c>
      <c r="J55" s="38">
        <v>13</v>
      </c>
      <c r="K55" s="38">
        <v>47</v>
      </c>
      <c r="L55" s="38">
        <v>22</v>
      </c>
      <c r="M55" s="45"/>
      <c r="N55" s="38">
        <v>30</v>
      </c>
      <c r="O55" s="38">
        <v>19</v>
      </c>
      <c r="P55" s="38">
        <v>34</v>
      </c>
      <c r="Q55" s="38">
        <v>40</v>
      </c>
      <c r="R55" s="38">
        <v>11</v>
      </c>
      <c r="S55" s="38">
        <v>20</v>
      </c>
      <c r="T55" s="38">
        <v>8</v>
      </c>
      <c r="U55" s="38">
        <v>41</v>
      </c>
      <c r="V55" s="38">
        <v>51</v>
      </c>
      <c r="W55" s="45"/>
      <c r="X55" s="38">
        <v>54</v>
      </c>
      <c r="Y55" s="38">
        <v>45</v>
      </c>
      <c r="Z55" s="38">
        <v>7</v>
      </c>
      <c r="AA55" s="38">
        <v>17</v>
      </c>
      <c r="AB55" s="38">
        <v>9</v>
      </c>
      <c r="AC55" s="38">
        <v>16</v>
      </c>
      <c r="AD55" s="38">
        <v>46</v>
      </c>
      <c r="AE55" s="39">
        <v>39</v>
      </c>
      <c r="AF55" s="57"/>
      <c r="AG55" s="35">
        <v>49</v>
      </c>
      <c r="AH55" s="36" t="s">
        <v>141</v>
      </c>
      <c r="AI55" s="36" t="s">
        <v>174</v>
      </c>
      <c r="AJ55" s="1"/>
      <c r="AK55" s="5">
        <f t="shared" si="3"/>
        <v>12</v>
      </c>
      <c r="AL55" s="5"/>
      <c r="AM55" s="3">
        <v>12</v>
      </c>
      <c r="AN55" s="5" t="b">
        <f t="shared" si="1"/>
        <v>1</v>
      </c>
      <c r="AP55" s="54">
        <v>49</v>
      </c>
      <c r="AQ55" s="11"/>
      <c r="AR55" s="11"/>
      <c r="AS55" s="11"/>
      <c r="AT55" s="49"/>
      <c r="AU55" s="49"/>
      <c r="AV55" s="49"/>
    </row>
    <row r="56" spans="2:48" ht="20.25" customHeight="1" thickBot="1" x14ac:dyDescent="0.25">
      <c r="B56" s="40"/>
      <c r="C56" s="33">
        <v>6</v>
      </c>
      <c r="D56" s="35" t="s">
        <v>39</v>
      </c>
      <c r="E56" s="38">
        <v>29</v>
      </c>
      <c r="F56" s="38">
        <v>28</v>
      </c>
      <c r="G56" s="38">
        <v>31</v>
      </c>
      <c r="H56" s="38">
        <v>62</v>
      </c>
      <c r="I56" s="39">
        <v>42</v>
      </c>
      <c r="J56" s="38">
        <v>13</v>
      </c>
      <c r="K56" s="38">
        <v>47</v>
      </c>
      <c r="L56" s="38">
        <v>22</v>
      </c>
      <c r="M56" s="46"/>
      <c r="N56" s="38">
        <v>30</v>
      </c>
      <c r="O56" s="38">
        <v>19</v>
      </c>
      <c r="P56" s="38">
        <v>34</v>
      </c>
      <c r="Q56" s="38">
        <v>40</v>
      </c>
      <c r="R56" s="38">
        <v>11</v>
      </c>
      <c r="S56" s="38">
        <v>20</v>
      </c>
      <c r="T56" s="38">
        <v>8</v>
      </c>
      <c r="U56" s="38">
        <v>41</v>
      </c>
      <c r="V56" s="38">
        <v>51</v>
      </c>
      <c r="W56" s="46"/>
      <c r="X56" s="38">
        <v>54</v>
      </c>
      <c r="Y56" s="38">
        <v>45</v>
      </c>
      <c r="Z56" s="38">
        <v>7</v>
      </c>
      <c r="AA56" s="38">
        <v>17</v>
      </c>
      <c r="AB56" s="38">
        <v>9</v>
      </c>
      <c r="AC56" s="38">
        <v>16</v>
      </c>
      <c r="AD56" s="38">
        <v>46</v>
      </c>
      <c r="AE56" s="39">
        <v>39</v>
      </c>
      <c r="AF56" s="58"/>
      <c r="AG56" s="35">
        <v>50</v>
      </c>
      <c r="AH56" s="36" t="s">
        <v>142</v>
      </c>
      <c r="AI56" s="36" t="s">
        <v>58</v>
      </c>
      <c r="AJ56" s="1"/>
      <c r="AK56" s="5">
        <f t="shared" si="3"/>
        <v>33</v>
      </c>
      <c r="AL56" s="5"/>
      <c r="AM56" s="3">
        <v>33</v>
      </c>
      <c r="AN56" s="5" t="b">
        <f t="shared" si="1"/>
        <v>1</v>
      </c>
      <c r="AP56" s="54">
        <v>50</v>
      </c>
      <c r="AQ56" s="11"/>
      <c r="AR56" s="11"/>
      <c r="AS56" s="11"/>
      <c r="AT56" s="49"/>
      <c r="AU56" s="49"/>
      <c r="AV56" s="49"/>
    </row>
    <row r="57" spans="2:48" ht="20.25" customHeight="1" thickBot="1" x14ac:dyDescent="0.25">
      <c r="B57" s="40" t="s">
        <v>3</v>
      </c>
      <c r="C57" s="33">
        <v>7</v>
      </c>
      <c r="D57" s="35" t="s">
        <v>40</v>
      </c>
      <c r="E57" s="38">
        <v>6</v>
      </c>
      <c r="F57" s="38">
        <v>29</v>
      </c>
      <c r="G57" s="38">
        <v>28</v>
      </c>
      <c r="H57" s="38">
        <v>63</v>
      </c>
      <c r="I57" s="39">
        <v>37</v>
      </c>
      <c r="J57" s="38">
        <v>47</v>
      </c>
      <c r="K57" s="38">
        <v>62</v>
      </c>
      <c r="L57" s="38">
        <v>50</v>
      </c>
      <c r="M57" s="46"/>
      <c r="N57" s="38">
        <v>32</v>
      </c>
      <c r="O57" s="38">
        <v>8</v>
      </c>
      <c r="P57" s="38">
        <v>30</v>
      </c>
      <c r="Q57" s="38">
        <v>34</v>
      </c>
      <c r="R57" s="38">
        <v>39</v>
      </c>
      <c r="S57" s="38">
        <v>11</v>
      </c>
      <c r="T57" s="38">
        <v>20</v>
      </c>
      <c r="U57" s="38">
        <v>46</v>
      </c>
      <c r="V57" s="38">
        <v>41</v>
      </c>
      <c r="W57" s="46"/>
      <c r="X57" s="38">
        <v>14</v>
      </c>
      <c r="Y57" s="38">
        <v>42</v>
      </c>
      <c r="Z57" s="38">
        <v>17</v>
      </c>
      <c r="AA57" s="38">
        <v>51</v>
      </c>
      <c r="AB57" s="38">
        <v>54</v>
      </c>
      <c r="AC57" s="38">
        <v>21</v>
      </c>
      <c r="AD57" s="38">
        <v>27</v>
      </c>
      <c r="AE57" s="39">
        <v>9</v>
      </c>
      <c r="AF57" s="58"/>
      <c r="AG57" s="35">
        <v>51</v>
      </c>
      <c r="AH57" s="36" t="s">
        <v>57</v>
      </c>
      <c r="AI57" s="36" t="s">
        <v>172</v>
      </c>
      <c r="AJ57" s="1"/>
      <c r="AK57" s="5">
        <f t="shared" si="3"/>
        <v>29</v>
      </c>
      <c r="AL57" s="5"/>
      <c r="AM57" s="5">
        <v>29</v>
      </c>
      <c r="AN57" s="5" t="b">
        <f t="shared" si="1"/>
        <v>1</v>
      </c>
      <c r="AO57" s="5"/>
      <c r="AP57" s="54">
        <v>51</v>
      </c>
      <c r="AQ57" s="11"/>
      <c r="AR57" s="11"/>
      <c r="AS57" s="11"/>
      <c r="AT57" s="49"/>
      <c r="AU57" s="49"/>
      <c r="AV57" s="49"/>
    </row>
    <row r="58" spans="2:48" ht="20.25" customHeight="1" thickBot="1" x14ac:dyDescent="0.25">
      <c r="B58" s="40"/>
      <c r="C58" s="33">
        <v>8</v>
      </c>
      <c r="D58" s="35" t="s">
        <v>41</v>
      </c>
      <c r="E58" s="38">
        <v>6</v>
      </c>
      <c r="F58" s="38">
        <v>29</v>
      </c>
      <c r="G58" s="38">
        <v>28</v>
      </c>
      <c r="H58" s="38">
        <v>63</v>
      </c>
      <c r="I58" s="39">
        <v>37</v>
      </c>
      <c r="J58" s="38">
        <v>47</v>
      </c>
      <c r="K58" s="38">
        <v>62</v>
      </c>
      <c r="L58" s="38">
        <v>50</v>
      </c>
      <c r="M58" s="77"/>
      <c r="N58" s="38">
        <v>32</v>
      </c>
      <c r="O58" s="38">
        <v>56</v>
      </c>
      <c r="P58" s="38">
        <v>30</v>
      </c>
      <c r="Q58" s="38">
        <v>34</v>
      </c>
      <c r="R58" s="38">
        <v>39</v>
      </c>
      <c r="S58" s="38">
        <v>11</v>
      </c>
      <c r="T58" s="38">
        <v>20</v>
      </c>
      <c r="U58" s="38">
        <v>46</v>
      </c>
      <c r="V58" s="38">
        <v>41</v>
      </c>
      <c r="W58" s="77"/>
      <c r="X58" s="38">
        <v>14</v>
      </c>
      <c r="Y58" s="38">
        <v>42</v>
      </c>
      <c r="Z58" s="38">
        <v>17</v>
      </c>
      <c r="AA58" s="38">
        <v>51</v>
      </c>
      <c r="AB58" s="38">
        <v>54</v>
      </c>
      <c r="AC58" s="38">
        <v>21</v>
      </c>
      <c r="AD58" s="38">
        <v>27</v>
      </c>
      <c r="AE58" s="39">
        <v>9</v>
      </c>
      <c r="AF58" s="59"/>
      <c r="AG58" s="35">
        <v>52</v>
      </c>
      <c r="AH58" s="36" t="s">
        <v>143</v>
      </c>
      <c r="AI58" s="36" t="s">
        <v>61</v>
      </c>
      <c r="AJ58" s="1"/>
      <c r="AK58" s="5">
        <f t="shared" si="3"/>
        <v>16</v>
      </c>
      <c r="AL58" s="5"/>
      <c r="AM58" s="3">
        <v>16</v>
      </c>
      <c r="AN58" s="5" t="b">
        <f t="shared" si="1"/>
        <v>1</v>
      </c>
      <c r="AP58" s="54">
        <v>52</v>
      </c>
      <c r="AQ58" s="11"/>
      <c r="AR58" s="11"/>
      <c r="AS58" s="11"/>
      <c r="AT58" s="49"/>
      <c r="AU58" s="49"/>
      <c r="AV58" s="49"/>
    </row>
    <row r="59" spans="2:48" ht="20.25" customHeight="1" thickBot="1" x14ac:dyDescent="0.3">
      <c r="B59" s="33"/>
      <c r="C59" s="33"/>
      <c r="D59" s="34" t="s">
        <v>43</v>
      </c>
      <c r="E59" s="83" t="s">
        <v>23</v>
      </c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5"/>
      <c r="AG59" s="35">
        <v>53</v>
      </c>
      <c r="AH59" s="36" t="s">
        <v>144</v>
      </c>
      <c r="AI59" s="36" t="s">
        <v>66</v>
      </c>
      <c r="AJ59" s="5"/>
      <c r="AK59" s="5">
        <f t="shared" si="3"/>
        <v>0</v>
      </c>
      <c r="AL59" s="10"/>
      <c r="AM59" s="3">
        <v>0</v>
      </c>
      <c r="AN59" s="3" t="b">
        <f t="shared" ref="AN59:AN72" si="4">AK59=AM59</f>
        <v>1</v>
      </c>
      <c r="AP59" s="54">
        <v>53</v>
      </c>
      <c r="AQ59" s="11"/>
      <c r="AR59" s="11"/>
      <c r="AS59" s="11"/>
      <c r="AT59" s="49"/>
      <c r="AU59" s="49"/>
      <c r="AV59" s="49"/>
    </row>
    <row r="60" spans="2:48" ht="20.25" customHeight="1" thickBot="1" x14ac:dyDescent="0.25">
      <c r="B60" s="37" t="s">
        <v>27</v>
      </c>
      <c r="C60" s="33">
        <v>1</v>
      </c>
      <c r="D60" s="35" t="s">
        <v>44</v>
      </c>
      <c r="E60" s="38">
        <v>59</v>
      </c>
      <c r="F60" s="38">
        <v>62</v>
      </c>
      <c r="G60" s="38">
        <v>61</v>
      </c>
      <c r="H60" s="38">
        <v>37</v>
      </c>
      <c r="I60" s="39">
        <v>50</v>
      </c>
      <c r="J60" s="38">
        <v>54</v>
      </c>
      <c r="K60" s="38">
        <v>23</v>
      </c>
      <c r="L60" s="38">
        <v>29</v>
      </c>
      <c r="M60" s="45"/>
      <c r="N60" s="38">
        <v>19</v>
      </c>
      <c r="O60" s="38">
        <v>20</v>
      </c>
      <c r="P60" s="38">
        <v>42</v>
      </c>
      <c r="Q60" s="38">
        <v>46</v>
      </c>
      <c r="R60" s="38">
        <v>15</v>
      </c>
      <c r="S60" s="38">
        <v>30</v>
      </c>
      <c r="T60" s="38">
        <v>40</v>
      </c>
      <c r="U60" s="38">
        <v>55</v>
      </c>
      <c r="V60" s="38">
        <v>8</v>
      </c>
      <c r="W60" s="45"/>
      <c r="X60" s="38">
        <v>4</v>
      </c>
      <c r="Y60" s="38">
        <v>14</v>
      </c>
      <c r="Z60" s="38">
        <v>51</v>
      </c>
      <c r="AA60" s="38">
        <v>9</v>
      </c>
      <c r="AB60" s="38">
        <v>16</v>
      </c>
      <c r="AC60" s="38">
        <v>22</v>
      </c>
      <c r="AD60" s="38">
        <v>17</v>
      </c>
      <c r="AE60" s="39">
        <v>27</v>
      </c>
      <c r="AF60" s="57"/>
      <c r="AG60" s="35">
        <v>54</v>
      </c>
      <c r="AH60" s="36" t="s">
        <v>145</v>
      </c>
      <c r="AI60" s="36" t="s">
        <v>175</v>
      </c>
      <c r="AJ60" s="5"/>
      <c r="AK60" s="5">
        <f t="shared" si="3"/>
        <v>31</v>
      </c>
      <c r="AL60" s="5"/>
      <c r="AM60" s="5">
        <v>31</v>
      </c>
      <c r="AN60" s="3" t="b">
        <f t="shared" si="4"/>
        <v>1</v>
      </c>
      <c r="AP60" s="54">
        <v>54</v>
      </c>
      <c r="AQ60" s="11"/>
      <c r="AR60" s="11"/>
      <c r="AS60" s="11"/>
      <c r="AT60" s="49"/>
      <c r="AU60" s="49"/>
      <c r="AV60" s="49"/>
    </row>
    <row r="61" spans="2:48" ht="20.25" customHeight="1" thickBot="1" x14ac:dyDescent="0.25">
      <c r="B61" s="40"/>
      <c r="C61" s="33">
        <v>2</v>
      </c>
      <c r="D61" s="35" t="s">
        <v>45</v>
      </c>
      <c r="E61" s="38">
        <v>59</v>
      </c>
      <c r="F61" s="38">
        <v>62</v>
      </c>
      <c r="G61" s="38">
        <v>61</v>
      </c>
      <c r="H61" s="38">
        <v>37</v>
      </c>
      <c r="I61" s="39">
        <v>50</v>
      </c>
      <c r="J61" s="38">
        <v>54</v>
      </c>
      <c r="K61" s="38">
        <v>23</v>
      </c>
      <c r="L61" s="38">
        <v>29</v>
      </c>
      <c r="M61" s="46"/>
      <c r="N61" s="38">
        <v>19</v>
      </c>
      <c r="O61" s="38">
        <v>20</v>
      </c>
      <c r="P61" s="38">
        <v>42</v>
      </c>
      <c r="Q61" s="38">
        <v>46</v>
      </c>
      <c r="R61" s="38">
        <v>15</v>
      </c>
      <c r="S61" s="38">
        <v>30</v>
      </c>
      <c r="T61" s="38">
        <v>40</v>
      </c>
      <c r="U61" s="38">
        <v>55</v>
      </c>
      <c r="V61" s="38">
        <v>8</v>
      </c>
      <c r="W61" s="46"/>
      <c r="X61" s="38">
        <v>4</v>
      </c>
      <c r="Y61" s="38">
        <v>14</v>
      </c>
      <c r="Z61" s="38">
        <v>51</v>
      </c>
      <c r="AA61" s="38">
        <v>9</v>
      </c>
      <c r="AB61" s="38">
        <v>16</v>
      </c>
      <c r="AC61" s="38">
        <v>22</v>
      </c>
      <c r="AD61" s="38">
        <v>17</v>
      </c>
      <c r="AE61" s="39">
        <v>27</v>
      </c>
      <c r="AF61" s="58"/>
      <c r="AG61" s="35">
        <v>55</v>
      </c>
      <c r="AH61" s="36" t="s">
        <v>146</v>
      </c>
      <c r="AI61" s="36" t="s">
        <v>157</v>
      </c>
      <c r="AJ61" s="5"/>
      <c r="AK61" s="5">
        <f t="shared" si="3"/>
        <v>22</v>
      </c>
      <c r="AL61" s="5"/>
      <c r="AM61" s="3">
        <v>22</v>
      </c>
      <c r="AN61" s="3" t="b">
        <f t="shared" si="4"/>
        <v>1</v>
      </c>
      <c r="AP61" s="54">
        <v>55</v>
      </c>
      <c r="AQ61" s="11"/>
      <c r="AR61" s="11"/>
      <c r="AS61" s="11"/>
      <c r="AT61" s="49"/>
      <c r="AU61" s="49"/>
      <c r="AV61" s="49"/>
    </row>
    <row r="62" spans="2:48" ht="20.25" customHeight="1" thickBot="1" x14ac:dyDescent="0.25">
      <c r="B62" s="40" t="s">
        <v>1</v>
      </c>
      <c r="C62" s="33">
        <v>3</v>
      </c>
      <c r="D62" s="35" t="s">
        <v>46</v>
      </c>
      <c r="E62" s="38">
        <v>62</v>
      </c>
      <c r="F62" s="38">
        <v>6</v>
      </c>
      <c r="G62" s="38">
        <v>46</v>
      </c>
      <c r="H62" s="38">
        <v>51</v>
      </c>
      <c r="I62" s="39">
        <v>47</v>
      </c>
      <c r="J62" s="38">
        <v>22</v>
      </c>
      <c r="K62" s="38">
        <v>29</v>
      </c>
      <c r="L62" s="38">
        <v>61</v>
      </c>
      <c r="M62" s="46"/>
      <c r="N62" s="38">
        <v>30</v>
      </c>
      <c r="O62" s="38">
        <v>63</v>
      </c>
      <c r="P62" s="38">
        <v>20</v>
      </c>
      <c r="Q62" s="38">
        <v>33</v>
      </c>
      <c r="R62" s="38">
        <v>41</v>
      </c>
      <c r="S62" s="38">
        <v>40</v>
      </c>
      <c r="T62" s="38">
        <v>19</v>
      </c>
      <c r="U62" s="38">
        <v>8</v>
      </c>
      <c r="V62" s="38">
        <v>55</v>
      </c>
      <c r="W62" s="46"/>
      <c r="X62" s="38">
        <v>59</v>
      </c>
      <c r="Y62" s="38">
        <v>54</v>
      </c>
      <c r="Z62" s="38">
        <v>9</v>
      </c>
      <c r="AA62" s="38">
        <v>15</v>
      </c>
      <c r="AB62" s="38">
        <v>50</v>
      </c>
      <c r="AC62" s="38">
        <v>14</v>
      </c>
      <c r="AD62" s="38">
        <v>23</v>
      </c>
      <c r="AE62" s="39">
        <v>16</v>
      </c>
      <c r="AF62" s="58"/>
      <c r="AG62" s="35">
        <v>56</v>
      </c>
      <c r="AH62" s="36" t="s">
        <v>147</v>
      </c>
      <c r="AI62" s="36" t="s">
        <v>65</v>
      </c>
      <c r="AJ62" s="5"/>
      <c r="AK62" s="5">
        <f t="shared" si="3"/>
        <v>27</v>
      </c>
      <c r="AL62" s="5"/>
      <c r="AM62" s="3">
        <v>27</v>
      </c>
      <c r="AN62" s="3" t="b">
        <f t="shared" si="4"/>
        <v>1</v>
      </c>
      <c r="AP62" s="54">
        <v>56</v>
      </c>
      <c r="AQ62" s="11"/>
      <c r="AR62" s="11"/>
      <c r="AS62" s="11"/>
      <c r="AT62" s="49"/>
      <c r="AU62" s="49"/>
      <c r="AV62" s="49"/>
    </row>
    <row r="63" spans="2:48" ht="20.25" customHeight="1" thickBot="1" x14ac:dyDescent="0.25">
      <c r="B63" s="40"/>
      <c r="C63" s="33">
        <v>4</v>
      </c>
      <c r="D63" s="35" t="s">
        <v>47</v>
      </c>
      <c r="E63" s="38">
        <v>62</v>
      </c>
      <c r="F63" s="38">
        <v>6</v>
      </c>
      <c r="G63" s="38">
        <v>46</v>
      </c>
      <c r="H63" s="38">
        <v>51</v>
      </c>
      <c r="I63" s="39">
        <v>47</v>
      </c>
      <c r="J63" s="38">
        <v>22</v>
      </c>
      <c r="K63" s="38">
        <v>29</v>
      </c>
      <c r="L63" s="38">
        <v>61</v>
      </c>
      <c r="M63" s="77"/>
      <c r="N63" s="38">
        <v>30</v>
      </c>
      <c r="O63" s="38">
        <v>63</v>
      </c>
      <c r="P63" s="38">
        <v>20</v>
      </c>
      <c r="Q63" s="38">
        <v>33</v>
      </c>
      <c r="R63" s="38">
        <v>41</v>
      </c>
      <c r="S63" s="38">
        <v>40</v>
      </c>
      <c r="T63" s="38">
        <v>19</v>
      </c>
      <c r="U63" s="38">
        <v>8</v>
      </c>
      <c r="V63" s="38">
        <v>55</v>
      </c>
      <c r="W63" s="77"/>
      <c r="X63" s="38">
        <v>59</v>
      </c>
      <c r="Y63" s="38">
        <v>54</v>
      </c>
      <c r="Z63" s="38">
        <v>9</v>
      </c>
      <c r="AA63" s="38">
        <v>58</v>
      </c>
      <c r="AB63" s="38">
        <v>50</v>
      </c>
      <c r="AC63" s="38">
        <v>14</v>
      </c>
      <c r="AD63" s="38">
        <v>23</v>
      </c>
      <c r="AE63" s="39">
        <v>16</v>
      </c>
      <c r="AF63" s="59"/>
      <c r="AG63" s="35">
        <v>57</v>
      </c>
      <c r="AH63" s="36" t="s">
        <v>148</v>
      </c>
      <c r="AI63" s="36" t="s">
        <v>64</v>
      </c>
      <c r="AJ63" s="5"/>
      <c r="AK63" s="5">
        <f t="shared" si="3"/>
        <v>8</v>
      </c>
      <c r="AL63" s="5"/>
      <c r="AM63" s="5">
        <v>8</v>
      </c>
      <c r="AN63" s="3" t="b">
        <f t="shared" si="4"/>
        <v>1</v>
      </c>
      <c r="AO63" s="5"/>
      <c r="AP63" s="54">
        <v>57</v>
      </c>
      <c r="AQ63" s="11"/>
      <c r="AR63" s="11"/>
      <c r="AS63" s="11"/>
      <c r="AT63" s="49"/>
      <c r="AU63" s="49"/>
      <c r="AV63" s="49"/>
    </row>
    <row r="64" spans="2:48" ht="20.25" customHeight="1" thickBot="1" x14ac:dyDescent="0.25">
      <c r="B64" s="40" t="s">
        <v>7</v>
      </c>
      <c r="C64" s="33"/>
      <c r="D64" s="42" t="s">
        <v>48</v>
      </c>
      <c r="E64" s="80" t="s">
        <v>42</v>
      </c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2"/>
      <c r="AG64" s="35">
        <v>58</v>
      </c>
      <c r="AH64" s="36" t="s">
        <v>149</v>
      </c>
      <c r="AI64" s="36" t="s">
        <v>170</v>
      </c>
      <c r="AJ64" s="5"/>
      <c r="AK64" s="5">
        <f t="shared" si="3"/>
        <v>27</v>
      </c>
      <c r="AL64" s="5"/>
      <c r="AM64" s="3">
        <v>27</v>
      </c>
      <c r="AN64" s="3" t="b">
        <f t="shared" si="4"/>
        <v>1</v>
      </c>
      <c r="AP64" s="54">
        <v>58</v>
      </c>
      <c r="AQ64" s="11"/>
      <c r="AR64" s="11"/>
      <c r="AS64" s="11"/>
      <c r="AT64" s="49"/>
      <c r="AU64" s="49"/>
      <c r="AV64" s="49"/>
    </row>
    <row r="65" spans="2:48" ht="20.25" customHeight="1" thickBot="1" x14ac:dyDescent="0.25">
      <c r="B65" s="40"/>
      <c r="C65" s="33">
        <v>5</v>
      </c>
      <c r="D65" s="35" t="s">
        <v>38</v>
      </c>
      <c r="E65" s="38">
        <v>6</v>
      </c>
      <c r="F65" s="38">
        <v>33</v>
      </c>
      <c r="G65" s="38">
        <v>59</v>
      </c>
      <c r="H65" s="38">
        <v>47</v>
      </c>
      <c r="I65" s="39">
        <v>29</v>
      </c>
      <c r="J65" s="38">
        <v>62</v>
      </c>
      <c r="K65" s="38">
        <v>61</v>
      </c>
      <c r="L65" s="38">
        <v>64</v>
      </c>
      <c r="M65" s="45"/>
      <c r="N65" s="38">
        <v>20</v>
      </c>
      <c r="O65" s="38">
        <v>14</v>
      </c>
      <c r="P65" s="38">
        <v>22</v>
      </c>
      <c r="Q65" s="38">
        <v>51</v>
      </c>
      <c r="R65" s="38">
        <v>40</v>
      </c>
      <c r="S65" s="38">
        <v>44</v>
      </c>
      <c r="T65" s="38">
        <v>15</v>
      </c>
      <c r="U65" s="38">
        <v>8</v>
      </c>
      <c r="V65" s="38">
        <v>23</v>
      </c>
      <c r="W65" s="45"/>
      <c r="X65" s="38">
        <v>19</v>
      </c>
      <c r="Y65" s="38">
        <v>9</v>
      </c>
      <c r="Z65" s="38">
        <v>17</v>
      </c>
      <c r="AA65" s="38">
        <v>34</v>
      </c>
      <c r="AB65" s="38">
        <v>45</v>
      </c>
      <c r="AC65" s="38">
        <v>30</v>
      </c>
      <c r="AD65" s="38">
        <v>55</v>
      </c>
      <c r="AE65" s="39">
        <v>46</v>
      </c>
      <c r="AF65" s="57"/>
      <c r="AG65" s="56">
        <v>59</v>
      </c>
      <c r="AH65" s="36" t="s">
        <v>150</v>
      </c>
      <c r="AI65" s="36" t="s">
        <v>176</v>
      </c>
      <c r="AJ65" s="5"/>
      <c r="AK65" s="5">
        <f t="shared" si="3"/>
        <v>20</v>
      </c>
      <c r="AL65" s="5"/>
      <c r="AM65" s="5">
        <v>20</v>
      </c>
      <c r="AN65" s="3" t="b">
        <f t="shared" si="4"/>
        <v>1</v>
      </c>
      <c r="AP65" s="54">
        <v>59</v>
      </c>
      <c r="AQ65" s="11"/>
      <c r="AR65" s="11"/>
      <c r="AS65" s="11"/>
      <c r="AT65" s="49"/>
      <c r="AU65" s="49"/>
      <c r="AV65" s="49"/>
    </row>
    <row r="66" spans="2:48" ht="20.25" customHeight="1" thickBot="1" x14ac:dyDescent="0.25">
      <c r="B66" s="40" t="s">
        <v>25</v>
      </c>
      <c r="C66" s="33">
        <v>6</v>
      </c>
      <c r="D66" s="35" t="s">
        <v>39</v>
      </c>
      <c r="E66" s="38">
        <v>6</v>
      </c>
      <c r="F66" s="38">
        <v>33</v>
      </c>
      <c r="G66" s="38">
        <v>59</v>
      </c>
      <c r="H66" s="38">
        <v>47</v>
      </c>
      <c r="I66" s="39">
        <v>29</v>
      </c>
      <c r="J66" s="38">
        <v>62</v>
      </c>
      <c r="K66" s="38">
        <v>61</v>
      </c>
      <c r="L66" s="38">
        <v>64</v>
      </c>
      <c r="M66" s="46"/>
      <c r="N66" s="38">
        <v>20</v>
      </c>
      <c r="O66" s="38">
        <v>14</v>
      </c>
      <c r="P66" s="38">
        <v>22</v>
      </c>
      <c r="Q66" s="38">
        <v>51</v>
      </c>
      <c r="R66" s="38">
        <v>40</v>
      </c>
      <c r="S66" s="38">
        <v>44</v>
      </c>
      <c r="T66" s="38">
        <v>15</v>
      </c>
      <c r="U66" s="38">
        <v>27</v>
      </c>
      <c r="V66" s="38">
        <v>23</v>
      </c>
      <c r="W66" s="46"/>
      <c r="X66" s="38">
        <v>19</v>
      </c>
      <c r="Y66" s="38">
        <v>9</v>
      </c>
      <c r="Z66" s="38">
        <v>17</v>
      </c>
      <c r="AA66" s="38">
        <v>34</v>
      </c>
      <c r="AB66" s="38">
        <v>50</v>
      </c>
      <c r="AC66" s="38">
        <v>30</v>
      </c>
      <c r="AD66" s="38">
        <v>55</v>
      </c>
      <c r="AE66" s="39">
        <v>46</v>
      </c>
      <c r="AF66" s="58"/>
      <c r="AG66" s="56">
        <v>60</v>
      </c>
      <c r="AH66" s="36" t="s">
        <v>151</v>
      </c>
      <c r="AI66" s="44" t="s">
        <v>156</v>
      </c>
      <c r="AJ66" s="5"/>
      <c r="AK66" s="5">
        <f t="shared" si="3"/>
        <v>20</v>
      </c>
      <c r="AL66" s="5"/>
      <c r="AM66" s="3">
        <v>20</v>
      </c>
      <c r="AN66" s="3" t="b">
        <f t="shared" si="4"/>
        <v>1</v>
      </c>
      <c r="AP66" s="54">
        <v>60</v>
      </c>
      <c r="AQ66" s="11"/>
      <c r="AR66" s="11"/>
      <c r="AS66" s="11"/>
      <c r="AT66" s="49"/>
      <c r="AU66" s="49"/>
      <c r="AV66" s="49"/>
    </row>
    <row r="67" spans="2:48" ht="20.25" customHeight="1" thickBot="1" x14ac:dyDescent="0.25">
      <c r="B67" s="40"/>
      <c r="C67" s="33">
        <v>7</v>
      </c>
      <c r="D67" s="35" t="s">
        <v>40</v>
      </c>
      <c r="E67" s="38">
        <v>61</v>
      </c>
      <c r="F67" s="38">
        <v>59</v>
      </c>
      <c r="G67" s="38">
        <v>62</v>
      </c>
      <c r="H67" s="38">
        <v>58</v>
      </c>
      <c r="I67" s="39">
        <v>41</v>
      </c>
      <c r="J67" s="38">
        <v>29</v>
      </c>
      <c r="K67" s="38">
        <v>22</v>
      </c>
      <c r="L67" s="38">
        <v>23</v>
      </c>
      <c r="M67" s="46"/>
      <c r="N67" s="38">
        <v>63</v>
      </c>
      <c r="O67" s="38">
        <v>45</v>
      </c>
      <c r="P67" s="38">
        <v>8</v>
      </c>
      <c r="Q67" s="38">
        <v>20</v>
      </c>
      <c r="R67" s="38">
        <v>33</v>
      </c>
      <c r="S67" s="38">
        <v>15</v>
      </c>
      <c r="T67" s="38">
        <v>30</v>
      </c>
      <c r="U67" s="38">
        <v>46</v>
      </c>
      <c r="V67" s="38">
        <v>27</v>
      </c>
      <c r="W67" s="46"/>
      <c r="X67" s="38">
        <v>9</v>
      </c>
      <c r="Y67" s="38">
        <v>2</v>
      </c>
      <c r="Z67" s="38">
        <v>19</v>
      </c>
      <c r="AA67" s="38">
        <v>17</v>
      </c>
      <c r="AB67" s="38">
        <v>14</v>
      </c>
      <c r="AC67" s="38">
        <v>50</v>
      </c>
      <c r="AD67" s="38">
        <v>16</v>
      </c>
      <c r="AE67" s="39">
        <v>54</v>
      </c>
      <c r="AF67" s="58"/>
      <c r="AG67" s="56">
        <v>61</v>
      </c>
      <c r="AH67" s="36" t="s">
        <v>152</v>
      </c>
      <c r="AI67" s="44" t="s">
        <v>177</v>
      </c>
      <c r="AJ67" s="5"/>
      <c r="AK67" s="5">
        <f t="shared" si="3"/>
        <v>18</v>
      </c>
      <c r="AL67" s="5"/>
      <c r="AM67" s="3">
        <v>18</v>
      </c>
      <c r="AN67" s="3" t="b">
        <f t="shared" si="4"/>
        <v>1</v>
      </c>
      <c r="AP67" s="54"/>
      <c r="AQ67" s="11"/>
      <c r="AR67" s="11"/>
      <c r="AS67" s="11"/>
      <c r="AT67" s="49"/>
      <c r="AU67" s="49"/>
      <c r="AV67" s="49"/>
    </row>
    <row r="68" spans="2:48" ht="20.25" customHeight="1" thickBot="1" x14ac:dyDescent="0.25">
      <c r="B68" s="40" t="s">
        <v>0</v>
      </c>
      <c r="C68" s="37">
        <v>8</v>
      </c>
      <c r="D68" s="62" t="s">
        <v>41</v>
      </c>
      <c r="E68" s="38">
        <v>61</v>
      </c>
      <c r="F68" s="38">
        <v>59</v>
      </c>
      <c r="G68" s="38">
        <v>62</v>
      </c>
      <c r="H68" s="38">
        <v>58</v>
      </c>
      <c r="I68" s="39">
        <v>41</v>
      </c>
      <c r="J68" s="38">
        <v>29</v>
      </c>
      <c r="K68" s="38">
        <v>51</v>
      </c>
      <c r="L68" s="38">
        <v>23</v>
      </c>
      <c r="M68" s="77"/>
      <c r="N68" s="38">
        <v>63</v>
      </c>
      <c r="O68" s="38">
        <v>45</v>
      </c>
      <c r="P68" s="38">
        <v>8</v>
      </c>
      <c r="Q68" s="38">
        <v>20</v>
      </c>
      <c r="R68" s="38">
        <v>33</v>
      </c>
      <c r="S68" s="38">
        <v>15</v>
      </c>
      <c r="T68" s="38">
        <v>30</v>
      </c>
      <c r="U68" s="38">
        <v>46</v>
      </c>
      <c r="V68" s="38">
        <v>27</v>
      </c>
      <c r="W68" s="77"/>
      <c r="X68" s="38">
        <v>9</v>
      </c>
      <c r="Y68" s="38">
        <v>2</v>
      </c>
      <c r="Z68" s="38">
        <v>19</v>
      </c>
      <c r="AA68" s="38">
        <v>17</v>
      </c>
      <c r="AB68" s="38">
        <v>14</v>
      </c>
      <c r="AC68" s="38">
        <v>50</v>
      </c>
      <c r="AD68" s="38">
        <v>16</v>
      </c>
      <c r="AE68" s="39">
        <v>54</v>
      </c>
      <c r="AF68" s="59"/>
      <c r="AG68" s="56">
        <v>62</v>
      </c>
      <c r="AH68" s="36" t="s">
        <v>153</v>
      </c>
      <c r="AI68" s="36" t="s">
        <v>160</v>
      </c>
      <c r="AJ68" s="5"/>
      <c r="AK68" s="5">
        <f t="shared" si="3"/>
        <v>14</v>
      </c>
      <c r="AL68" s="5"/>
      <c r="AM68" s="5">
        <v>14</v>
      </c>
      <c r="AN68" s="3" t="b">
        <f t="shared" si="4"/>
        <v>1</v>
      </c>
      <c r="AP68" s="54"/>
      <c r="AQ68" s="11"/>
      <c r="AR68" s="11"/>
      <c r="AS68" s="11"/>
      <c r="AT68" s="49"/>
      <c r="AU68" s="49"/>
      <c r="AV68" s="49"/>
    </row>
    <row r="69" spans="2:48" ht="20.25" customHeight="1" thickBot="1" x14ac:dyDescent="0.25">
      <c r="B69" s="99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63"/>
      <c r="AG69" s="56">
        <v>63</v>
      </c>
      <c r="AH69" s="36" t="s">
        <v>154</v>
      </c>
      <c r="AI69" s="44" t="s">
        <v>178</v>
      </c>
      <c r="AJ69" s="5"/>
      <c r="AK69" s="5">
        <f t="shared" si="3"/>
        <v>16</v>
      </c>
      <c r="AL69" s="5"/>
      <c r="AM69" s="5">
        <v>16</v>
      </c>
      <c r="AN69" s="3" t="b">
        <f t="shared" si="4"/>
        <v>1</v>
      </c>
      <c r="AP69" s="49"/>
      <c r="AQ69" s="11"/>
      <c r="AR69" s="11"/>
      <c r="AS69" s="11"/>
      <c r="AT69" s="49"/>
      <c r="AU69" s="49"/>
      <c r="AV69" s="49"/>
    </row>
    <row r="70" spans="2:48" ht="20.25" customHeight="1" thickBot="1" x14ac:dyDescent="0.25">
      <c r="B70" s="101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60"/>
      <c r="AG70" s="56">
        <v>64</v>
      </c>
      <c r="AH70" s="36" t="s">
        <v>155</v>
      </c>
      <c r="AI70" s="36" t="s">
        <v>61</v>
      </c>
      <c r="AJ70" s="5"/>
      <c r="AK70" s="5">
        <f t="shared" si="3"/>
        <v>4</v>
      </c>
      <c r="AL70" s="5"/>
      <c r="AM70" s="5">
        <v>4</v>
      </c>
      <c r="AN70" s="3" t="b">
        <f t="shared" si="4"/>
        <v>1</v>
      </c>
      <c r="AO70" s="5"/>
      <c r="AP70" s="49"/>
      <c r="AQ70" s="11"/>
      <c r="AR70" s="11"/>
      <c r="AS70" s="11"/>
      <c r="AT70" s="49"/>
      <c r="AU70" s="49"/>
      <c r="AV70" s="49"/>
    </row>
    <row r="71" spans="2:48" ht="20.25" customHeight="1" thickBot="1" x14ac:dyDescent="0.25">
      <c r="B71" s="101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60"/>
      <c r="AG71" s="56"/>
      <c r="AH71" s="36"/>
      <c r="AI71" s="36"/>
      <c r="AJ71" s="5"/>
      <c r="AK71" s="11"/>
      <c r="AL71" s="5"/>
      <c r="AN71" s="3" t="b">
        <f t="shared" si="4"/>
        <v>1</v>
      </c>
      <c r="AP71" s="49"/>
      <c r="AQ71" s="50"/>
      <c r="AR71" s="50"/>
      <c r="AS71" s="50"/>
      <c r="AT71" s="50"/>
    </row>
    <row r="72" spans="2:48" ht="20.25" customHeight="1" thickBot="1" x14ac:dyDescent="0.25">
      <c r="B72" s="103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61"/>
      <c r="AG72" s="56"/>
      <c r="AH72" s="36"/>
      <c r="AI72" s="36"/>
      <c r="AJ72" s="5"/>
      <c r="AK72" s="11"/>
      <c r="AL72" s="5"/>
      <c r="AN72" s="3" t="b">
        <f t="shared" si="4"/>
        <v>1</v>
      </c>
      <c r="AP72" s="49"/>
      <c r="AQ72" s="50"/>
      <c r="AR72" s="50"/>
      <c r="AS72" s="50"/>
      <c r="AT72" s="50"/>
    </row>
    <row r="73" spans="2:48" ht="19.5" customHeight="1" x14ac:dyDescent="0.35">
      <c r="B73" s="10"/>
      <c r="C73" s="10"/>
      <c r="D73" s="14" t="s">
        <v>183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9"/>
      <c r="AG73" s="9"/>
      <c r="AI73" s="16"/>
      <c r="AJ73" s="1"/>
      <c r="AK73" s="11"/>
      <c r="AL73" s="1"/>
      <c r="AM73" s="1"/>
      <c r="AN73" s="5"/>
      <c r="AO73" s="5"/>
      <c r="AP73" s="5"/>
      <c r="AQ73" s="50"/>
      <c r="AR73" s="50"/>
      <c r="AS73" s="50"/>
      <c r="AT73" s="50"/>
    </row>
    <row r="74" spans="2:48" ht="19.5" customHeight="1" x14ac:dyDescent="0.25">
      <c r="B74" s="10"/>
      <c r="C74" s="10"/>
      <c r="D74" s="17" t="s">
        <v>28</v>
      </c>
      <c r="E74" s="10"/>
      <c r="F74" s="10"/>
      <c r="G74" s="10"/>
      <c r="H74" s="10"/>
      <c r="I74" s="10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8"/>
      <c r="X74" s="10"/>
      <c r="Y74" s="10"/>
      <c r="Z74" s="10"/>
      <c r="AA74" s="10"/>
      <c r="AB74" s="10"/>
      <c r="AC74" s="10"/>
      <c r="AD74" s="10"/>
      <c r="AE74" s="10"/>
      <c r="AF74" s="9"/>
      <c r="AG74" s="9"/>
      <c r="AI74" s="16" t="s">
        <v>182</v>
      </c>
      <c r="AJ74" s="20"/>
      <c r="AK74" s="4"/>
      <c r="AL74" s="20"/>
      <c r="AM74" s="20"/>
      <c r="AN74" s="5"/>
      <c r="AO74" s="5"/>
      <c r="AP74" s="5"/>
      <c r="AQ74" s="50"/>
      <c r="AR74" s="50"/>
      <c r="AS74" s="50"/>
      <c r="AT74" s="50"/>
    </row>
    <row r="75" spans="2:48" ht="12" customHeight="1" x14ac:dyDescent="0.25">
      <c r="B75" s="10"/>
      <c r="C75" s="10"/>
      <c r="D75" s="17" t="s">
        <v>84</v>
      </c>
      <c r="E75" s="69"/>
      <c r="F75" s="10" t="s">
        <v>96</v>
      </c>
      <c r="G75" s="10"/>
      <c r="H75" s="10"/>
      <c r="I75" s="10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8"/>
      <c r="X75" s="10"/>
      <c r="Y75" s="10"/>
      <c r="Z75" s="10"/>
      <c r="AA75" s="10"/>
      <c r="AB75" s="10"/>
      <c r="AC75" s="10"/>
      <c r="AD75" s="10"/>
      <c r="AE75" s="10"/>
      <c r="AF75" s="9"/>
      <c r="AG75" s="9"/>
      <c r="AI75" s="19" t="s">
        <v>11</v>
      </c>
      <c r="AJ75" s="20"/>
      <c r="AK75" s="4"/>
      <c r="AL75" s="20"/>
      <c r="AM75" s="20"/>
      <c r="AN75" s="5"/>
      <c r="AO75" s="5"/>
      <c r="AP75" s="5"/>
      <c r="AQ75" s="50"/>
      <c r="AR75" s="50"/>
      <c r="AS75" s="50"/>
      <c r="AT75" s="50"/>
    </row>
    <row r="76" spans="2:48" ht="10.5" customHeight="1" x14ac:dyDescent="0.25">
      <c r="B76" s="10"/>
      <c r="C76" s="10"/>
      <c r="D76" s="10"/>
      <c r="E76" s="10"/>
      <c r="F76" s="10"/>
      <c r="G76" s="10"/>
      <c r="H76" s="10"/>
      <c r="I76" s="10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8"/>
      <c r="X76" s="10"/>
      <c r="Y76" s="10"/>
      <c r="Z76" s="10"/>
      <c r="AA76" s="10"/>
      <c r="AB76" s="10"/>
      <c r="AC76" s="10"/>
      <c r="AD76" s="10"/>
      <c r="AE76" s="10"/>
      <c r="AF76" s="9"/>
      <c r="AG76" s="9"/>
      <c r="AI76" s="10"/>
      <c r="AJ76" s="20"/>
      <c r="AK76" s="4"/>
      <c r="AL76" s="20"/>
      <c r="AM76" s="20"/>
      <c r="AN76" s="5"/>
      <c r="AO76" s="5"/>
      <c r="AP76" s="5"/>
      <c r="AQ76" s="50"/>
      <c r="AR76" s="50"/>
      <c r="AS76" s="50"/>
      <c r="AT76" s="50"/>
    </row>
    <row r="77" spans="2:48" ht="19.5" customHeight="1" x14ac:dyDescent="0.25">
      <c r="B77" s="10"/>
      <c r="C77" s="10"/>
      <c r="D77" s="10"/>
      <c r="E77" s="10"/>
      <c r="F77" s="10"/>
      <c r="G77" s="10"/>
      <c r="H77" s="10"/>
      <c r="I77" s="10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8"/>
      <c r="X77" s="10"/>
      <c r="Y77" s="10"/>
      <c r="Z77" s="10"/>
      <c r="AA77" s="10"/>
      <c r="AB77" s="10"/>
      <c r="AC77" s="10"/>
      <c r="AD77" s="10"/>
      <c r="AE77" s="10"/>
      <c r="AF77" s="9"/>
      <c r="AG77" s="9"/>
      <c r="AI77" s="16"/>
      <c r="AJ77" s="22"/>
      <c r="AK77" s="11"/>
      <c r="AL77" s="22"/>
      <c r="AM77" s="22"/>
      <c r="AN77" s="5"/>
      <c r="AO77" s="5"/>
      <c r="AP77" s="5"/>
      <c r="AQ77" s="50"/>
      <c r="AR77" s="50"/>
      <c r="AS77" s="50"/>
      <c r="AT77" s="50"/>
    </row>
    <row r="78" spans="2:48" ht="19.5" customHeight="1" x14ac:dyDescent="0.25">
      <c r="B78" s="23"/>
      <c r="C78" s="24"/>
      <c r="D78" s="23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6"/>
      <c r="X78" s="25"/>
      <c r="Y78" s="25"/>
      <c r="AI78" s="21" t="s">
        <v>97</v>
      </c>
      <c r="AJ78" s="5"/>
      <c r="AK78" s="11"/>
      <c r="AL78" s="5"/>
      <c r="AM78" s="5"/>
      <c r="AN78" s="47"/>
      <c r="AO78" s="47"/>
      <c r="AP78" s="47"/>
      <c r="AQ78" s="50"/>
      <c r="AR78" s="50"/>
      <c r="AS78" s="50"/>
      <c r="AT78" s="50"/>
    </row>
    <row r="79" spans="2:48" ht="19.5" customHeight="1" x14ac:dyDescent="0.25">
      <c r="B79" s="23"/>
      <c r="C79" s="24"/>
      <c r="D79" s="23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6"/>
      <c r="X79" s="25"/>
      <c r="Y79" s="25"/>
      <c r="AI79" s="21"/>
      <c r="AJ79" s="5"/>
      <c r="AK79" s="11"/>
      <c r="AL79" s="5"/>
      <c r="AM79" s="5"/>
      <c r="AN79" s="47"/>
      <c r="AO79" s="47"/>
      <c r="AP79" s="47"/>
      <c r="AQ79" s="50"/>
      <c r="AR79" s="50"/>
      <c r="AS79" s="50"/>
      <c r="AT79" s="50"/>
    </row>
    <row r="80" spans="2:48" ht="19.5" customHeight="1" x14ac:dyDescent="0.2">
      <c r="AN80" s="48"/>
      <c r="AO80" s="48"/>
      <c r="AP80" s="48"/>
    </row>
    <row r="81" spans="2:42" ht="19.5" customHeight="1" x14ac:dyDescent="0.2">
      <c r="AN81" s="48"/>
      <c r="AO81" s="48"/>
      <c r="AP81" s="48"/>
    </row>
    <row r="82" spans="2:42" ht="19.5" customHeight="1" x14ac:dyDescent="0.2">
      <c r="AG82" s="30"/>
      <c r="AH82" s="31"/>
      <c r="AN82" s="48"/>
      <c r="AO82" s="48"/>
      <c r="AP82" s="48"/>
    </row>
    <row r="83" spans="2:42" ht="19.5" customHeight="1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25"/>
      <c r="AH83" s="25"/>
      <c r="AI83" s="3"/>
      <c r="AK83" s="3"/>
    </row>
    <row r="84" spans="2:42" ht="19.5" customHeight="1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25"/>
      <c r="AH84" s="25"/>
      <c r="AI84" s="3"/>
      <c r="AK84" s="3"/>
    </row>
  </sheetData>
  <mergeCells count="25">
    <mergeCell ref="B69:AE72"/>
    <mergeCell ref="AG5:AG6"/>
    <mergeCell ref="E39:AF39"/>
    <mergeCell ref="AI5:AI6"/>
    <mergeCell ref="E7:AF7"/>
    <mergeCell ref="E12:AF12"/>
    <mergeCell ref="E17:AF17"/>
    <mergeCell ref="E22:AF22"/>
    <mergeCell ref="AH5:AH6"/>
    <mergeCell ref="E29:AF29"/>
    <mergeCell ref="E34:AF34"/>
    <mergeCell ref="E59:AF59"/>
    <mergeCell ref="E64:AF64"/>
    <mergeCell ref="B5:B6"/>
    <mergeCell ref="C5:C6"/>
    <mergeCell ref="D5:D6"/>
    <mergeCell ref="X5:AE5"/>
    <mergeCell ref="E44:AF44"/>
    <mergeCell ref="E49:AF49"/>
    <mergeCell ref="E54:AF54"/>
    <mergeCell ref="O5:V5"/>
    <mergeCell ref="X27:AE28"/>
    <mergeCell ref="E27:L28"/>
    <mergeCell ref="N27:V28"/>
    <mergeCell ref="E5:L5"/>
  </mergeCells>
  <phoneticPr fontId="17" type="noConversion"/>
  <conditionalFormatting sqref="AH78:AI65500 AH45:AI47 AH66:AI67 AH17:AI23 AH49:AI50 AH29:AI35 AH59:AI61 AH51 AH44 AH63:AI64 AH62 AH5:AI13">
    <cfRule type="cellIs" dxfId="255" priority="1142" stopIfTrue="1" operator="equal">
      <formula>30</formula>
    </cfRule>
  </conditionalFormatting>
  <conditionalFormatting sqref="AH1:AI4">
    <cfRule type="cellIs" dxfId="254" priority="1141" stopIfTrue="1" operator="equal">
      <formula>30</formula>
    </cfRule>
  </conditionalFormatting>
  <conditionalFormatting sqref="AH67">
    <cfRule type="cellIs" dxfId="253" priority="1137" stopIfTrue="1" operator="equal">
      <formula>30</formula>
    </cfRule>
  </conditionalFormatting>
  <conditionalFormatting sqref="AI67">
    <cfRule type="cellIs" dxfId="252" priority="1136" stopIfTrue="1" operator="equal">
      <formula>30</formula>
    </cfRule>
  </conditionalFormatting>
  <conditionalFormatting sqref="AH45:AI47 AH44">
    <cfRule type="cellIs" dxfId="251" priority="1140" stopIfTrue="1" operator="equal">
      <formula>30</formula>
    </cfRule>
  </conditionalFormatting>
  <conditionalFormatting sqref="AH47:AI47">
    <cfRule type="cellIs" dxfId="250" priority="1139" stopIfTrue="1" operator="equal">
      <formula>30</formula>
    </cfRule>
  </conditionalFormatting>
  <conditionalFormatting sqref="AH63:AI64 AH66:AI67 AH62">
    <cfRule type="cellIs" dxfId="249" priority="1138" stopIfTrue="1" operator="equal">
      <formula>30</formula>
    </cfRule>
  </conditionalFormatting>
  <conditionalFormatting sqref="AM73:AM77">
    <cfRule type="cellIs" dxfId="248" priority="1134" stopIfTrue="1" operator="equal">
      <formula>33</formula>
    </cfRule>
    <cfRule type="cellIs" dxfId="247" priority="1135" stopIfTrue="1" operator="equal">
      <formula>51</formula>
    </cfRule>
  </conditionalFormatting>
  <conditionalFormatting sqref="AM73:AM77 AO73:AO77">
    <cfRule type="cellIs" dxfId="246" priority="1133" stopIfTrue="1" operator="equal">
      <formula>30</formula>
    </cfRule>
  </conditionalFormatting>
  <conditionalFormatting sqref="AM73:AM77">
    <cfRule type="cellIs" dxfId="245" priority="1132" stopIfTrue="1" operator="equal">
      <formula>5</formula>
    </cfRule>
  </conditionalFormatting>
  <conditionalFormatting sqref="AM73:AM77">
    <cfRule type="cellIs" dxfId="244" priority="1131" stopIfTrue="1" operator="equal">
      <formula>53</formula>
    </cfRule>
  </conditionalFormatting>
  <conditionalFormatting sqref="AH66">
    <cfRule type="cellIs" dxfId="243" priority="1125" stopIfTrue="1" operator="equal">
      <formula>30</formula>
    </cfRule>
  </conditionalFormatting>
  <conditionalFormatting sqref="AI66">
    <cfRule type="cellIs" dxfId="242" priority="1124" stopIfTrue="1" operator="equal">
      <formula>30</formula>
    </cfRule>
  </conditionalFormatting>
  <conditionalFormatting sqref="AH46:AI46">
    <cfRule type="cellIs" dxfId="241" priority="1126" stopIfTrue="1" operator="equal">
      <formula>30</formula>
    </cfRule>
  </conditionalFormatting>
  <conditionalFormatting sqref="AH47:AI47">
    <cfRule type="cellIs" dxfId="240" priority="1123" stopIfTrue="1" operator="equal">
      <formula>30</formula>
    </cfRule>
  </conditionalFormatting>
  <conditionalFormatting sqref="AH67">
    <cfRule type="cellIs" dxfId="239" priority="1121" stopIfTrue="1" operator="equal">
      <formula>30</formula>
    </cfRule>
  </conditionalFormatting>
  <conditionalFormatting sqref="AI67">
    <cfRule type="cellIs" dxfId="238" priority="1120" stopIfTrue="1" operator="equal">
      <formula>30</formula>
    </cfRule>
  </conditionalFormatting>
  <conditionalFormatting sqref="AH47:AI47">
    <cfRule type="cellIs" dxfId="237" priority="1122" stopIfTrue="1" operator="equal">
      <formula>30</formula>
    </cfRule>
  </conditionalFormatting>
  <conditionalFormatting sqref="AH66">
    <cfRule type="cellIs" dxfId="236" priority="1117" stopIfTrue="1" operator="equal">
      <formula>30</formula>
    </cfRule>
  </conditionalFormatting>
  <conditionalFormatting sqref="AI66">
    <cfRule type="cellIs" dxfId="235" priority="1116" stopIfTrue="1" operator="equal">
      <formula>30</formula>
    </cfRule>
  </conditionalFormatting>
  <conditionalFormatting sqref="AH46:AI46">
    <cfRule type="cellIs" dxfId="234" priority="1118" stopIfTrue="1" operator="equal">
      <formula>30</formula>
    </cfRule>
  </conditionalFormatting>
  <conditionalFormatting sqref="AH47:AI47">
    <cfRule type="cellIs" dxfId="233" priority="1115" stopIfTrue="1" operator="equal">
      <formula>30</formula>
    </cfRule>
  </conditionalFormatting>
  <conditionalFormatting sqref="AH67">
    <cfRule type="cellIs" dxfId="232" priority="1113" stopIfTrue="1" operator="equal">
      <formula>30</formula>
    </cfRule>
  </conditionalFormatting>
  <conditionalFormatting sqref="AI67">
    <cfRule type="cellIs" dxfId="231" priority="1112" stopIfTrue="1" operator="equal">
      <formula>30</formula>
    </cfRule>
  </conditionalFormatting>
  <conditionalFormatting sqref="AH47:AI47">
    <cfRule type="cellIs" dxfId="230" priority="1114" stopIfTrue="1" operator="equal">
      <formula>30</formula>
    </cfRule>
  </conditionalFormatting>
  <conditionalFormatting sqref="AH45:AI45">
    <cfRule type="cellIs" dxfId="229" priority="1110" stopIfTrue="1" operator="equal">
      <formula>30</formula>
    </cfRule>
  </conditionalFormatting>
  <conditionalFormatting sqref="AH46:AI46">
    <cfRule type="cellIs" dxfId="228" priority="1109" stopIfTrue="1" operator="equal">
      <formula>30</formula>
    </cfRule>
  </conditionalFormatting>
  <conditionalFormatting sqref="AH66">
    <cfRule type="cellIs" dxfId="227" priority="1107" stopIfTrue="1" operator="equal">
      <formula>30</formula>
    </cfRule>
  </conditionalFormatting>
  <conditionalFormatting sqref="AI66">
    <cfRule type="cellIs" dxfId="226" priority="1106" stopIfTrue="1" operator="equal">
      <formula>30</formula>
    </cfRule>
  </conditionalFormatting>
  <conditionalFormatting sqref="AH46:AI46">
    <cfRule type="cellIs" dxfId="225" priority="1108" stopIfTrue="1" operator="equal">
      <formula>30</formula>
    </cfRule>
  </conditionalFormatting>
  <conditionalFormatting sqref="AH47:AI47">
    <cfRule type="cellIs" dxfId="224" priority="1105" stopIfTrue="1" operator="equal">
      <formula>30</formula>
    </cfRule>
  </conditionalFormatting>
  <conditionalFormatting sqref="AH67">
    <cfRule type="cellIs" dxfId="223" priority="1100" stopIfTrue="1" operator="equal">
      <formula>30</formula>
    </cfRule>
  </conditionalFormatting>
  <conditionalFormatting sqref="AI67">
    <cfRule type="cellIs" dxfId="222" priority="1099" stopIfTrue="1" operator="equal">
      <formula>30</formula>
    </cfRule>
  </conditionalFormatting>
  <conditionalFormatting sqref="AH65">
    <cfRule type="cellIs" dxfId="221" priority="1096" stopIfTrue="1" operator="equal">
      <formula>30</formula>
    </cfRule>
  </conditionalFormatting>
  <conditionalFormatting sqref="AH65">
    <cfRule type="cellIs" dxfId="220" priority="1095" stopIfTrue="1" operator="equal">
      <formula>30</formula>
    </cfRule>
  </conditionalFormatting>
  <conditionalFormatting sqref="AH65">
    <cfRule type="cellIs" dxfId="219" priority="1094" stopIfTrue="1" operator="equal">
      <formula>30</formula>
    </cfRule>
  </conditionalFormatting>
  <conditionalFormatting sqref="AH65">
    <cfRule type="cellIs" dxfId="218" priority="1092" stopIfTrue="1" operator="equal">
      <formula>30</formula>
    </cfRule>
  </conditionalFormatting>
  <conditionalFormatting sqref="AH65">
    <cfRule type="cellIs" dxfId="217" priority="1090" stopIfTrue="1" operator="equal">
      <formula>30</formula>
    </cfRule>
  </conditionalFormatting>
  <conditionalFormatting sqref="AH36:AI36">
    <cfRule type="cellIs" dxfId="216" priority="1083" stopIfTrue="1" operator="equal">
      <formula>30</formula>
    </cfRule>
  </conditionalFormatting>
  <conditionalFormatting sqref="AH37:AI37">
    <cfRule type="cellIs" dxfId="215" priority="1082" stopIfTrue="1" operator="equal">
      <formula>30</formula>
    </cfRule>
  </conditionalFormatting>
  <conditionalFormatting sqref="AH39:AI39 AH42:AI43 AH40:AH41">
    <cfRule type="cellIs" dxfId="214" priority="1081" stopIfTrue="1" operator="equal">
      <formula>30</formula>
    </cfRule>
  </conditionalFormatting>
  <conditionalFormatting sqref="AH39:AI39 AH40:AH41">
    <cfRule type="cellIs" dxfId="213" priority="1080" stopIfTrue="1" operator="equal">
      <formula>30</formula>
    </cfRule>
  </conditionalFormatting>
  <conditionalFormatting sqref="AH40">
    <cfRule type="cellIs" dxfId="212" priority="1079" stopIfTrue="1" operator="equal">
      <formula>30</formula>
    </cfRule>
  </conditionalFormatting>
  <conditionalFormatting sqref="AH41">
    <cfRule type="cellIs" dxfId="211" priority="1078" stopIfTrue="1" operator="equal">
      <formula>30</formula>
    </cfRule>
  </conditionalFormatting>
  <conditionalFormatting sqref="AH41">
    <cfRule type="cellIs" dxfId="210" priority="1077" stopIfTrue="1" operator="equal">
      <formula>30</formula>
    </cfRule>
  </conditionalFormatting>
  <conditionalFormatting sqref="AH42:AI42">
    <cfRule type="cellIs" dxfId="209" priority="1076" stopIfTrue="1" operator="equal">
      <formula>30</formula>
    </cfRule>
  </conditionalFormatting>
  <conditionalFormatting sqref="AH39:AI39">
    <cfRule type="cellIs" dxfId="208" priority="1075" stopIfTrue="1" operator="equal">
      <formula>30</formula>
    </cfRule>
  </conditionalFormatting>
  <conditionalFormatting sqref="AH40">
    <cfRule type="cellIs" dxfId="207" priority="1074" stopIfTrue="1" operator="equal">
      <formula>30</formula>
    </cfRule>
  </conditionalFormatting>
  <conditionalFormatting sqref="AH40">
    <cfRule type="cellIs" dxfId="206" priority="1073" stopIfTrue="1" operator="equal">
      <formula>30</formula>
    </cfRule>
  </conditionalFormatting>
  <conditionalFormatting sqref="AH41">
    <cfRule type="cellIs" dxfId="205" priority="1072" stopIfTrue="1" operator="equal">
      <formula>30</formula>
    </cfRule>
  </conditionalFormatting>
  <conditionalFormatting sqref="AH39:AI39">
    <cfRule type="cellIs" dxfId="204" priority="1071" stopIfTrue="1" operator="equal">
      <formula>30</formula>
    </cfRule>
  </conditionalFormatting>
  <conditionalFormatting sqref="AH40">
    <cfRule type="cellIs" dxfId="203" priority="1070" stopIfTrue="1" operator="equal">
      <formula>30</formula>
    </cfRule>
  </conditionalFormatting>
  <conditionalFormatting sqref="AH40">
    <cfRule type="cellIs" dxfId="202" priority="1069" stopIfTrue="1" operator="equal">
      <formula>30</formula>
    </cfRule>
  </conditionalFormatting>
  <conditionalFormatting sqref="AH41">
    <cfRule type="cellIs" dxfId="201" priority="1068" stopIfTrue="1" operator="equal">
      <formula>30</formula>
    </cfRule>
  </conditionalFormatting>
  <conditionalFormatting sqref="AH39:AI39">
    <cfRule type="cellIs" dxfId="200" priority="1067" stopIfTrue="1" operator="equal">
      <formula>30</formula>
    </cfRule>
  </conditionalFormatting>
  <conditionalFormatting sqref="AH39:AI39">
    <cfRule type="cellIs" dxfId="199" priority="1066" stopIfTrue="1" operator="equal">
      <formula>30</formula>
    </cfRule>
  </conditionalFormatting>
  <conditionalFormatting sqref="AH40">
    <cfRule type="cellIs" dxfId="198" priority="1065" stopIfTrue="1" operator="equal">
      <formula>30</formula>
    </cfRule>
  </conditionalFormatting>
  <conditionalFormatting sqref="AH49:AI49">
    <cfRule type="cellIs" dxfId="197" priority="1064" stopIfTrue="1" operator="equal">
      <formula>30</formula>
    </cfRule>
  </conditionalFormatting>
  <conditionalFormatting sqref="AH50:AI50">
    <cfRule type="cellIs" dxfId="196" priority="1063" stopIfTrue="1" operator="equal">
      <formula>30</formula>
    </cfRule>
  </conditionalFormatting>
  <conditionalFormatting sqref="AH50:AI50">
    <cfRule type="cellIs" dxfId="195" priority="1062" stopIfTrue="1" operator="equal">
      <formula>30</formula>
    </cfRule>
  </conditionalFormatting>
  <conditionalFormatting sqref="AH51">
    <cfRule type="cellIs" dxfId="194" priority="1061" stopIfTrue="1" operator="equal">
      <formula>30</formula>
    </cfRule>
  </conditionalFormatting>
  <conditionalFormatting sqref="AH50:AI50">
    <cfRule type="cellIs" dxfId="193" priority="1060" stopIfTrue="1" operator="equal">
      <formula>30</formula>
    </cfRule>
  </conditionalFormatting>
  <conditionalFormatting sqref="AH51">
    <cfRule type="cellIs" dxfId="192" priority="1059" stopIfTrue="1" operator="equal">
      <formula>30</formula>
    </cfRule>
  </conditionalFormatting>
  <conditionalFormatting sqref="AH51">
    <cfRule type="cellIs" dxfId="191" priority="1058" stopIfTrue="1" operator="equal">
      <formula>30</formula>
    </cfRule>
  </conditionalFormatting>
  <conditionalFormatting sqref="AH49:AI49">
    <cfRule type="cellIs" dxfId="190" priority="1057" stopIfTrue="1" operator="equal">
      <formula>30</formula>
    </cfRule>
  </conditionalFormatting>
  <conditionalFormatting sqref="AH49:AI49">
    <cfRule type="cellIs" dxfId="189" priority="1056" stopIfTrue="1" operator="equal">
      <formula>30</formula>
    </cfRule>
  </conditionalFormatting>
  <conditionalFormatting sqref="AH50:AI50">
    <cfRule type="cellIs" dxfId="188" priority="1055" stopIfTrue="1" operator="equal">
      <formula>30</formula>
    </cfRule>
  </conditionalFormatting>
  <conditionalFormatting sqref="AH49:AI49">
    <cfRule type="cellIs" dxfId="187" priority="1054" stopIfTrue="1" operator="equal">
      <formula>30</formula>
    </cfRule>
  </conditionalFormatting>
  <conditionalFormatting sqref="AH50:AI50">
    <cfRule type="cellIs" dxfId="186" priority="1053" stopIfTrue="1" operator="equal">
      <formula>30</formula>
    </cfRule>
  </conditionalFormatting>
  <conditionalFormatting sqref="AH50:AI50">
    <cfRule type="cellIs" dxfId="185" priority="1052" stopIfTrue="1" operator="equal">
      <formula>30</formula>
    </cfRule>
  </conditionalFormatting>
  <conditionalFormatting sqref="AH51">
    <cfRule type="cellIs" dxfId="184" priority="1051" stopIfTrue="1" operator="equal">
      <formula>30</formula>
    </cfRule>
  </conditionalFormatting>
  <conditionalFormatting sqref="AH49:AI49">
    <cfRule type="cellIs" dxfId="183" priority="1050" stopIfTrue="1" operator="equal">
      <formula>30</formula>
    </cfRule>
  </conditionalFormatting>
  <conditionalFormatting sqref="AH49:AI49">
    <cfRule type="cellIs" dxfId="182" priority="1049" stopIfTrue="1" operator="equal">
      <formula>30</formula>
    </cfRule>
  </conditionalFormatting>
  <conditionalFormatting sqref="AH50:AI50">
    <cfRule type="cellIs" dxfId="181" priority="1048" stopIfTrue="1" operator="equal">
      <formula>30</formula>
    </cfRule>
  </conditionalFormatting>
  <conditionalFormatting sqref="AH49:AI49">
    <cfRule type="cellIs" dxfId="180" priority="1047" stopIfTrue="1" operator="equal">
      <formula>30</formula>
    </cfRule>
  </conditionalFormatting>
  <conditionalFormatting sqref="AH50:AI50">
    <cfRule type="cellIs" dxfId="179" priority="1046" stopIfTrue="1" operator="equal">
      <formula>30</formula>
    </cfRule>
  </conditionalFormatting>
  <conditionalFormatting sqref="AH50:AI50">
    <cfRule type="cellIs" dxfId="178" priority="1045" stopIfTrue="1" operator="equal">
      <formula>30</formula>
    </cfRule>
  </conditionalFormatting>
  <conditionalFormatting sqref="AH51">
    <cfRule type="cellIs" dxfId="177" priority="1044" stopIfTrue="1" operator="equal">
      <formula>30</formula>
    </cfRule>
  </conditionalFormatting>
  <conditionalFormatting sqref="AH49:AI49">
    <cfRule type="cellIs" dxfId="176" priority="1043" stopIfTrue="1" operator="equal">
      <formula>30</formula>
    </cfRule>
  </conditionalFormatting>
  <conditionalFormatting sqref="AH49:AI49">
    <cfRule type="cellIs" dxfId="175" priority="1042" stopIfTrue="1" operator="equal">
      <formula>30</formula>
    </cfRule>
  </conditionalFormatting>
  <conditionalFormatting sqref="AH49:AI49">
    <cfRule type="cellIs" dxfId="174" priority="1041" stopIfTrue="1" operator="equal">
      <formula>30</formula>
    </cfRule>
  </conditionalFormatting>
  <conditionalFormatting sqref="AH50:AI50">
    <cfRule type="cellIs" dxfId="173" priority="1040" stopIfTrue="1" operator="equal">
      <formula>30</formula>
    </cfRule>
  </conditionalFormatting>
  <conditionalFormatting sqref="AH52:AI52">
    <cfRule type="cellIs" dxfId="172" priority="1039" stopIfTrue="1" operator="equal">
      <formula>30</formula>
    </cfRule>
  </conditionalFormatting>
  <conditionalFormatting sqref="AH54:AI54 AH53">
    <cfRule type="cellIs" dxfId="171" priority="1038" stopIfTrue="1" operator="equal">
      <formula>30</formula>
    </cfRule>
  </conditionalFormatting>
  <conditionalFormatting sqref="AH55:AI57">
    <cfRule type="cellIs" dxfId="170" priority="1037" stopIfTrue="1" operator="equal">
      <formula>30</formula>
    </cfRule>
  </conditionalFormatting>
  <conditionalFormatting sqref="AH55:AI57">
    <cfRule type="cellIs" dxfId="169" priority="1036" stopIfTrue="1" operator="equal">
      <formula>30</formula>
    </cfRule>
  </conditionalFormatting>
  <conditionalFormatting sqref="AH57:AI57">
    <cfRule type="cellIs" dxfId="168" priority="1029" stopIfTrue="1" operator="equal">
      <formula>30</formula>
    </cfRule>
  </conditionalFormatting>
  <conditionalFormatting sqref="AH57:AI57">
    <cfRule type="cellIs" dxfId="167" priority="1028" stopIfTrue="1" operator="equal">
      <formula>30</formula>
    </cfRule>
  </conditionalFormatting>
  <conditionalFormatting sqref="AH57">
    <cfRule type="cellIs" dxfId="166" priority="1027" stopIfTrue="1" operator="equal">
      <formula>30</formula>
    </cfRule>
  </conditionalFormatting>
  <conditionalFormatting sqref="AI57">
    <cfRule type="cellIs" dxfId="165" priority="1026" stopIfTrue="1" operator="equal">
      <formula>30</formula>
    </cfRule>
  </conditionalFormatting>
  <conditionalFormatting sqref="AH57">
    <cfRule type="cellIs" dxfId="164" priority="1025" stopIfTrue="1" operator="equal">
      <formula>30</formula>
    </cfRule>
  </conditionalFormatting>
  <conditionalFormatting sqref="AI57">
    <cfRule type="cellIs" dxfId="163" priority="1024" stopIfTrue="1" operator="equal">
      <formula>30</formula>
    </cfRule>
  </conditionalFormatting>
  <conditionalFormatting sqref="AH57">
    <cfRule type="cellIs" dxfId="162" priority="1023" stopIfTrue="1" operator="equal">
      <formula>30</formula>
    </cfRule>
  </conditionalFormatting>
  <conditionalFormatting sqref="AI57">
    <cfRule type="cellIs" dxfId="161" priority="1022" stopIfTrue="1" operator="equal">
      <formula>30</formula>
    </cfRule>
  </conditionalFormatting>
  <conditionalFormatting sqref="AL59">
    <cfRule type="cellIs" dxfId="160" priority="1021" stopIfTrue="1" operator="equal">
      <formula>30</formula>
    </cfRule>
  </conditionalFormatting>
  <conditionalFormatting sqref="AH57">
    <cfRule type="cellIs" dxfId="159" priority="1019" stopIfTrue="1" operator="equal">
      <formula>30</formula>
    </cfRule>
  </conditionalFormatting>
  <conditionalFormatting sqref="AI57">
    <cfRule type="cellIs" dxfId="158" priority="1018" stopIfTrue="1" operator="equal">
      <formula>30</formula>
    </cfRule>
  </conditionalFormatting>
  <conditionalFormatting sqref="AH57">
    <cfRule type="cellIs" dxfId="157" priority="1017" stopIfTrue="1" operator="equal">
      <formula>30</formula>
    </cfRule>
  </conditionalFormatting>
  <conditionalFormatting sqref="AI57">
    <cfRule type="cellIs" dxfId="156" priority="1016" stopIfTrue="1" operator="equal">
      <formula>30</formula>
    </cfRule>
  </conditionalFormatting>
  <conditionalFormatting sqref="AH57">
    <cfRule type="cellIs" dxfId="155" priority="1015" stopIfTrue="1" operator="equal">
      <formula>30</formula>
    </cfRule>
  </conditionalFormatting>
  <conditionalFormatting sqref="AI57">
    <cfRule type="cellIs" dxfId="154" priority="1014" stopIfTrue="1" operator="equal">
      <formula>30</formula>
    </cfRule>
  </conditionalFormatting>
  <conditionalFormatting sqref="AH56:AI56">
    <cfRule type="cellIs" dxfId="153" priority="1013" stopIfTrue="1" operator="equal">
      <formula>30</formula>
    </cfRule>
  </conditionalFormatting>
  <conditionalFormatting sqref="AH56:AI56">
    <cfRule type="cellIs" dxfId="152" priority="1012" stopIfTrue="1" operator="equal">
      <formula>30</formula>
    </cfRule>
  </conditionalFormatting>
  <conditionalFormatting sqref="AH56">
    <cfRule type="cellIs" dxfId="151" priority="1011" stopIfTrue="1" operator="equal">
      <formula>30</formula>
    </cfRule>
  </conditionalFormatting>
  <conditionalFormatting sqref="AI56">
    <cfRule type="cellIs" dxfId="150" priority="1010" stopIfTrue="1" operator="equal">
      <formula>30</formula>
    </cfRule>
  </conditionalFormatting>
  <conditionalFormatting sqref="AH56">
    <cfRule type="cellIs" dxfId="149" priority="1009" stopIfTrue="1" operator="equal">
      <formula>30</formula>
    </cfRule>
  </conditionalFormatting>
  <conditionalFormatting sqref="AI56">
    <cfRule type="cellIs" dxfId="148" priority="1008" stopIfTrue="1" operator="equal">
      <formula>30</formula>
    </cfRule>
  </conditionalFormatting>
  <conditionalFormatting sqref="AH56">
    <cfRule type="cellIs" dxfId="147" priority="1007" stopIfTrue="1" operator="equal">
      <formula>30</formula>
    </cfRule>
  </conditionalFormatting>
  <conditionalFormatting sqref="AI56">
    <cfRule type="cellIs" dxfId="146" priority="1006" stopIfTrue="1" operator="equal">
      <formula>30</formula>
    </cfRule>
  </conditionalFormatting>
  <conditionalFormatting sqref="AH15:AI15">
    <cfRule type="cellIs" dxfId="145" priority="879" stopIfTrue="1" operator="equal">
      <formula>30</formula>
    </cfRule>
  </conditionalFormatting>
  <conditionalFormatting sqref="AH14:AI14">
    <cfRule type="cellIs" dxfId="144" priority="875" stopIfTrue="1" operator="equal">
      <formula>30</formula>
    </cfRule>
  </conditionalFormatting>
  <conditionalFormatting sqref="AH16:AI16">
    <cfRule type="cellIs" dxfId="143" priority="867" stopIfTrue="1" operator="equal">
      <formula>30</formula>
    </cfRule>
  </conditionalFormatting>
  <conditionalFormatting sqref="AH26:AI26">
    <cfRule type="cellIs" dxfId="142" priority="857" stopIfTrue="1" operator="equal">
      <formula>30</formula>
    </cfRule>
  </conditionalFormatting>
  <conditionalFormatting sqref="AH25:AI25">
    <cfRule type="cellIs" dxfId="141" priority="851" stopIfTrue="1" operator="equal">
      <formula>30</formula>
    </cfRule>
  </conditionalFormatting>
  <conditionalFormatting sqref="AH24:AI24">
    <cfRule type="cellIs" dxfId="140" priority="845" stopIfTrue="1" operator="equal">
      <formula>30</formula>
    </cfRule>
  </conditionalFormatting>
  <conditionalFormatting sqref="AH38:AI38">
    <cfRule type="cellIs" dxfId="139" priority="815" stopIfTrue="1" operator="equal">
      <formula>30</formula>
    </cfRule>
  </conditionalFormatting>
  <conditionalFormatting sqref="AH48">
    <cfRule type="cellIs" dxfId="138" priority="790" stopIfTrue="1" operator="equal">
      <formula>30</formula>
    </cfRule>
  </conditionalFormatting>
  <conditionalFormatting sqref="AH48">
    <cfRule type="cellIs" dxfId="137" priority="789" stopIfTrue="1" operator="equal">
      <formula>30</formula>
    </cfRule>
  </conditionalFormatting>
  <conditionalFormatting sqref="AH48">
    <cfRule type="cellIs" dxfId="136" priority="788" stopIfTrue="1" operator="equal">
      <formula>30</formula>
    </cfRule>
  </conditionalFormatting>
  <conditionalFormatting sqref="AH48">
    <cfRule type="cellIs" dxfId="135" priority="787" stopIfTrue="1" operator="equal">
      <formula>30</formula>
    </cfRule>
  </conditionalFormatting>
  <conditionalFormatting sqref="AH48">
    <cfRule type="cellIs" dxfId="134" priority="786" stopIfTrue="1" operator="equal">
      <formula>30</formula>
    </cfRule>
  </conditionalFormatting>
  <conditionalFormatting sqref="AH48">
    <cfRule type="cellIs" dxfId="133" priority="785" stopIfTrue="1" operator="equal">
      <formula>30</formula>
    </cfRule>
  </conditionalFormatting>
  <conditionalFormatting sqref="AH58">
    <cfRule type="cellIs" dxfId="132" priority="726" stopIfTrue="1" operator="equal">
      <formula>30</formula>
    </cfRule>
  </conditionalFormatting>
  <conditionalFormatting sqref="AH58">
    <cfRule type="cellIs" dxfId="131" priority="725" stopIfTrue="1" operator="equal">
      <formula>30</formula>
    </cfRule>
  </conditionalFormatting>
  <conditionalFormatting sqref="AH58">
    <cfRule type="cellIs" dxfId="130" priority="724" stopIfTrue="1" operator="equal">
      <formula>30</formula>
    </cfRule>
  </conditionalFormatting>
  <conditionalFormatting sqref="AH58">
    <cfRule type="cellIs" dxfId="129" priority="722" stopIfTrue="1" operator="equal">
      <formula>30</formula>
    </cfRule>
  </conditionalFormatting>
  <conditionalFormatting sqref="AH58">
    <cfRule type="cellIs" dxfId="128" priority="720" stopIfTrue="1" operator="equal">
      <formula>30</formula>
    </cfRule>
  </conditionalFormatting>
  <conditionalFormatting sqref="AH58">
    <cfRule type="cellIs" dxfId="127" priority="718" stopIfTrue="1" operator="equal">
      <formula>30</formula>
    </cfRule>
  </conditionalFormatting>
  <conditionalFormatting sqref="AH58">
    <cfRule type="cellIs" dxfId="126" priority="717" stopIfTrue="1" operator="equal">
      <formula>30</formula>
    </cfRule>
  </conditionalFormatting>
  <conditionalFormatting sqref="AH58">
    <cfRule type="cellIs" dxfId="125" priority="716" stopIfTrue="1" operator="equal">
      <formula>30</formula>
    </cfRule>
  </conditionalFormatting>
  <conditionalFormatting sqref="AH58">
    <cfRule type="cellIs" dxfId="124" priority="714" stopIfTrue="1" operator="equal">
      <formula>30</formula>
    </cfRule>
  </conditionalFormatting>
  <conditionalFormatting sqref="AH58">
    <cfRule type="cellIs" dxfId="123" priority="712" stopIfTrue="1" operator="equal">
      <formula>30</formula>
    </cfRule>
  </conditionalFormatting>
  <conditionalFormatting sqref="AH58">
    <cfRule type="cellIs" dxfId="122" priority="710" stopIfTrue="1" operator="equal">
      <formula>30</formula>
    </cfRule>
  </conditionalFormatting>
  <conditionalFormatting sqref="AH68:AI68">
    <cfRule type="cellIs" dxfId="121" priority="661" stopIfTrue="1" operator="equal">
      <formula>30</formula>
    </cfRule>
  </conditionalFormatting>
  <conditionalFormatting sqref="AH68:AI68">
    <cfRule type="cellIs" dxfId="120" priority="660" stopIfTrue="1" operator="equal">
      <formula>30</formula>
    </cfRule>
  </conditionalFormatting>
  <conditionalFormatting sqref="AH68">
    <cfRule type="cellIs" dxfId="119" priority="659" stopIfTrue="1" operator="equal">
      <formula>30</formula>
    </cfRule>
  </conditionalFormatting>
  <conditionalFormatting sqref="AI68">
    <cfRule type="cellIs" dxfId="118" priority="658" stopIfTrue="1" operator="equal">
      <formula>30</formula>
    </cfRule>
  </conditionalFormatting>
  <conditionalFormatting sqref="AH68">
    <cfRule type="cellIs" dxfId="117" priority="657" stopIfTrue="1" operator="equal">
      <formula>30</formula>
    </cfRule>
  </conditionalFormatting>
  <conditionalFormatting sqref="AI68">
    <cfRule type="cellIs" dxfId="116" priority="656" stopIfTrue="1" operator="equal">
      <formula>30</formula>
    </cfRule>
  </conditionalFormatting>
  <conditionalFormatting sqref="AH68">
    <cfRule type="cellIs" dxfId="115" priority="655" stopIfTrue="1" operator="equal">
      <formula>30</formula>
    </cfRule>
  </conditionalFormatting>
  <conditionalFormatting sqref="AI68">
    <cfRule type="cellIs" dxfId="114" priority="654" stopIfTrue="1" operator="equal">
      <formula>30</formula>
    </cfRule>
  </conditionalFormatting>
  <conditionalFormatting sqref="AH68">
    <cfRule type="cellIs" dxfId="113" priority="653" stopIfTrue="1" operator="equal">
      <formula>30</formula>
    </cfRule>
  </conditionalFormatting>
  <conditionalFormatting sqref="AI68">
    <cfRule type="cellIs" dxfId="112" priority="652" stopIfTrue="1" operator="equal">
      <formula>30</formula>
    </cfRule>
  </conditionalFormatting>
  <conditionalFormatting sqref="AI68">
    <cfRule type="cellIs" dxfId="111" priority="651" stopIfTrue="1" operator="equal">
      <formula>30</formula>
    </cfRule>
  </conditionalFormatting>
  <conditionalFormatting sqref="AI68">
    <cfRule type="cellIs" dxfId="110" priority="650" stopIfTrue="1" operator="equal">
      <formula>30</formula>
    </cfRule>
  </conditionalFormatting>
  <conditionalFormatting sqref="AI68">
    <cfRule type="cellIs" dxfId="109" priority="649" stopIfTrue="1" operator="equal">
      <formula>30</formula>
    </cfRule>
  </conditionalFormatting>
  <conditionalFormatting sqref="AI68">
    <cfRule type="cellIs" dxfId="108" priority="648" stopIfTrue="1" operator="equal">
      <formula>30</formula>
    </cfRule>
  </conditionalFormatting>
  <conditionalFormatting sqref="AI68">
    <cfRule type="cellIs" dxfId="107" priority="647" stopIfTrue="1" operator="equal">
      <formula>30</formula>
    </cfRule>
  </conditionalFormatting>
  <conditionalFormatting sqref="AN29:AN58 AN8:AN26">
    <cfRule type="containsText" dxfId="106" priority="574" operator="containsText" text="FALSE">
      <formula>NOT(ISERROR(SEARCH("FALSE",AN8)))</formula>
    </cfRule>
  </conditionalFormatting>
  <conditionalFormatting sqref="AH69:AI69">
    <cfRule type="cellIs" dxfId="105" priority="423" stopIfTrue="1" operator="equal">
      <formula>30</formula>
    </cfRule>
  </conditionalFormatting>
  <conditionalFormatting sqref="AH69">
    <cfRule type="cellIs" dxfId="104" priority="421" stopIfTrue="1" operator="equal">
      <formula>30</formula>
    </cfRule>
  </conditionalFormatting>
  <conditionalFormatting sqref="AI69">
    <cfRule type="cellIs" dxfId="103" priority="420" stopIfTrue="1" operator="equal">
      <formula>30</formula>
    </cfRule>
  </conditionalFormatting>
  <conditionalFormatting sqref="AH69:AI69">
    <cfRule type="cellIs" dxfId="102" priority="422" stopIfTrue="1" operator="equal">
      <formula>30</formula>
    </cfRule>
  </conditionalFormatting>
  <conditionalFormatting sqref="AH69">
    <cfRule type="cellIs" dxfId="101" priority="419" stopIfTrue="1" operator="equal">
      <formula>30</formula>
    </cfRule>
  </conditionalFormatting>
  <conditionalFormatting sqref="AI69">
    <cfRule type="cellIs" dxfId="100" priority="418" stopIfTrue="1" operator="equal">
      <formula>30</formula>
    </cfRule>
  </conditionalFormatting>
  <conditionalFormatting sqref="AH69">
    <cfRule type="cellIs" dxfId="99" priority="417" stopIfTrue="1" operator="equal">
      <formula>30</formula>
    </cfRule>
  </conditionalFormatting>
  <conditionalFormatting sqref="AI69">
    <cfRule type="cellIs" dxfId="98" priority="416" stopIfTrue="1" operator="equal">
      <formula>30</formula>
    </cfRule>
  </conditionalFormatting>
  <conditionalFormatting sqref="AH69">
    <cfRule type="cellIs" dxfId="97" priority="415" stopIfTrue="1" operator="equal">
      <formula>30</formula>
    </cfRule>
  </conditionalFormatting>
  <conditionalFormatting sqref="AI69">
    <cfRule type="cellIs" dxfId="96" priority="414" stopIfTrue="1" operator="equal">
      <formula>30</formula>
    </cfRule>
  </conditionalFormatting>
  <conditionalFormatting sqref="AH70:AI72">
    <cfRule type="cellIs" dxfId="95" priority="413" stopIfTrue="1" operator="equal">
      <formula>30</formula>
    </cfRule>
  </conditionalFormatting>
  <conditionalFormatting sqref="AH70:AI72">
    <cfRule type="cellIs" dxfId="94" priority="412" stopIfTrue="1" operator="equal">
      <formula>30</formula>
    </cfRule>
  </conditionalFormatting>
  <conditionalFormatting sqref="AH70:AH72">
    <cfRule type="cellIs" dxfId="93" priority="411" stopIfTrue="1" operator="equal">
      <formula>30</formula>
    </cfRule>
  </conditionalFormatting>
  <conditionalFormatting sqref="AI70:AI72">
    <cfRule type="cellIs" dxfId="92" priority="410" stopIfTrue="1" operator="equal">
      <formula>30</formula>
    </cfRule>
  </conditionalFormatting>
  <conditionalFormatting sqref="AH70:AH72">
    <cfRule type="cellIs" dxfId="91" priority="409" stopIfTrue="1" operator="equal">
      <formula>30</formula>
    </cfRule>
  </conditionalFormatting>
  <conditionalFormatting sqref="AI70:AI72">
    <cfRule type="cellIs" dxfId="90" priority="408" stopIfTrue="1" operator="equal">
      <formula>30</formula>
    </cfRule>
  </conditionalFormatting>
  <conditionalFormatting sqref="AH70:AH72">
    <cfRule type="cellIs" dxfId="89" priority="407" stopIfTrue="1" operator="equal">
      <formula>30</formula>
    </cfRule>
  </conditionalFormatting>
  <conditionalFormatting sqref="AI70:AI72">
    <cfRule type="cellIs" dxfId="88" priority="406" stopIfTrue="1" operator="equal">
      <formula>30</formula>
    </cfRule>
  </conditionalFormatting>
  <conditionalFormatting sqref="AH70:AH72">
    <cfRule type="cellIs" dxfId="87" priority="405" stopIfTrue="1" operator="equal">
      <formula>30</formula>
    </cfRule>
  </conditionalFormatting>
  <conditionalFormatting sqref="AI70:AI72">
    <cfRule type="cellIs" dxfId="86" priority="404" stopIfTrue="1" operator="equal">
      <formula>30</formula>
    </cfRule>
  </conditionalFormatting>
  <conditionalFormatting sqref="AI70:AI72">
    <cfRule type="cellIs" dxfId="85" priority="403" stopIfTrue="1" operator="equal">
      <formula>30</formula>
    </cfRule>
  </conditionalFormatting>
  <conditionalFormatting sqref="AI70:AI72">
    <cfRule type="cellIs" dxfId="84" priority="402" stopIfTrue="1" operator="equal">
      <formula>30</formula>
    </cfRule>
  </conditionalFormatting>
  <conditionalFormatting sqref="AI70:AI72">
    <cfRule type="cellIs" dxfId="83" priority="401" stopIfTrue="1" operator="equal">
      <formula>30</formula>
    </cfRule>
  </conditionalFormatting>
  <conditionalFormatting sqref="AI70:AI72">
    <cfRule type="cellIs" dxfId="82" priority="400" stopIfTrue="1" operator="equal">
      <formula>30</formula>
    </cfRule>
  </conditionalFormatting>
  <conditionalFormatting sqref="AI70:AI72">
    <cfRule type="cellIs" dxfId="81" priority="399" stopIfTrue="1" operator="equal">
      <formula>30</formula>
    </cfRule>
  </conditionalFormatting>
  <conditionalFormatting sqref="AI40">
    <cfRule type="cellIs" dxfId="80" priority="388" stopIfTrue="1" operator="equal">
      <formula>30</formula>
    </cfRule>
  </conditionalFormatting>
  <conditionalFormatting sqref="AI41">
    <cfRule type="cellIs" dxfId="79" priority="387" stopIfTrue="1" operator="equal">
      <formula>30</formula>
    </cfRule>
  </conditionalFormatting>
  <conditionalFormatting sqref="AN59:AN70">
    <cfRule type="containsText" dxfId="78" priority="332" operator="containsText" text="FALSE">
      <formula>NOT(ISERROR(SEARCH("FALSE",AN59)))</formula>
    </cfRule>
  </conditionalFormatting>
  <conditionalFormatting sqref="AN29:AN72 AN7:AN26">
    <cfRule type="cellIs" dxfId="77" priority="265" operator="equal">
      <formula>FALSE</formula>
    </cfRule>
  </conditionalFormatting>
  <conditionalFormatting sqref="AI58">
    <cfRule type="cellIs" dxfId="76" priority="257" stopIfTrue="1" operator="equal">
      <formula>30</formula>
    </cfRule>
  </conditionalFormatting>
  <conditionalFormatting sqref="AI48">
    <cfRule type="cellIs" dxfId="75" priority="256" stopIfTrue="1" operator="equal">
      <formula>30</formula>
    </cfRule>
  </conditionalFormatting>
  <conditionalFormatting sqref="AI48">
    <cfRule type="cellIs" dxfId="74" priority="255" stopIfTrue="1" operator="equal">
      <formula>30</formula>
    </cfRule>
  </conditionalFormatting>
  <conditionalFormatting sqref="AI48">
    <cfRule type="cellIs" dxfId="73" priority="254" stopIfTrue="1" operator="equal">
      <formula>30</formula>
    </cfRule>
  </conditionalFormatting>
  <conditionalFormatting sqref="AI48">
    <cfRule type="cellIs" dxfId="72" priority="253" stopIfTrue="1" operator="equal">
      <formula>30</formula>
    </cfRule>
  </conditionalFormatting>
  <conditionalFormatting sqref="AI48">
    <cfRule type="cellIs" dxfId="71" priority="252" stopIfTrue="1" operator="equal">
      <formula>30</formula>
    </cfRule>
  </conditionalFormatting>
  <conditionalFormatting sqref="AI48">
    <cfRule type="cellIs" dxfId="70" priority="251" stopIfTrue="1" operator="equal">
      <formula>30</formula>
    </cfRule>
  </conditionalFormatting>
  <conditionalFormatting sqref="AI48">
    <cfRule type="cellIs" dxfId="69" priority="250" stopIfTrue="1" operator="equal">
      <formula>30</formula>
    </cfRule>
  </conditionalFormatting>
  <conditionalFormatting sqref="AI48">
    <cfRule type="cellIs" dxfId="68" priority="249" stopIfTrue="1" operator="equal">
      <formula>30</formula>
    </cfRule>
  </conditionalFormatting>
  <conditionalFormatting sqref="AI48">
    <cfRule type="cellIs" dxfId="67" priority="248" stopIfTrue="1" operator="equal">
      <formula>30</formula>
    </cfRule>
  </conditionalFormatting>
  <conditionalFormatting sqref="AI48">
    <cfRule type="cellIs" dxfId="66" priority="247" stopIfTrue="1" operator="equal">
      <formula>30</formula>
    </cfRule>
  </conditionalFormatting>
  <conditionalFormatting sqref="AI48">
    <cfRule type="cellIs" dxfId="65" priority="246" stopIfTrue="1" operator="equal">
      <formula>30</formula>
    </cfRule>
  </conditionalFormatting>
  <conditionalFormatting sqref="AI51">
    <cfRule type="cellIs" dxfId="64" priority="245" stopIfTrue="1" operator="equal">
      <formula>30</formula>
    </cfRule>
  </conditionalFormatting>
  <conditionalFormatting sqref="AI51">
    <cfRule type="cellIs" dxfId="63" priority="244" stopIfTrue="1" operator="equal">
      <formula>30</formula>
    </cfRule>
  </conditionalFormatting>
  <conditionalFormatting sqref="AI53">
    <cfRule type="cellIs" dxfId="62" priority="243" stopIfTrue="1" operator="equal">
      <formula>30</formula>
    </cfRule>
  </conditionalFormatting>
  <conditionalFormatting sqref="AI44">
    <cfRule type="cellIs" dxfId="61" priority="242" stopIfTrue="1" operator="equal">
      <formula>30</formula>
    </cfRule>
  </conditionalFormatting>
  <conditionalFormatting sqref="AI62">
    <cfRule type="cellIs" dxfId="60" priority="241" stopIfTrue="1" operator="equal">
      <formula>30</formula>
    </cfRule>
  </conditionalFormatting>
  <conditionalFormatting sqref="AI62">
    <cfRule type="cellIs" dxfId="59" priority="240" stopIfTrue="1" operator="equal">
      <formula>30</formula>
    </cfRule>
  </conditionalFormatting>
  <conditionalFormatting sqref="AI62">
    <cfRule type="cellIs" dxfId="58" priority="239" stopIfTrue="1" operator="equal">
      <formula>30</formula>
    </cfRule>
  </conditionalFormatting>
  <conditionalFormatting sqref="AI62">
    <cfRule type="cellIs" dxfId="57" priority="238" stopIfTrue="1" operator="equal">
      <formula>30</formula>
    </cfRule>
  </conditionalFormatting>
  <conditionalFormatting sqref="AI62">
    <cfRule type="cellIs" dxfId="56" priority="237" stopIfTrue="1" operator="equal">
      <formula>30</formula>
    </cfRule>
  </conditionalFormatting>
  <conditionalFormatting sqref="AI62">
    <cfRule type="cellIs" dxfId="55" priority="236" stopIfTrue="1" operator="equal">
      <formula>30</formula>
    </cfRule>
  </conditionalFormatting>
  <conditionalFormatting sqref="AI62">
    <cfRule type="cellIs" dxfId="54" priority="235" stopIfTrue="1" operator="equal">
      <formula>30</formula>
    </cfRule>
  </conditionalFormatting>
  <conditionalFormatting sqref="X8:AE8 E8:L8 N8:V8">
    <cfRule type="duplicateValues" dxfId="53" priority="54"/>
  </conditionalFormatting>
  <conditionalFormatting sqref="X9:AE9 E9:L9 N9:V9">
    <cfRule type="duplicateValues" dxfId="52" priority="53"/>
  </conditionalFormatting>
  <conditionalFormatting sqref="X10:AE10 E10:L10 N10:V10">
    <cfRule type="duplicateValues" dxfId="51" priority="52"/>
  </conditionalFormatting>
  <conditionalFormatting sqref="X11:AE11 E11:L11 N11:V11">
    <cfRule type="duplicateValues" dxfId="50" priority="51"/>
  </conditionalFormatting>
  <conditionalFormatting sqref="X13:AE13 E13:L13 N13:V13">
    <cfRule type="duplicateValues" dxfId="49" priority="50"/>
  </conditionalFormatting>
  <conditionalFormatting sqref="X14:AE14 E14:L14 N14:V14">
    <cfRule type="duplicateValues" dxfId="48" priority="49"/>
  </conditionalFormatting>
  <conditionalFormatting sqref="X15:AE15 E15:L15 N15:V15">
    <cfRule type="duplicateValues" dxfId="47" priority="48"/>
  </conditionalFormatting>
  <conditionalFormatting sqref="X16:AE16 E16:L16 N16:V16">
    <cfRule type="duplicateValues" dxfId="46" priority="47"/>
  </conditionalFormatting>
  <conditionalFormatting sqref="X18:AE18 E18:L18 N18:V18">
    <cfRule type="duplicateValues" dxfId="45" priority="46"/>
  </conditionalFormatting>
  <conditionalFormatting sqref="X19:AE19 E19:L19 N19:V19">
    <cfRule type="duplicateValues" dxfId="44" priority="45"/>
  </conditionalFormatting>
  <conditionalFormatting sqref="X20:AE20 E20:L20 N20:V20">
    <cfRule type="duplicateValues" dxfId="43" priority="44"/>
  </conditionalFormatting>
  <conditionalFormatting sqref="X21:AE21 E21:L21 N21:V21">
    <cfRule type="duplicateValues" dxfId="42" priority="43"/>
  </conditionalFormatting>
  <conditionalFormatting sqref="X23:AE23 E23:L23 N23:V23">
    <cfRule type="duplicateValues" dxfId="41" priority="42"/>
  </conditionalFormatting>
  <conditionalFormatting sqref="X24:AE24 E24:L24 N24:V24">
    <cfRule type="duplicateValues" dxfId="40" priority="41"/>
  </conditionalFormatting>
  <conditionalFormatting sqref="X25:AE25 E25:L25 N25:V25">
    <cfRule type="duplicateValues" dxfId="39" priority="40"/>
  </conditionalFormatting>
  <conditionalFormatting sqref="X26:AE26 E26:L26 N26:V26">
    <cfRule type="duplicateValues" dxfId="38" priority="39"/>
  </conditionalFormatting>
  <conditionalFormatting sqref="X30:AE30 E30:L30 N30:V30">
    <cfRule type="duplicateValues" dxfId="37" priority="38"/>
  </conditionalFormatting>
  <conditionalFormatting sqref="X31:AE31 E31:L31 N31:V31">
    <cfRule type="duplicateValues" dxfId="36" priority="37"/>
  </conditionalFormatting>
  <conditionalFormatting sqref="X32:AE32 E32:L32 N32:V32">
    <cfRule type="duplicateValues" dxfId="35" priority="36"/>
  </conditionalFormatting>
  <conditionalFormatting sqref="X33:AE33 E33:L33 N33:V33">
    <cfRule type="duplicateValues" dxfId="34" priority="35"/>
  </conditionalFormatting>
  <conditionalFormatting sqref="X35:AE35 E35:L35 N35:V35">
    <cfRule type="duplicateValues" dxfId="33" priority="34"/>
  </conditionalFormatting>
  <conditionalFormatting sqref="X36:AE36 E36:L36 N36:V36">
    <cfRule type="duplicateValues" dxfId="32" priority="33"/>
  </conditionalFormatting>
  <conditionalFormatting sqref="X37:AE37 E37:L37 N37:V37">
    <cfRule type="duplicateValues" dxfId="31" priority="32"/>
  </conditionalFormatting>
  <conditionalFormatting sqref="X38:AE38 E38:L38 N38:V38">
    <cfRule type="duplicateValues" dxfId="30" priority="31"/>
  </conditionalFormatting>
  <conditionalFormatting sqref="X40:AE40 E40:L40 N40:V40">
    <cfRule type="duplicateValues" dxfId="29" priority="30"/>
  </conditionalFormatting>
  <conditionalFormatting sqref="X41:AE41 E41:L41 N41:V41">
    <cfRule type="duplicateValues" dxfId="28" priority="29"/>
  </conditionalFormatting>
  <conditionalFormatting sqref="X42:AE42 E42:L42 N42:V42">
    <cfRule type="duplicateValues" dxfId="27" priority="28"/>
  </conditionalFormatting>
  <conditionalFormatting sqref="X43:AE43 E43:L43 N43:V43">
    <cfRule type="duplicateValues" dxfId="26" priority="27"/>
  </conditionalFormatting>
  <conditionalFormatting sqref="X45:AE45 E45:L45 N45:V45">
    <cfRule type="duplicateValues" dxfId="25" priority="26"/>
  </conditionalFormatting>
  <conditionalFormatting sqref="X46:AE46 E46:L46 N46:V46">
    <cfRule type="duplicateValues" dxfId="24" priority="25"/>
  </conditionalFormatting>
  <conditionalFormatting sqref="X47:AE47 E47:L47 N47:V47">
    <cfRule type="duplicateValues" dxfId="23" priority="24"/>
  </conditionalFormatting>
  <conditionalFormatting sqref="X48:AE48 E48:L48 N48:V48">
    <cfRule type="duplicateValues" dxfId="22" priority="23"/>
  </conditionalFormatting>
  <conditionalFormatting sqref="X50:AE50 E50:L50 N50:V50">
    <cfRule type="duplicateValues" dxfId="21" priority="22"/>
  </conditionalFormatting>
  <conditionalFormatting sqref="X51:AE51 E51:L51 N51:V51">
    <cfRule type="duplicateValues" dxfId="20" priority="21"/>
  </conditionalFormatting>
  <conditionalFormatting sqref="X52:AE52 E52:L52 N52:V52">
    <cfRule type="duplicateValues" dxfId="19" priority="20"/>
  </conditionalFormatting>
  <conditionalFormatting sqref="X53:AE53 E53:L53 N53:V53">
    <cfRule type="duplicateValues" dxfId="18" priority="19"/>
  </conditionalFormatting>
  <conditionalFormatting sqref="X55:AE55 E55:L55 N55:V55">
    <cfRule type="duplicateValues" dxfId="17" priority="18"/>
  </conditionalFormatting>
  <conditionalFormatting sqref="X56:AE56 E56:L56 N56:V56">
    <cfRule type="duplicateValues" dxfId="16" priority="17"/>
  </conditionalFormatting>
  <conditionalFormatting sqref="X57:AE57 E57:L57 N57:V57">
    <cfRule type="duplicateValues" dxfId="15" priority="16"/>
  </conditionalFormatting>
  <conditionalFormatting sqref="X58:AE58 E58:L58 N58:V58">
    <cfRule type="duplicateValues" dxfId="14" priority="15"/>
  </conditionalFormatting>
  <conditionalFormatting sqref="X60:AE60 E60:L60 N60:V60">
    <cfRule type="duplicateValues" dxfId="13" priority="14"/>
  </conditionalFormatting>
  <conditionalFormatting sqref="X61:AE61 E61:L61 N61:V61">
    <cfRule type="duplicateValues" dxfId="12" priority="13"/>
  </conditionalFormatting>
  <conditionalFormatting sqref="X62:AE62 E62:L62 N62:V62">
    <cfRule type="duplicateValues" dxfId="11" priority="12"/>
  </conditionalFormatting>
  <conditionalFormatting sqref="X63:AE63 E63:L63 N63:V63">
    <cfRule type="duplicateValues" dxfId="10" priority="11"/>
  </conditionalFormatting>
  <conditionalFormatting sqref="X65:AE65 E65:L65 N65:V65">
    <cfRule type="duplicateValues" dxfId="9" priority="10"/>
  </conditionalFormatting>
  <conditionalFormatting sqref="X66:AE66 E66:L66 N66:V66">
    <cfRule type="duplicateValues" dxfId="8" priority="9"/>
  </conditionalFormatting>
  <conditionalFormatting sqref="X67:AE67 E67:L67 N67:V67">
    <cfRule type="duplicateValues" dxfId="7" priority="8"/>
  </conditionalFormatting>
  <conditionalFormatting sqref="X68:AE68 E68:L68 N68:V68">
    <cfRule type="duplicateValues" dxfId="6" priority="7"/>
  </conditionalFormatting>
  <conditionalFormatting sqref="AI65">
    <cfRule type="cellIs" dxfId="5" priority="6" stopIfTrue="1" operator="equal">
      <formula>30</formula>
    </cfRule>
  </conditionalFormatting>
  <conditionalFormatting sqref="E29:N29 E12:N12 X8:AE68 O8:V26 E8:L11 N8:N11 E17:N17 E13:L16 N13:N16 E22:N22 E18:L21 N18:N21 E23:L26 N23:N26 E34:N34 E30:L33 N30:N33 E39:N39 E35:L38 N35:N38 E44:N44 E40:L43 N40:N43 E49:N49 E45:L48 N45:N48 E54:N54 E50:L53 N50:N53 E59:N59 E55:L58 N55:N58 E64:N64 E60:L63 N60:N63 E65:L68 N65:N68 O29:V68">
    <cfRule type="cellIs" dxfId="4" priority="5" operator="equal">
      <formula>$AL$3</formula>
    </cfRule>
  </conditionalFormatting>
  <conditionalFormatting sqref="AH27:AI28">
    <cfRule type="cellIs" dxfId="3" priority="4" stopIfTrue="1" operator="equal">
      <formula>30</formula>
    </cfRule>
  </conditionalFormatting>
  <conditionalFormatting sqref="AN27:AN28">
    <cfRule type="containsText" dxfId="2" priority="3" operator="containsText" text="FALSE">
      <formula>NOT(ISERROR(SEARCH("FALSE",AN27)))</formula>
    </cfRule>
  </conditionalFormatting>
  <conditionalFormatting sqref="AN27:AN28">
    <cfRule type="cellIs" dxfId="1" priority="2" operator="equal">
      <formula>FALSE</formula>
    </cfRule>
  </conditionalFormatting>
  <conditionalFormatting sqref="E27 N27">
    <cfRule type="cellIs" dxfId="0" priority="1" operator="equal">
      <formula>$AL$3</formula>
    </cfRule>
  </conditionalFormatting>
  <pageMargins left="0.118110236220472" right="0.118110236220472" top="0.28999999999999998" bottom="0" header="0.24" footer="0.2"/>
  <pageSetup paperSize="10000" scale="6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JADWAL PELAJARAN 26-27</vt:lpstr>
      <vt:lpstr>'JADWAL PELAJARAN 26-27'!Print_Area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Administrator</cp:lastModifiedBy>
  <cp:lastPrinted>2025-07-13T01:21:47Z</cp:lastPrinted>
  <dcterms:created xsi:type="dcterms:W3CDTF">2019-06-25T03:01:19Z</dcterms:created>
  <dcterms:modified xsi:type="dcterms:W3CDTF">2026-09-03T02:30:31Z</dcterms:modified>
</cp:coreProperties>
</file>