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7. KESISWAAN 2026 - 2027\1. GANJIL\2. KESISWAAN\"/>
    </mc:Choice>
  </mc:AlternateContent>
  <xr:revisionPtr revIDLastSave="0" documentId="13_ncr:1_{6C0598E9-FD8B-425A-B0F3-9E6D77A9E84A}" xr6:coauthVersionLast="47" xr6:coauthVersionMax="47" xr10:uidLastSave="{00000000-0000-0000-0000-000000000000}"/>
  <bookViews>
    <workbookView xWindow="-120" yWindow="-120" windowWidth="20730" windowHeight="11160" tabRatio="605" activeTab="4" xr2:uid="{00000000-000D-0000-FFFF-FFFF00000000}"/>
  </bookViews>
  <sheets>
    <sheet name="Kelas X" sheetId="57" r:id="rId1"/>
    <sheet name="Absen Piket X" sheetId="56" r:id="rId2"/>
    <sheet name="Kelas XI" sheetId="51" r:id="rId3"/>
    <sheet name="Absen Piket XI" sheetId="47" r:id="rId4"/>
    <sheet name="Kelas XII" sheetId="54" r:id="rId5"/>
    <sheet name="Absen Piket XII" sheetId="55" r:id="rId6"/>
  </sheets>
  <definedNames>
    <definedName name="angka">#REF!</definedName>
    <definedName name="_xlnm.Print_Area" localSheetId="1">'Absen Piket X'!$B$2:$AJ$393</definedName>
    <definedName name="_xlnm.Print_Area" localSheetId="3">'Absen Piket XI'!$B$2:$AJ$441</definedName>
    <definedName name="_xlnm.Print_Area" localSheetId="5">'Absen Piket XII'!$B$2:$AJ$374</definedName>
    <definedName name="_xlnm.Print_Area" localSheetId="0">'Kelas X'!$B$2:$T$379</definedName>
    <definedName name="_xlnm.Print_Area" localSheetId="2">'Kelas XI'!$B$1:$T$426</definedName>
    <definedName name="_xlnm.Print_Area" localSheetId="4">'Kelas XII'!$B$2:$T$364</definedName>
  </definedNames>
  <calcPr calcId="191029"/>
  <fileRecoveryPr autoRecover="0"/>
</workbook>
</file>

<file path=xl/calcChain.xml><?xml version="1.0" encoding="utf-8"?>
<calcChain xmlns="http://schemas.openxmlformats.org/spreadsheetml/2006/main">
  <c r="S400" i="47" l="1"/>
  <c r="S352" i="47"/>
  <c r="S304" i="47"/>
  <c r="S257" i="47"/>
  <c r="S207" i="47"/>
  <c r="S157" i="47"/>
  <c r="S107" i="47"/>
  <c r="S57" i="47"/>
  <c r="S6" i="47"/>
  <c r="D392" i="56"/>
  <c r="C392" i="56"/>
  <c r="D391" i="56"/>
  <c r="C391" i="56"/>
  <c r="D390" i="56"/>
  <c r="C390" i="56"/>
  <c r="D389" i="56"/>
  <c r="C389" i="56"/>
  <c r="D388" i="56"/>
  <c r="C388" i="56"/>
  <c r="D387" i="56"/>
  <c r="C387" i="56"/>
  <c r="D386" i="56"/>
  <c r="C386" i="56"/>
  <c r="D385" i="56"/>
  <c r="C385" i="56"/>
  <c r="D384" i="56"/>
  <c r="C384" i="56"/>
  <c r="D383" i="56"/>
  <c r="C383" i="56"/>
  <c r="D382" i="56"/>
  <c r="C382" i="56"/>
  <c r="D381" i="56"/>
  <c r="C381" i="56"/>
  <c r="D380" i="56"/>
  <c r="C380" i="56"/>
  <c r="D379" i="56"/>
  <c r="C379" i="56"/>
  <c r="D378" i="56"/>
  <c r="C378" i="56"/>
  <c r="D377" i="56"/>
  <c r="C377" i="56"/>
  <c r="D376" i="56"/>
  <c r="C376" i="56"/>
  <c r="D375" i="56"/>
  <c r="C375" i="56"/>
  <c r="D374" i="56"/>
  <c r="C374" i="56"/>
  <c r="D373" i="56"/>
  <c r="C373" i="56"/>
  <c r="D372" i="56"/>
  <c r="C372" i="56"/>
  <c r="D371" i="56"/>
  <c r="C371" i="56"/>
  <c r="D370" i="56"/>
  <c r="C370" i="56"/>
  <c r="D369" i="56"/>
  <c r="C369" i="56"/>
  <c r="D368" i="56"/>
  <c r="C368" i="56"/>
  <c r="D367" i="56"/>
  <c r="C367" i="56"/>
  <c r="D366" i="56"/>
  <c r="C366" i="56"/>
  <c r="D365" i="56"/>
  <c r="C365" i="56"/>
  <c r="D364" i="56"/>
  <c r="C364" i="56"/>
  <c r="D363" i="56"/>
  <c r="C363" i="56"/>
  <c r="D362" i="56"/>
  <c r="C362" i="56"/>
  <c r="D361" i="56"/>
  <c r="C361" i="56"/>
  <c r="D360" i="56"/>
  <c r="C360" i="56"/>
  <c r="D359" i="56"/>
  <c r="C359" i="56"/>
  <c r="D358" i="56"/>
  <c r="C358" i="56"/>
  <c r="D357" i="56"/>
  <c r="C357" i="56"/>
  <c r="D356" i="56"/>
  <c r="C356" i="56"/>
  <c r="D344" i="56"/>
  <c r="C344" i="56"/>
  <c r="D343" i="56"/>
  <c r="C343" i="56"/>
  <c r="D342" i="56"/>
  <c r="C342" i="56"/>
  <c r="D341" i="56"/>
  <c r="C341" i="56"/>
  <c r="D340" i="56"/>
  <c r="C340" i="56"/>
  <c r="D339" i="56"/>
  <c r="C339" i="56"/>
  <c r="D338" i="56"/>
  <c r="C338" i="56"/>
  <c r="D337" i="56"/>
  <c r="C337" i="56"/>
  <c r="D336" i="56"/>
  <c r="C336" i="56"/>
  <c r="D335" i="56"/>
  <c r="C335" i="56"/>
  <c r="D334" i="56"/>
  <c r="C334" i="56"/>
  <c r="D333" i="56"/>
  <c r="C333" i="56"/>
  <c r="D332" i="56"/>
  <c r="C332" i="56"/>
  <c r="D331" i="56"/>
  <c r="C331" i="56"/>
  <c r="D330" i="56"/>
  <c r="C330" i="56"/>
  <c r="D329" i="56"/>
  <c r="C329" i="56"/>
  <c r="D328" i="56"/>
  <c r="C328" i="56"/>
  <c r="D327" i="56"/>
  <c r="C327" i="56"/>
  <c r="D326" i="56"/>
  <c r="C326" i="56"/>
  <c r="D325" i="56"/>
  <c r="C325" i="56"/>
  <c r="D324" i="56"/>
  <c r="C324" i="56"/>
  <c r="D323" i="56"/>
  <c r="C323" i="56"/>
  <c r="D322" i="56"/>
  <c r="C322" i="56"/>
  <c r="D321" i="56"/>
  <c r="C321" i="56"/>
  <c r="D320" i="56"/>
  <c r="C320" i="56"/>
  <c r="D319" i="56"/>
  <c r="C319" i="56"/>
  <c r="D318" i="56"/>
  <c r="C318" i="56"/>
  <c r="D317" i="56"/>
  <c r="C317" i="56"/>
  <c r="D316" i="56"/>
  <c r="C316" i="56"/>
  <c r="D315" i="56"/>
  <c r="C315" i="56"/>
  <c r="D314" i="56"/>
  <c r="C314" i="56"/>
  <c r="D313" i="56"/>
  <c r="C313" i="56"/>
  <c r="D312" i="56"/>
  <c r="C312" i="56"/>
  <c r="D311" i="56"/>
  <c r="C311" i="56"/>
  <c r="D310" i="56"/>
  <c r="C310" i="56"/>
  <c r="D309" i="56"/>
  <c r="C309" i="56"/>
  <c r="D308" i="56"/>
  <c r="C308" i="56"/>
  <c r="D296" i="56"/>
  <c r="C296" i="56"/>
  <c r="D295" i="56"/>
  <c r="C295" i="56"/>
  <c r="D294" i="56"/>
  <c r="C294" i="56"/>
  <c r="D293" i="56"/>
  <c r="C293" i="56"/>
  <c r="D292" i="56"/>
  <c r="C292" i="56"/>
  <c r="D291" i="56"/>
  <c r="C291" i="56"/>
  <c r="D290" i="56"/>
  <c r="C290" i="56"/>
  <c r="D289" i="56"/>
  <c r="C289" i="56"/>
  <c r="D288" i="56"/>
  <c r="C288" i="56"/>
  <c r="D287" i="56"/>
  <c r="C287" i="56"/>
  <c r="D286" i="56"/>
  <c r="C286" i="56"/>
  <c r="D285" i="56"/>
  <c r="C285" i="56"/>
  <c r="D284" i="56"/>
  <c r="C284" i="56"/>
  <c r="D283" i="56"/>
  <c r="C283" i="56"/>
  <c r="D282" i="56"/>
  <c r="C282" i="56"/>
  <c r="D281" i="56"/>
  <c r="C281" i="56"/>
  <c r="D280" i="56"/>
  <c r="C280" i="56"/>
  <c r="D279" i="56"/>
  <c r="C279" i="56"/>
  <c r="D278" i="56"/>
  <c r="C278" i="56"/>
  <c r="D277" i="56"/>
  <c r="C277" i="56"/>
  <c r="D276" i="56"/>
  <c r="C276" i="56"/>
  <c r="D275" i="56"/>
  <c r="C275" i="56"/>
  <c r="D274" i="56"/>
  <c r="C274" i="56"/>
  <c r="D273" i="56"/>
  <c r="C273" i="56"/>
  <c r="D272" i="56"/>
  <c r="C272" i="56"/>
  <c r="D271" i="56"/>
  <c r="C271" i="56"/>
  <c r="D270" i="56"/>
  <c r="C270" i="56"/>
  <c r="D269" i="56"/>
  <c r="C269" i="56"/>
  <c r="D268" i="56"/>
  <c r="C268" i="56"/>
  <c r="D267" i="56"/>
  <c r="C267" i="56"/>
  <c r="D266" i="56"/>
  <c r="C266" i="56"/>
  <c r="D265" i="56"/>
  <c r="C265" i="56"/>
  <c r="D264" i="56"/>
  <c r="C264" i="56"/>
  <c r="D263" i="56"/>
  <c r="C263" i="56"/>
  <c r="D262" i="56"/>
  <c r="C262" i="56"/>
  <c r="D261" i="56"/>
  <c r="C261" i="56"/>
  <c r="D249" i="56"/>
  <c r="C249" i="56"/>
  <c r="D248" i="56"/>
  <c r="C248" i="56"/>
  <c r="D247" i="56"/>
  <c r="C247" i="56"/>
  <c r="D246" i="56"/>
  <c r="C246" i="56"/>
  <c r="D245" i="56"/>
  <c r="C245" i="56"/>
  <c r="D244" i="56"/>
  <c r="C244" i="56"/>
  <c r="D243" i="56"/>
  <c r="C243" i="56"/>
  <c r="D242" i="56"/>
  <c r="C242" i="56"/>
  <c r="D241" i="56"/>
  <c r="C241" i="56"/>
  <c r="D240" i="56"/>
  <c r="C240" i="56"/>
  <c r="D239" i="56"/>
  <c r="C239" i="56"/>
  <c r="D238" i="56"/>
  <c r="C238" i="56"/>
  <c r="D237" i="56"/>
  <c r="C237" i="56"/>
  <c r="D236" i="56"/>
  <c r="C236" i="56"/>
  <c r="D235" i="56"/>
  <c r="C235" i="56"/>
  <c r="D234" i="56"/>
  <c r="C234" i="56"/>
  <c r="D233" i="56"/>
  <c r="C233" i="56"/>
  <c r="D232" i="56"/>
  <c r="C232" i="56"/>
  <c r="D231" i="56"/>
  <c r="C231" i="56"/>
  <c r="D230" i="56"/>
  <c r="C230" i="56"/>
  <c r="D229" i="56"/>
  <c r="C229" i="56"/>
  <c r="D228" i="56"/>
  <c r="C228" i="56"/>
  <c r="D227" i="56"/>
  <c r="C227" i="56"/>
  <c r="D226" i="56"/>
  <c r="C226" i="56"/>
  <c r="D225" i="56"/>
  <c r="C225" i="56"/>
  <c r="D224" i="56"/>
  <c r="C224" i="56"/>
  <c r="D223" i="56"/>
  <c r="C223" i="56"/>
  <c r="D222" i="56"/>
  <c r="C222" i="56"/>
  <c r="D221" i="56"/>
  <c r="C221" i="56"/>
  <c r="D220" i="56"/>
  <c r="C220" i="56"/>
  <c r="D219" i="56"/>
  <c r="C219" i="56"/>
  <c r="D218" i="56"/>
  <c r="C218" i="56"/>
  <c r="D217" i="56"/>
  <c r="C217" i="56"/>
  <c r="D216" i="56"/>
  <c r="C216" i="56"/>
  <c r="D215" i="56"/>
  <c r="C215" i="56"/>
  <c r="D214" i="56"/>
  <c r="C214" i="56"/>
  <c r="D213" i="56"/>
  <c r="C213" i="56"/>
  <c r="D212" i="56"/>
  <c r="C212" i="56"/>
  <c r="D211" i="56"/>
  <c r="C211" i="56"/>
  <c r="D199" i="56"/>
  <c r="C199" i="56"/>
  <c r="D198" i="56"/>
  <c r="C198" i="56"/>
  <c r="D197" i="56"/>
  <c r="C197" i="56"/>
  <c r="D196" i="56"/>
  <c r="C196" i="56"/>
  <c r="D195" i="56"/>
  <c r="C195" i="56"/>
  <c r="D194" i="56"/>
  <c r="C194" i="56"/>
  <c r="D193" i="56"/>
  <c r="C193" i="56"/>
  <c r="D192" i="56"/>
  <c r="C192" i="56"/>
  <c r="D191" i="56"/>
  <c r="C191" i="56"/>
  <c r="D190" i="56"/>
  <c r="C190" i="56"/>
  <c r="D189" i="56"/>
  <c r="C189" i="56"/>
  <c r="D188" i="56"/>
  <c r="C188" i="56"/>
  <c r="D187" i="56"/>
  <c r="C187" i="56"/>
  <c r="D186" i="56"/>
  <c r="C186" i="56"/>
  <c r="D185" i="56"/>
  <c r="C185" i="56"/>
  <c r="D184" i="56"/>
  <c r="C184" i="56"/>
  <c r="D183" i="56"/>
  <c r="C183" i="56"/>
  <c r="D182" i="56"/>
  <c r="C182" i="56"/>
  <c r="D181" i="56"/>
  <c r="C181" i="56"/>
  <c r="D180" i="56"/>
  <c r="C180" i="56"/>
  <c r="D179" i="56"/>
  <c r="C179" i="56"/>
  <c r="D178" i="56"/>
  <c r="C178" i="56"/>
  <c r="D177" i="56"/>
  <c r="C177" i="56"/>
  <c r="D176" i="56"/>
  <c r="C176" i="56"/>
  <c r="D175" i="56"/>
  <c r="C175" i="56"/>
  <c r="D174" i="56"/>
  <c r="C174" i="56"/>
  <c r="D173" i="56"/>
  <c r="C173" i="56"/>
  <c r="D172" i="56"/>
  <c r="C172" i="56"/>
  <c r="D171" i="56"/>
  <c r="C171" i="56"/>
  <c r="D170" i="56"/>
  <c r="C170" i="56"/>
  <c r="D169" i="56"/>
  <c r="C169" i="56"/>
  <c r="D168" i="56"/>
  <c r="C168" i="56"/>
  <c r="D167" i="56"/>
  <c r="C167" i="56"/>
  <c r="D166" i="56"/>
  <c r="C166" i="56"/>
  <c r="D165" i="56"/>
  <c r="C165" i="56"/>
  <c r="D164" i="56"/>
  <c r="C164" i="56"/>
  <c r="D163" i="56"/>
  <c r="C163" i="56"/>
  <c r="D162" i="56"/>
  <c r="C162" i="56"/>
  <c r="D161" i="56"/>
  <c r="C161" i="56"/>
  <c r="D149" i="56"/>
  <c r="C149" i="56"/>
  <c r="D148" i="56"/>
  <c r="C148" i="56"/>
  <c r="D147" i="56"/>
  <c r="C147" i="56"/>
  <c r="D146" i="56"/>
  <c r="C146" i="56"/>
  <c r="D145" i="56"/>
  <c r="C145" i="56"/>
  <c r="D144" i="56"/>
  <c r="C144" i="56"/>
  <c r="D143" i="56"/>
  <c r="C143" i="56"/>
  <c r="D142" i="56"/>
  <c r="C142" i="56"/>
  <c r="D141" i="56"/>
  <c r="C141" i="56"/>
  <c r="D140" i="56"/>
  <c r="C140" i="56"/>
  <c r="D139" i="56"/>
  <c r="C139" i="56"/>
  <c r="D138" i="56"/>
  <c r="C138" i="56"/>
  <c r="D137" i="56"/>
  <c r="C137" i="56"/>
  <c r="D136" i="56"/>
  <c r="C136" i="56"/>
  <c r="D135" i="56"/>
  <c r="C135" i="56"/>
  <c r="D134" i="56"/>
  <c r="C134" i="56"/>
  <c r="D133" i="56"/>
  <c r="C133" i="56"/>
  <c r="D132" i="56"/>
  <c r="C132" i="56"/>
  <c r="D131" i="56"/>
  <c r="C131" i="56"/>
  <c r="D130" i="56"/>
  <c r="C130" i="56"/>
  <c r="D129" i="56"/>
  <c r="C129" i="56"/>
  <c r="D128" i="56"/>
  <c r="C128" i="56"/>
  <c r="D127" i="56"/>
  <c r="C127" i="56"/>
  <c r="D126" i="56"/>
  <c r="C126" i="56"/>
  <c r="D125" i="56"/>
  <c r="C125" i="56"/>
  <c r="D124" i="56"/>
  <c r="C124" i="56"/>
  <c r="D123" i="56"/>
  <c r="C123" i="56"/>
  <c r="D122" i="56"/>
  <c r="C122" i="56"/>
  <c r="D121" i="56"/>
  <c r="C121" i="56"/>
  <c r="D120" i="56"/>
  <c r="C120" i="56"/>
  <c r="D119" i="56"/>
  <c r="C119" i="56"/>
  <c r="D118" i="56"/>
  <c r="C118" i="56"/>
  <c r="D117" i="56"/>
  <c r="C117" i="56"/>
  <c r="D116" i="56"/>
  <c r="C116" i="56"/>
  <c r="D115" i="56"/>
  <c r="C115" i="56"/>
  <c r="D114" i="56"/>
  <c r="C114" i="56"/>
  <c r="D113" i="56"/>
  <c r="C113" i="56"/>
  <c r="D112" i="56"/>
  <c r="C112" i="56"/>
  <c r="D111" i="56"/>
  <c r="C111" i="56"/>
  <c r="D99" i="56"/>
  <c r="C99" i="56"/>
  <c r="D98" i="56"/>
  <c r="C98" i="56"/>
  <c r="D97" i="56"/>
  <c r="C97" i="56"/>
  <c r="D96" i="56"/>
  <c r="C96" i="56"/>
  <c r="D95" i="56"/>
  <c r="C95" i="56"/>
  <c r="D94" i="56"/>
  <c r="C94" i="56"/>
  <c r="D93" i="56"/>
  <c r="C93" i="56"/>
  <c r="D92" i="56"/>
  <c r="C92" i="56"/>
  <c r="D91" i="56"/>
  <c r="C91" i="56"/>
  <c r="D90" i="56"/>
  <c r="C90" i="56"/>
  <c r="D89" i="56"/>
  <c r="C89" i="56"/>
  <c r="D88" i="56"/>
  <c r="C88" i="56"/>
  <c r="D87" i="56"/>
  <c r="C87" i="56"/>
  <c r="D86" i="56"/>
  <c r="C86" i="56"/>
  <c r="D85" i="56"/>
  <c r="C85" i="56"/>
  <c r="D84" i="56"/>
  <c r="C84" i="56"/>
  <c r="D83" i="56"/>
  <c r="C83" i="56"/>
  <c r="D82" i="56"/>
  <c r="C82" i="56"/>
  <c r="D81" i="56"/>
  <c r="C81" i="56"/>
  <c r="D80" i="56"/>
  <c r="C80" i="56"/>
  <c r="D79" i="56"/>
  <c r="C79" i="56"/>
  <c r="D78" i="56"/>
  <c r="C78" i="56"/>
  <c r="D77" i="56"/>
  <c r="C77" i="56"/>
  <c r="D76" i="56"/>
  <c r="C76" i="56"/>
  <c r="D75" i="56"/>
  <c r="C75" i="56"/>
  <c r="D74" i="56"/>
  <c r="C74" i="56"/>
  <c r="D73" i="56"/>
  <c r="C73" i="56"/>
  <c r="D72" i="56"/>
  <c r="C72" i="56"/>
  <c r="D71" i="56"/>
  <c r="C71" i="56"/>
  <c r="D70" i="56"/>
  <c r="C70" i="56"/>
  <c r="D69" i="56"/>
  <c r="C69" i="56"/>
  <c r="D68" i="56"/>
  <c r="C68" i="56"/>
  <c r="D67" i="56"/>
  <c r="C67" i="56"/>
  <c r="D66" i="56"/>
  <c r="C66" i="56"/>
  <c r="D65" i="56"/>
  <c r="C65" i="56"/>
  <c r="D64" i="56"/>
  <c r="C64" i="56"/>
  <c r="D63" i="56"/>
  <c r="C63" i="56"/>
  <c r="D62" i="56"/>
  <c r="C62" i="56"/>
  <c r="D61" i="56"/>
  <c r="C61" i="56"/>
  <c r="D49" i="56"/>
  <c r="C49" i="56"/>
  <c r="D48" i="56"/>
  <c r="C48" i="56"/>
  <c r="D47" i="56"/>
  <c r="C47" i="56"/>
  <c r="D46" i="56"/>
  <c r="C46" i="56"/>
  <c r="D45" i="56"/>
  <c r="C45" i="56"/>
  <c r="D44" i="56"/>
  <c r="C44" i="56"/>
  <c r="D43" i="56"/>
  <c r="C43" i="56"/>
  <c r="D42" i="56"/>
  <c r="C42" i="56"/>
  <c r="D41" i="56"/>
  <c r="C41" i="56"/>
  <c r="D40" i="56"/>
  <c r="C40" i="56"/>
  <c r="D39" i="56"/>
  <c r="C39" i="56"/>
  <c r="D38" i="56"/>
  <c r="C38" i="56"/>
  <c r="D37" i="56"/>
  <c r="C37" i="56"/>
  <c r="D36" i="56"/>
  <c r="C36" i="56"/>
  <c r="D35" i="56"/>
  <c r="C35" i="56"/>
  <c r="D34" i="56"/>
  <c r="C34" i="56"/>
  <c r="D33" i="56"/>
  <c r="C33" i="56"/>
  <c r="D32" i="56"/>
  <c r="C32" i="56"/>
  <c r="D31" i="56"/>
  <c r="C31" i="56"/>
  <c r="D30" i="56"/>
  <c r="C30" i="56"/>
  <c r="D29" i="56"/>
  <c r="C29" i="56"/>
  <c r="D28" i="56"/>
  <c r="C28" i="56"/>
  <c r="D27" i="56"/>
  <c r="C27" i="56"/>
  <c r="D26" i="56"/>
  <c r="C26" i="56"/>
  <c r="D25" i="56"/>
  <c r="C25" i="56"/>
  <c r="D24" i="56"/>
  <c r="C24" i="56"/>
  <c r="D23" i="56"/>
  <c r="C23" i="56"/>
  <c r="D22" i="56"/>
  <c r="C22" i="56"/>
  <c r="D21" i="56"/>
  <c r="C21" i="56"/>
  <c r="D20" i="56"/>
  <c r="C20" i="56"/>
  <c r="D19" i="56"/>
  <c r="C19" i="56"/>
  <c r="D18" i="56"/>
  <c r="C18" i="56"/>
  <c r="D17" i="56"/>
  <c r="C17" i="56"/>
  <c r="D16" i="56"/>
  <c r="C16" i="56"/>
  <c r="D15" i="56"/>
  <c r="C15" i="56"/>
  <c r="D14" i="56"/>
  <c r="C14" i="56"/>
  <c r="D13" i="56"/>
  <c r="C13" i="56"/>
  <c r="D12" i="56"/>
  <c r="C12" i="56"/>
  <c r="D11" i="56"/>
  <c r="C11" i="56"/>
  <c r="D10" i="56"/>
  <c r="C10" i="56"/>
  <c r="B357" i="56"/>
  <c r="B358" i="56" s="1"/>
  <c r="B359" i="56" s="1"/>
  <c r="B360" i="56" s="1"/>
  <c r="B361" i="56" s="1"/>
  <c r="B362" i="56" s="1"/>
  <c r="B363" i="56" s="1"/>
  <c r="B364" i="56" s="1"/>
  <c r="B365" i="56" s="1"/>
  <c r="B366" i="56" s="1"/>
  <c r="B367" i="56" s="1"/>
  <c r="B368" i="56" s="1"/>
  <c r="B369" i="56" s="1"/>
  <c r="B370" i="56" s="1"/>
  <c r="B371" i="56" s="1"/>
  <c r="B372" i="56" s="1"/>
  <c r="B373" i="56" s="1"/>
  <c r="B374" i="56" s="1"/>
  <c r="B375" i="56" s="1"/>
  <c r="B376" i="56" s="1"/>
  <c r="B377" i="56" s="1"/>
  <c r="B378" i="56" s="1"/>
  <c r="B379" i="56" s="1"/>
  <c r="B380" i="56" s="1"/>
  <c r="B381" i="56" s="1"/>
  <c r="B382" i="56" s="1"/>
  <c r="B383" i="56" s="1"/>
  <c r="B384" i="56" s="1"/>
  <c r="B385" i="56" s="1"/>
  <c r="B386" i="56" s="1"/>
  <c r="B387" i="56" s="1"/>
  <c r="B388" i="56" s="1"/>
  <c r="B389" i="56" s="1"/>
  <c r="B390" i="56" s="1"/>
  <c r="B391" i="56" s="1"/>
  <c r="B392" i="56" s="1"/>
  <c r="B393" i="56" s="1"/>
  <c r="E354" i="56"/>
  <c r="G354" i="56" s="1"/>
  <c r="I354" i="56" s="1"/>
  <c r="K354" i="56" s="1"/>
  <c r="M354" i="56" s="1"/>
  <c r="O354" i="56" s="1"/>
  <c r="Q354" i="56" s="1"/>
  <c r="S354" i="56" s="1"/>
  <c r="U354" i="56" s="1"/>
  <c r="W354" i="56" s="1"/>
  <c r="Y354" i="56" s="1"/>
  <c r="AA354" i="56" s="1"/>
  <c r="AC354" i="56" s="1"/>
  <c r="AE354" i="56" s="1"/>
  <c r="AG354" i="56" s="1"/>
  <c r="AI354" i="56" s="1"/>
  <c r="B309" i="56"/>
  <c r="B310" i="56" s="1"/>
  <c r="B311" i="56" s="1"/>
  <c r="B312" i="56" s="1"/>
  <c r="B313" i="56" s="1"/>
  <c r="B314" i="56" s="1"/>
  <c r="B315" i="56" s="1"/>
  <c r="B316" i="56" s="1"/>
  <c r="B317" i="56" s="1"/>
  <c r="B318" i="56" s="1"/>
  <c r="B319" i="56" s="1"/>
  <c r="B320" i="56" s="1"/>
  <c r="B321" i="56" s="1"/>
  <c r="B322" i="56" s="1"/>
  <c r="B323" i="56" s="1"/>
  <c r="B324" i="56" s="1"/>
  <c r="B325" i="56" s="1"/>
  <c r="B326" i="56" s="1"/>
  <c r="B327" i="56" s="1"/>
  <c r="B328" i="56" s="1"/>
  <c r="B329" i="56" s="1"/>
  <c r="B330" i="56" s="1"/>
  <c r="B331" i="56" s="1"/>
  <c r="B332" i="56" s="1"/>
  <c r="B333" i="56" s="1"/>
  <c r="B334" i="56" s="1"/>
  <c r="B335" i="56" s="1"/>
  <c r="B336" i="56" s="1"/>
  <c r="B337" i="56" s="1"/>
  <c r="B338" i="56" s="1"/>
  <c r="B339" i="56" s="1"/>
  <c r="B340" i="56" s="1"/>
  <c r="B341" i="56" s="1"/>
  <c r="B342" i="56" s="1"/>
  <c r="B343" i="56" s="1"/>
  <c r="B344" i="56" s="1"/>
  <c r="B345" i="56" s="1"/>
  <c r="E306" i="56"/>
  <c r="G306" i="56" s="1"/>
  <c r="I306" i="56" s="1"/>
  <c r="K306" i="56" s="1"/>
  <c r="M306" i="56" s="1"/>
  <c r="O306" i="56" s="1"/>
  <c r="Q306" i="56" s="1"/>
  <c r="S306" i="56" s="1"/>
  <c r="U306" i="56" s="1"/>
  <c r="W306" i="56" s="1"/>
  <c r="Y306" i="56" s="1"/>
  <c r="AA306" i="56" s="1"/>
  <c r="AC306" i="56" s="1"/>
  <c r="AE306" i="56" s="1"/>
  <c r="AG306" i="56" s="1"/>
  <c r="AI306" i="56" s="1"/>
  <c r="B262" i="56"/>
  <c r="B263" i="56" s="1"/>
  <c r="B264" i="56" s="1"/>
  <c r="B265" i="56" s="1"/>
  <c r="B266" i="56" s="1"/>
  <c r="B267" i="56" s="1"/>
  <c r="B268" i="56" s="1"/>
  <c r="B269" i="56" s="1"/>
  <c r="B270" i="56" s="1"/>
  <c r="B271" i="56" s="1"/>
  <c r="B272" i="56" s="1"/>
  <c r="B273" i="56" s="1"/>
  <c r="B274" i="56" s="1"/>
  <c r="B275" i="56" s="1"/>
  <c r="B276" i="56" s="1"/>
  <c r="B277" i="56" s="1"/>
  <c r="B278" i="56" s="1"/>
  <c r="B279" i="56" s="1"/>
  <c r="B280" i="56" s="1"/>
  <c r="B281" i="56" s="1"/>
  <c r="B282" i="56" s="1"/>
  <c r="B283" i="56" s="1"/>
  <c r="B284" i="56" s="1"/>
  <c r="B285" i="56" s="1"/>
  <c r="B286" i="56" s="1"/>
  <c r="B287" i="56" s="1"/>
  <c r="B288" i="56" s="1"/>
  <c r="B289" i="56" s="1"/>
  <c r="B290" i="56" s="1"/>
  <c r="B291" i="56" s="1"/>
  <c r="B292" i="56" s="1"/>
  <c r="B293" i="56" s="1"/>
  <c r="B294" i="56" s="1"/>
  <c r="B295" i="56" s="1"/>
  <c r="B296" i="56" s="1"/>
  <c r="B297" i="56" s="1"/>
  <c r="E259" i="56"/>
  <c r="G259" i="56" s="1"/>
  <c r="I259" i="56" s="1"/>
  <c r="K259" i="56" s="1"/>
  <c r="M259" i="56" s="1"/>
  <c r="O259" i="56" s="1"/>
  <c r="Q259" i="56" s="1"/>
  <c r="S259" i="56" s="1"/>
  <c r="U259" i="56" s="1"/>
  <c r="W259" i="56" s="1"/>
  <c r="Y259" i="56" s="1"/>
  <c r="AA259" i="56" s="1"/>
  <c r="AC259" i="56" s="1"/>
  <c r="AE259" i="56" s="1"/>
  <c r="AG259" i="56" s="1"/>
  <c r="AI259" i="56" s="1"/>
  <c r="B212" i="56"/>
  <c r="B213" i="56" s="1"/>
  <c r="B214" i="56" s="1"/>
  <c r="B215" i="56" s="1"/>
  <c r="B216" i="56" s="1"/>
  <c r="B217" i="56" s="1"/>
  <c r="B218" i="56" s="1"/>
  <c r="B219" i="56" s="1"/>
  <c r="B220" i="56" s="1"/>
  <c r="B221" i="56" s="1"/>
  <c r="B222" i="56" s="1"/>
  <c r="B223" i="56" s="1"/>
  <c r="B224" i="56" s="1"/>
  <c r="B225" i="56" s="1"/>
  <c r="B226" i="56" s="1"/>
  <c r="B227" i="56" s="1"/>
  <c r="B228" i="56" s="1"/>
  <c r="B229" i="56" s="1"/>
  <c r="B230" i="56" s="1"/>
  <c r="B231" i="56" s="1"/>
  <c r="B232" i="56" s="1"/>
  <c r="B233" i="56" s="1"/>
  <c r="B234" i="56" s="1"/>
  <c r="B235" i="56" s="1"/>
  <c r="B236" i="56" s="1"/>
  <c r="B237" i="56" s="1"/>
  <c r="B238" i="56" s="1"/>
  <c r="B239" i="56" s="1"/>
  <c r="B240" i="56" s="1"/>
  <c r="B241" i="56" s="1"/>
  <c r="B242" i="56" s="1"/>
  <c r="B243" i="56" s="1"/>
  <c r="B244" i="56" s="1"/>
  <c r="B245" i="56" s="1"/>
  <c r="B246" i="56" s="1"/>
  <c r="B247" i="56" s="1"/>
  <c r="B248" i="56" s="1"/>
  <c r="B249" i="56" s="1"/>
  <c r="B250" i="56" s="1"/>
  <c r="E209" i="56"/>
  <c r="G209" i="56" s="1"/>
  <c r="I209" i="56" s="1"/>
  <c r="K209" i="56" s="1"/>
  <c r="M209" i="56" s="1"/>
  <c r="O209" i="56" s="1"/>
  <c r="Q209" i="56" s="1"/>
  <c r="S209" i="56" s="1"/>
  <c r="U209" i="56" s="1"/>
  <c r="W209" i="56" s="1"/>
  <c r="Y209" i="56" s="1"/>
  <c r="AA209" i="56" s="1"/>
  <c r="AC209" i="56" s="1"/>
  <c r="AE209" i="56" s="1"/>
  <c r="AG209" i="56" s="1"/>
  <c r="AI209" i="56" s="1"/>
  <c r="B162" i="56"/>
  <c r="B163" i="56" s="1"/>
  <c r="B164" i="56" s="1"/>
  <c r="B165" i="56" s="1"/>
  <c r="B166" i="56" s="1"/>
  <c r="B167" i="56" s="1"/>
  <c r="B168" i="56" s="1"/>
  <c r="B169" i="56" s="1"/>
  <c r="B170" i="56" s="1"/>
  <c r="B171" i="56" s="1"/>
  <c r="B172" i="56" s="1"/>
  <c r="B173" i="56" s="1"/>
  <c r="B174" i="56" s="1"/>
  <c r="B175" i="56" s="1"/>
  <c r="B176" i="56" s="1"/>
  <c r="B177" i="56" s="1"/>
  <c r="B178" i="56" s="1"/>
  <c r="B179" i="56" s="1"/>
  <c r="B180" i="56" s="1"/>
  <c r="B181" i="56" s="1"/>
  <c r="B182" i="56" s="1"/>
  <c r="B183" i="56" s="1"/>
  <c r="B184" i="56" s="1"/>
  <c r="B185" i="56" s="1"/>
  <c r="B186" i="56" s="1"/>
  <c r="B187" i="56" s="1"/>
  <c r="B188" i="56" s="1"/>
  <c r="B189" i="56" s="1"/>
  <c r="B190" i="56" s="1"/>
  <c r="B191" i="56" s="1"/>
  <c r="B192" i="56" s="1"/>
  <c r="B193" i="56" s="1"/>
  <c r="B194" i="56" s="1"/>
  <c r="B195" i="56" s="1"/>
  <c r="B196" i="56" s="1"/>
  <c r="B197" i="56" s="1"/>
  <c r="B198" i="56" s="1"/>
  <c r="B199" i="56" s="1"/>
  <c r="B200" i="56" s="1"/>
  <c r="E159" i="56"/>
  <c r="G159" i="56" s="1"/>
  <c r="I159" i="56" s="1"/>
  <c r="K159" i="56" s="1"/>
  <c r="M159" i="56" s="1"/>
  <c r="O159" i="56" s="1"/>
  <c r="Q159" i="56" s="1"/>
  <c r="S159" i="56" s="1"/>
  <c r="U159" i="56" s="1"/>
  <c r="W159" i="56" s="1"/>
  <c r="Y159" i="56" s="1"/>
  <c r="AA159" i="56" s="1"/>
  <c r="AC159" i="56" s="1"/>
  <c r="AE159" i="56" s="1"/>
  <c r="AG159" i="56" s="1"/>
  <c r="AI159" i="56" s="1"/>
  <c r="B112" i="56"/>
  <c r="B113" i="56" s="1"/>
  <c r="B114" i="56" s="1"/>
  <c r="B115" i="56" s="1"/>
  <c r="B116" i="56" s="1"/>
  <c r="B117" i="56" s="1"/>
  <c r="B118" i="56" s="1"/>
  <c r="B119" i="56" s="1"/>
  <c r="B120" i="56" s="1"/>
  <c r="B121" i="56" s="1"/>
  <c r="B122" i="56" s="1"/>
  <c r="B123" i="56" s="1"/>
  <c r="B124" i="56" s="1"/>
  <c r="B125" i="56" s="1"/>
  <c r="B126" i="56" s="1"/>
  <c r="B127" i="56" s="1"/>
  <c r="B128" i="56" s="1"/>
  <c r="B129" i="56" s="1"/>
  <c r="B130" i="56" s="1"/>
  <c r="B131" i="56" s="1"/>
  <c r="B132" i="56" s="1"/>
  <c r="B133" i="56" s="1"/>
  <c r="B134" i="56" s="1"/>
  <c r="B135" i="56" s="1"/>
  <c r="B136" i="56" s="1"/>
  <c r="B137" i="56" s="1"/>
  <c r="B138" i="56" s="1"/>
  <c r="B139" i="56" s="1"/>
  <c r="B140" i="56" s="1"/>
  <c r="B141" i="56" s="1"/>
  <c r="B142" i="56" s="1"/>
  <c r="B143" i="56" s="1"/>
  <c r="B144" i="56" s="1"/>
  <c r="B145" i="56" s="1"/>
  <c r="B146" i="56" s="1"/>
  <c r="B147" i="56" s="1"/>
  <c r="B148" i="56" s="1"/>
  <c r="B149" i="56" s="1"/>
  <c r="E109" i="56"/>
  <c r="G109" i="56" s="1"/>
  <c r="I109" i="56" s="1"/>
  <c r="K109" i="56" s="1"/>
  <c r="M109" i="56" s="1"/>
  <c r="O109" i="56" s="1"/>
  <c r="Q109" i="56" s="1"/>
  <c r="S109" i="56" s="1"/>
  <c r="U109" i="56" s="1"/>
  <c r="W109" i="56" s="1"/>
  <c r="Y109" i="56" s="1"/>
  <c r="AA109" i="56" s="1"/>
  <c r="AC109" i="56" s="1"/>
  <c r="AE109" i="56" s="1"/>
  <c r="AG109" i="56" s="1"/>
  <c r="AI109" i="56" s="1"/>
  <c r="B62" i="56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E59" i="56"/>
  <c r="G59" i="56" s="1"/>
  <c r="I59" i="56" s="1"/>
  <c r="K59" i="56" s="1"/>
  <c r="M59" i="56" s="1"/>
  <c r="O59" i="56" s="1"/>
  <c r="Q59" i="56" s="1"/>
  <c r="S59" i="56" s="1"/>
  <c r="U59" i="56" s="1"/>
  <c r="W59" i="56" s="1"/>
  <c r="Y59" i="56" s="1"/>
  <c r="AA59" i="56" s="1"/>
  <c r="AC59" i="56" s="1"/>
  <c r="AE59" i="56" s="1"/>
  <c r="AG59" i="56" s="1"/>
  <c r="AI59" i="56" s="1"/>
  <c r="B12" i="56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11" i="56"/>
  <c r="G8" i="56"/>
  <c r="I8" i="56" s="1"/>
  <c r="K8" i="56" s="1"/>
  <c r="M8" i="56" s="1"/>
  <c r="O8" i="56" s="1"/>
  <c r="Q8" i="56" s="1"/>
  <c r="S8" i="56" s="1"/>
  <c r="U8" i="56" s="1"/>
  <c r="W8" i="56" s="1"/>
  <c r="Y8" i="56" s="1"/>
  <c r="AA8" i="56" s="1"/>
  <c r="AC8" i="56" s="1"/>
  <c r="AE8" i="56" s="1"/>
  <c r="AG8" i="56" s="1"/>
  <c r="AI8" i="56" s="1"/>
  <c r="B250" i="57"/>
  <c r="B251" i="57" s="1"/>
  <c r="B252" i="57" s="1"/>
  <c r="B253" i="57" s="1"/>
  <c r="B254" i="57" s="1"/>
  <c r="B255" i="57" s="1"/>
  <c r="B256" i="57" s="1"/>
  <c r="B257" i="57" s="1"/>
  <c r="B258" i="57" s="1"/>
  <c r="B259" i="57" s="1"/>
  <c r="B260" i="57" s="1"/>
  <c r="B261" i="57" s="1"/>
  <c r="B262" i="57" s="1"/>
  <c r="B263" i="57" s="1"/>
  <c r="B264" i="57" s="1"/>
  <c r="B265" i="57" s="1"/>
  <c r="B266" i="57" s="1"/>
  <c r="B267" i="57" s="1"/>
  <c r="B268" i="57" s="1"/>
  <c r="B269" i="57" s="1"/>
  <c r="B270" i="57" s="1"/>
  <c r="B271" i="57" s="1"/>
  <c r="B272" i="57" s="1"/>
  <c r="B273" i="57" s="1"/>
  <c r="B274" i="57" s="1"/>
  <c r="B275" i="57" s="1"/>
  <c r="B276" i="57" s="1"/>
  <c r="B277" i="57" s="1"/>
  <c r="B278" i="57" s="1"/>
  <c r="B279" i="57" s="1"/>
  <c r="B280" i="57" s="1"/>
  <c r="B281" i="57" s="1"/>
  <c r="B282" i="57" s="1"/>
  <c r="B283" i="57" s="1"/>
  <c r="B284" i="57" s="1"/>
  <c r="B285" i="57" s="1"/>
  <c r="B202" i="57"/>
  <c r="B203" i="57" s="1"/>
  <c r="B204" i="57" s="1"/>
  <c r="B205" i="57" s="1"/>
  <c r="B206" i="57" s="1"/>
  <c r="B207" i="57" s="1"/>
  <c r="B208" i="57" s="1"/>
  <c r="B209" i="57" s="1"/>
  <c r="B210" i="57" s="1"/>
  <c r="B211" i="57" s="1"/>
  <c r="B212" i="57" s="1"/>
  <c r="B213" i="57" s="1"/>
  <c r="B214" i="57" s="1"/>
  <c r="B215" i="57" s="1"/>
  <c r="B216" i="57" s="1"/>
  <c r="B217" i="57" s="1"/>
  <c r="B218" i="57" s="1"/>
  <c r="B219" i="57" s="1"/>
  <c r="B220" i="57" s="1"/>
  <c r="B221" i="57" s="1"/>
  <c r="B222" i="57" s="1"/>
  <c r="B223" i="57" s="1"/>
  <c r="B224" i="57" s="1"/>
  <c r="B225" i="57" s="1"/>
  <c r="B226" i="57" s="1"/>
  <c r="B227" i="57" s="1"/>
  <c r="B228" i="57" s="1"/>
  <c r="B229" i="57" s="1"/>
  <c r="B230" i="57" s="1"/>
  <c r="B231" i="57" s="1"/>
  <c r="B232" i="57" s="1"/>
  <c r="B233" i="57" s="1"/>
  <c r="B234" i="57" s="1"/>
  <c r="B235" i="57" s="1"/>
  <c r="B236" i="57" s="1"/>
  <c r="B237" i="57" s="1"/>
  <c r="B238" i="57" s="1"/>
  <c r="B239" i="57" s="1"/>
  <c r="B155" i="57"/>
  <c r="B156" i="57" s="1"/>
  <c r="B157" i="57" s="1"/>
  <c r="B158" i="57" s="1"/>
  <c r="B159" i="57" s="1"/>
  <c r="B160" i="57" s="1"/>
  <c r="B161" i="57" s="1"/>
  <c r="B162" i="57" s="1"/>
  <c r="B163" i="57" s="1"/>
  <c r="B164" i="57" s="1"/>
  <c r="B165" i="57" s="1"/>
  <c r="B166" i="57" s="1"/>
  <c r="B167" i="57" s="1"/>
  <c r="B168" i="57" s="1"/>
  <c r="B169" i="57" s="1"/>
  <c r="B170" i="57" s="1"/>
  <c r="B171" i="57" s="1"/>
  <c r="B172" i="57" s="1"/>
  <c r="B173" i="57" s="1"/>
  <c r="B174" i="57" s="1"/>
  <c r="B175" i="57" s="1"/>
  <c r="B176" i="57" s="1"/>
  <c r="B177" i="57" s="1"/>
  <c r="B178" i="57" s="1"/>
  <c r="B179" i="57" s="1"/>
  <c r="B180" i="57" s="1"/>
  <c r="B181" i="57" s="1"/>
  <c r="B182" i="57" s="1"/>
  <c r="B183" i="57" s="1"/>
  <c r="B184" i="57" s="1"/>
  <c r="B185" i="57" s="1"/>
  <c r="B186" i="57" s="1"/>
  <c r="B187" i="57" s="1"/>
  <c r="B188" i="57" s="1"/>
  <c r="B189" i="57" s="1"/>
  <c r="B190" i="57" s="1"/>
  <c r="B191" i="57" s="1"/>
  <c r="B106" i="57"/>
  <c r="B107" i="57" s="1"/>
  <c r="B108" i="57" s="1"/>
  <c r="B109" i="57" s="1"/>
  <c r="B110" i="57" s="1"/>
  <c r="B111" i="57" s="1"/>
  <c r="B112" i="57" s="1"/>
  <c r="B113" i="57" s="1"/>
  <c r="B114" i="57" s="1"/>
  <c r="B115" i="57" s="1"/>
  <c r="B116" i="57" s="1"/>
  <c r="B117" i="57" s="1"/>
  <c r="B118" i="57" s="1"/>
  <c r="B119" i="57" s="1"/>
  <c r="B120" i="57" s="1"/>
  <c r="B121" i="57" s="1"/>
  <c r="B122" i="57" s="1"/>
  <c r="B123" i="57" s="1"/>
  <c r="B124" i="57" s="1"/>
  <c r="B125" i="57" s="1"/>
  <c r="B126" i="57" s="1"/>
  <c r="B127" i="57" s="1"/>
  <c r="B128" i="57" s="1"/>
  <c r="B129" i="57" s="1"/>
  <c r="B130" i="57" s="1"/>
  <c r="B131" i="57" s="1"/>
  <c r="B132" i="57" s="1"/>
  <c r="B133" i="57" s="1"/>
  <c r="B134" i="57" s="1"/>
  <c r="B135" i="57" s="1"/>
  <c r="B136" i="57" s="1"/>
  <c r="B137" i="57" s="1"/>
  <c r="B138" i="57" s="1"/>
  <c r="B139" i="57" s="1"/>
  <c r="B140" i="57" s="1"/>
  <c r="B141" i="57" s="1"/>
  <c r="B142" i="57" s="1"/>
  <c r="B143" i="57" s="1"/>
  <c r="D49" i="47"/>
  <c r="C49" i="47"/>
  <c r="D48" i="47"/>
  <c r="C48" i="47"/>
  <c r="D47" i="47"/>
  <c r="C47" i="47"/>
  <c r="D46" i="47"/>
  <c r="C46" i="47"/>
  <c r="D45" i="47"/>
  <c r="C45" i="47"/>
  <c r="D44" i="47"/>
  <c r="C44" i="47"/>
  <c r="D43" i="47"/>
  <c r="C43" i="47"/>
  <c r="D42" i="47"/>
  <c r="C42" i="47"/>
  <c r="D41" i="47"/>
  <c r="C41" i="47"/>
  <c r="D40" i="47"/>
  <c r="C40" i="47"/>
  <c r="D39" i="47"/>
  <c r="C39" i="47"/>
  <c r="D38" i="47"/>
  <c r="C38" i="47"/>
  <c r="D37" i="47"/>
  <c r="C37" i="47"/>
  <c r="D36" i="47"/>
  <c r="C36" i="47"/>
  <c r="D35" i="47"/>
  <c r="C35" i="47"/>
  <c r="D34" i="47"/>
  <c r="C34" i="47"/>
  <c r="D33" i="47"/>
  <c r="C33" i="47"/>
  <c r="D32" i="47"/>
  <c r="C32" i="47"/>
  <c r="D31" i="47"/>
  <c r="C31" i="47"/>
  <c r="D30" i="47"/>
  <c r="C30" i="47"/>
  <c r="D29" i="47"/>
  <c r="C29" i="47"/>
  <c r="D28" i="47"/>
  <c r="C28" i="47"/>
  <c r="D27" i="47"/>
  <c r="C27" i="47"/>
  <c r="D26" i="47"/>
  <c r="C26" i="47"/>
  <c r="D25" i="47"/>
  <c r="C25" i="47"/>
  <c r="D24" i="47"/>
  <c r="C24" i="47"/>
  <c r="D23" i="47"/>
  <c r="C23" i="47"/>
  <c r="D22" i="47"/>
  <c r="C22" i="47"/>
  <c r="D21" i="47"/>
  <c r="C21" i="47"/>
  <c r="D20" i="47"/>
  <c r="C20" i="47"/>
  <c r="D19" i="47"/>
  <c r="C19" i="47"/>
  <c r="D18" i="47"/>
  <c r="C18" i="47"/>
  <c r="D17" i="47"/>
  <c r="C17" i="47"/>
  <c r="D16" i="47"/>
  <c r="C16" i="47"/>
  <c r="D15" i="47"/>
  <c r="C15" i="47"/>
  <c r="D14" i="47"/>
  <c r="C14" i="47"/>
  <c r="D13" i="47"/>
  <c r="C13" i="47"/>
  <c r="D12" i="47"/>
  <c r="C12" i="47"/>
  <c r="D11" i="47"/>
  <c r="C11" i="47"/>
  <c r="D10" i="47"/>
  <c r="C10" i="47"/>
  <c r="D99" i="47"/>
  <c r="C99" i="47"/>
  <c r="D98" i="47"/>
  <c r="C98" i="47"/>
  <c r="D97" i="47"/>
  <c r="C97" i="47"/>
  <c r="D96" i="47"/>
  <c r="C96" i="47"/>
  <c r="D95" i="47"/>
  <c r="C95" i="47"/>
  <c r="D94" i="47"/>
  <c r="C94" i="47"/>
  <c r="D93" i="47"/>
  <c r="C93" i="47"/>
  <c r="D92" i="47"/>
  <c r="C92" i="47"/>
  <c r="D91" i="47"/>
  <c r="C91" i="47"/>
  <c r="D90" i="47"/>
  <c r="C90" i="47"/>
  <c r="D89" i="47"/>
  <c r="C89" i="47"/>
  <c r="D88" i="47"/>
  <c r="C88" i="47"/>
  <c r="D87" i="47"/>
  <c r="C87" i="47"/>
  <c r="D86" i="47"/>
  <c r="C86" i="47"/>
  <c r="D85" i="47"/>
  <c r="C85" i="47"/>
  <c r="D84" i="47"/>
  <c r="C84" i="47"/>
  <c r="D83" i="47"/>
  <c r="C83" i="47"/>
  <c r="D82" i="47"/>
  <c r="C82" i="47"/>
  <c r="D81" i="47"/>
  <c r="C81" i="47"/>
  <c r="D80" i="47"/>
  <c r="C80" i="47"/>
  <c r="D79" i="47"/>
  <c r="C79" i="47"/>
  <c r="D78" i="47"/>
  <c r="C78" i="47"/>
  <c r="D77" i="47"/>
  <c r="C77" i="47"/>
  <c r="D76" i="47"/>
  <c r="C76" i="47"/>
  <c r="D75" i="47"/>
  <c r="C75" i="47"/>
  <c r="D74" i="47"/>
  <c r="C74" i="47"/>
  <c r="D73" i="47"/>
  <c r="C73" i="47"/>
  <c r="D72" i="47"/>
  <c r="C72" i="47"/>
  <c r="D71" i="47"/>
  <c r="C71" i="47"/>
  <c r="D70" i="47"/>
  <c r="C70" i="47"/>
  <c r="D69" i="47"/>
  <c r="C69" i="47"/>
  <c r="D68" i="47"/>
  <c r="C68" i="47"/>
  <c r="D67" i="47"/>
  <c r="C67" i="47"/>
  <c r="D66" i="47"/>
  <c r="C66" i="47"/>
  <c r="D65" i="47"/>
  <c r="C65" i="47"/>
  <c r="D64" i="47"/>
  <c r="C64" i="47"/>
  <c r="D63" i="47"/>
  <c r="C63" i="47"/>
  <c r="D62" i="47"/>
  <c r="C62" i="47"/>
  <c r="D61" i="47"/>
  <c r="C61" i="47"/>
  <c r="D149" i="47"/>
  <c r="C149" i="47"/>
  <c r="D148" i="47"/>
  <c r="C148" i="47"/>
  <c r="D147" i="47"/>
  <c r="C147" i="47"/>
  <c r="D146" i="47"/>
  <c r="C146" i="47"/>
  <c r="D145" i="47"/>
  <c r="C145" i="47"/>
  <c r="D144" i="47"/>
  <c r="C144" i="47"/>
  <c r="D143" i="47"/>
  <c r="C143" i="47"/>
  <c r="D142" i="47"/>
  <c r="C142" i="47"/>
  <c r="D141" i="47"/>
  <c r="C141" i="47"/>
  <c r="D140" i="47"/>
  <c r="C140" i="47"/>
  <c r="D139" i="47"/>
  <c r="C139" i="47"/>
  <c r="D138" i="47"/>
  <c r="C138" i="47"/>
  <c r="D137" i="47"/>
  <c r="C137" i="47"/>
  <c r="D136" i="47"/>
  <c r="C136" i="47"/>
  <c r="D135" i="47"/>
  <c r="C135" i="47"/>
  <c r="D134" i="47"/>
  <c r="C134" i="47"/>
  <c r="D133" i="47"/>
  <c r="C133" i="47"/>
  <c r="D132" i="47"/>
  <c r="C132" i="47"/>
  <c r="D131" i="47"/>
  <c r="C131" i="47"/>
  <c r="D130" i="47"/>
  <c r="C130" i="47"/>
  <c r="D129" i="47"/>
  <c r="C129" i="47"/>
  <c r="D128" i="47"/>
  <c r="C128" i="47"/>
  <c r="D127" i="47"/>
  <c r="C127" i="47"/>
  <c r="D126" i="47"/>
  <c r="C126" i="47"/>
  <c r="D125" i="47"/>
  <c r="C125" i="47"/>
  <c r="D124" i="47"/>
  <c r="C124" i="47"/>
  <c r="D123" i="47"/>
  <c r="C123" i="47"/>
  <c r="D122" i="47"/>
  <c r="C122" i="47"/>
  <c r="D121" i="47"/>
  <c r="C121" i="47"/>
  <c r="D120" i="47"/>
  <c r="C120" i="47"/>
  <c r="D119" i="47"/>
  <c r="C119" i="47"/>
  <c r="D118" i="47"/>
  <c r="C118" i="47"/>
  <c r="D117" i="47"/>
  <c r="C117" i="47"/>
  <c r="D116" i="47"/>
  <c r="C116" i="47"/>
  <c r="D115" i="47"/>
  <c r="C115" i="47"/>
  <c r="D114" i="47"/>
  <c r="C114" i="47"/>
  <c r="D113" i="47"/>
  <c r="C113" i="47"/>
  <c r="D112" i="47"/>
  <c r="C112" i="47"/>
  <c r="D111" i="47"/>
  <c r="C111" i="47"/>
  <c r="D199" i="47"/>
  <c r="C199" i="47"/>
  <c r="D198" i="47"/>
  <c r="C198" i="47"/>
  <c r="D197" i="47"/>
  <c r="C197" i="47"/>
  <c r="D196" i="47"/>
  <c r="C196" i="47"/>
  <c r="D195" i="47"/>
  <c r="C195" i="47"/>
  <c r="D194" i="47"/>
  <c r="C194" i="47"/>
  <c r="D193" i="47"/>
  <c r="C193" i="47"/>
  <c r="D192" i="47"/>
  <c r="C192" i="47"/>
  <c r="D191" i="47"/>
  <c r="C191" i="47"/>
  <c r="D190" i="47"/>
  <c r="C190" i="47"/>
  <c r="D189" i="47"/>
  <c r="C189" i="47"/>
  <c r="D188" i="47"/>
  <c r="C188" i="47"/>
  <c r="D187" i="47"/>
  <c r="C187" i="47"/>
  <c r="D186" i="47"/>
  <c r="C186" i="47"/>
  <c r="D185" i="47"/>
  <c r="C185" i="47"/>
  <c r="D184" i="47"/>
  <c r="C184" i="47"/>
  <c r="D183" i="47"/>
  <c r="C183" i="47"/>
  <c r="D182" i="47"/>
  <c r="C182" i="47"/>
  <c r="D181" i="47"/>
  <c r="C181" i="47"/>
  <c r="D180" i="47"/>
  <c r="C180" i="47"/>
  <c r="D179" i="47"/>
  <c r="C179" i="47"/>
  <c r="D178" i="47"/>
  <c r="C178" i="47"/>
  <c r="D177" i="47"/>
  <c r="C177" i="47"/>
  <c r="D176" i="47"/>
  <c r="C176" i="47"/>
  <c r="D175" i="47"/>
  <c r="C175" i="47"/>
  <c r="D174" i="47"/>
  <c r="C174" i="47"/>
  <c r="D173" i="47"/>
  <c r="C173" i="47"/>
  <c r="D172" i="47"/>
  <c r="C172" i="47"/>
  <c r="D171" i="47"/>
  <c r="C171" i="47"/>
  <c r="D170" i="47"/>
  <c r="C170" i="47"/>
  <c r="D169" i="47"/>
  <c r="C169" i="47"/>
  <c r="D168" i="47"/>
  <c r="C168" i="47"/>
  <c r="D167" i="47"/>
  <c r="C167" i="47"/>
  <c r="D166" i="47"/>
  <c r="C166" i="47"/>
  <c r="D165" i="47"/>
  <c r="C165" i="47"/>
  <c r="D164" i="47"/>
  <c r="C164" i="47"/>
  <c r="D163" i="47"/>
  <c r="C163" i="47"/>
  <c r="D162" i="47"/>
  <c r="C162" i="47"/>
  <c r="D161" i="47"/>
  <c r="C161" i="47"/>
  <c r="D249" i="47"/>
  <c r="C249" i="47"/>
  <c r="D248" i="47"/>
  <c r="C248" i="47"/>
  <c r="D247" i="47"/>
  <c r="C247" i="47"/>
  <c r="D246" i="47"/>
  <c r="C246" i="47"/>
  <c r="D245" i="47"/>
  <c r="C245" i="47"/>
  <c r="D244" i="47"/>
  <c r="C244" i="47"/>
  <c r="D243" i="47"/>
  <c r="C243" i="47"/>
  <c r="D242" i="47"/>
  <c r="C242" i="47"/>
  <c r="D241" i="47"/>
  <c r="C241" i="47"/>
  <c r="D240" i="47"/>
  <c r="C240" i="47"/>
  <c r="D239" i="47"/>
  <c r="C239" i="47"/>
  <c r="D238" i="47"/>
  <c r="C238" i="47"/>
  <c r="D237" i="47"/>
  <c r="C237" i="47"/>
  <c r="D236" i="47"/>
  <c r="C236" i="47"/>
  <c r="D235" i="47"/>
  <c r="C235" i="47"/>
  <c r="D234" i="47"/>
  <c r="C234" i="47"/>
  <c r="D233" i="47"/>
  <c r="C233" i="47"/>
  <c r="D232" i="47"/>
  <c r="C232" i="47"/>
  <c r="D231" i="47"/>
  <c r="C231" i="47"/>
  <c r="D230" i="47"/>
  <c r="C230" i="47"/>
  <c r="D229" i="47"/>
  <c r="C229" i="47"/>
  <c r="D228" i="47"/>
  <c r="C228" i="47"/>
  <c r="D227" i="47"/>
  <c r="C227" i="47"/>
  <c r="D226" i="47"/>
  <c r="C226" i="47"/>
  <c r="D225" i="47"/>
  <c r="C225" i="47"/>
  <c r="D224" i="47"/>
  <c r="C224" i="47"/>
  <c r="D223" i="47"/>
  <c r="C223" i="47"/>
  <c r="D222" i="47"/>
  <c r="C222" i="47"/>
  <c r="D221" i="47"/>
  <c r="C221" i="47"/>
  <c r="D220" i="47"/>
  <c r="C220" i="47"/>
  <c r="D219" i="47"/>
  <c r="C219" i="47"/>
  <c r="D218" i="47"/>
  <c r="C218" i="47"/>
  <c r="D217" i="47"/>
  <c r="C217" i="47"/>
  <c r="D216" i="47"/>
  <c r="C216" i="47"/>
  <c r="D215" i="47"/>
  <c r="C215" i="47"/>
  <c r="D214" i="47"/>
  <c r="C214" i="47"/>
  <c r="D213" i="47"/>
  <c r="C213" i="47"/>
  <c r="D212" i="47"/>
  <c r="C212" i="47"/>
  <c r="D211" i="47"/>
  <c r="C211" i="47"/>
  <c r="D296" i="47"/>
  <c r="C296" i="47"/>
  <c r="D295" i="47"/>
  <c r="C295" i="47"/>
  <c r="D294" i="47"/>
  <c r="C294" i="47"/>
  <c r="D293" i="47"/>
  <c r="C293" i="47"/>
  <c r="D292" i="47"/>
  <c r="C292" i="47"/>
  <c r="D291" i="47"/>
  <c r="C291" i="47"/>
  <c r="D290" i="47"/>
  <c r="C290" i="47"/>
  <c r="D289" i="47"/>
  <c r="C289" i="47"/>
  <c r="D288" i="47"/>
  <c r="C288" i="47"/>
  <c r="D287" i="47"/>
  <c r="C287" i="47"/>
  <c r="D286" i="47"/>
  <c r="C286" i="47"/>
  <c r="D285" i="47"/>
  <c r="C285" i="47"/>
  <c r="D284" i="47"/>
  <c r="C284" i="47"/>
  <c r="D283" i="47"/>
  <c r="C283" i="47"/>
  <c r="D282" i="47"/>
  <c r="C282" i="47"/>
  <c r="D281" i="47"/>
  <c r="C281" i="47"/>
  <c r="D280" i="47"/>
  <c r="C280" i="47"/>
  <c r="D279" i="47"/>
  <c r="C279" i="47"/>
  <c r="D278" i="47"/>
  <c r="C278" i="47"/>
  <c r="D277" i="47"/>
  <c r="C277" i="47"/>
  <c r="D276" i="47"/>
  <c r="C276" i="47"/>
  <c r="D275" i="47"/>
  <c r="C275" i="47"/>
  <c r="D274" i="47"/>
  <c r="C274" i="47"/>
  <c r="D273" i="47"/>
  <c r="C273" i="47"/>
  <c r="D272" i="47"/>
  <c r="C272" i="47"/>
  <c r="D271" i="47"/>
  <c r="C271" i="47"/>
  <c r="D270" i="47"/>
  <c r="C270" i="47"/>
  <c r="D269" i="47"/>
  <c r="C269" i="47"/>
  <c r="D268" i="47"/>
  <c r="C268" i="47"/>
  <c r="D267" i="47"/>
  <c r="C267" i="47"/>
  <c r="D266" i="47"/>
  <c r="C266" i="47"/>
  <c r="D265" i="47"/>
  <c r="C265" i="47"/>
  <c r="D264" i="47"/>
  <c r="C264" i="47"/>
  <c r="D263" i="47"/>
  <c r="C263" i="47"/>
  <c r="D262" i="47"/>
  <c r="C262" i="47"/>
  <c r="D261" i="47"/>
  <c r="C261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/>
  <c r="D330" i="47"/>
  <c r="C330" i="47"/>
  <c r="D329" i="47"/>
  <c r="C329" i="47"/>
  <c r="D328" i="47"/>
  <c r="C328" i="47"/>
  <c r="D327" i="47"/>
  <c r="C327" i="47"/>
  <c r="D326" i="47"/>
  <c r="C326" i="47"/>
  <c r="D325" i="47"/>
  <c r="C325" i="47"/>
  <c r="D324" i="47"/>
  <c r="C324" i="47"/>
  <c r="D323" i="47"/>
  <c r="C323" i="47"/>
  <c r="D322" i="47"/>
  <c r="C322" i="47"/>
  <c r="D321" i="47"/>
  <c r="C321" i="47"/>
  <c r="D320" i="47"/>
  <c r="C320" i="47"/>
  <c r="D319" i="47"/>
  <c r="C319" i="47"/>
  <c r="D318" i="47"/>
  <c r="C318" i="47"/>
  <c r="D317" i="47"/>
  <c r="C317" i="47"/>
  <c r="D316" i="47"/>
  <c r="C316" i="47"/>
  <c r="D315" i="47"/>
  <c r="C315" i="47"/>
  <c r="D314" i="47"/>
  <c r="C314" i="47"/>
  <c r="D313" i="47"/>
  <c r="C313" i="47"/>
  <c r="D312" i="47"/>
  <c r="C312" i="47"/>
  <c r="D311" i="47"/>
  <c r="C311" i="47"/>
  <c r="D310" i="47"/>
  <c r="C310" i="47"/>
  <c r="D309" i="47"/>
  <c r="C309" i="47"/>
  <c r="D308" i="47"/>
  <c r="C308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C336" i="55" l="1"/>
  <c r="D372" i="55"/>
  <c r="C372" i="55"/>
  <c r="D371" i="55"/>
  <c r="C371" i="55"/>
  <c r="D370" i="55"/>
  <c r="C370" i="55"/>
  <c r="D369" i="55"/>
  <c r="C369" i="55"/>
  <c r="D368" i="55"/>
  <c r="C368" i="55"/>
  <c r="D367" i="55"/>
  <c r="C367" i="55"/>
  <c r="D366" i="55"/>
  <c r="C366" i="55"/>
  <c r="D365" i="55"/>
  <c r="C365" i="55"/>
  <c r="D364" i="55"/>
  <c r="C364" i="55"/>
  <c r="D363" i="55"/>
  <c r="C363" i="55"/>
  <c r="D362" i="55"/>
  <c r="C362" i="55"/>
  <c r="D361" i="55"/>
  <c r="C361" i="55"/>
  <c r="D360" i="55"/>
  <c r="C360" i="55"/>
  <c r="D359" i="55"/>
  <c r="C359" i="55"/>
  <c r="D358" i="55"/>
  <c r="C358" i="55"/>
  <c r="D357" i="55"/>
  <c r="C357" i="55"/>
  <c r="D356" i="55"/>
  <c r="C356" i="55"/>
  <c r="D355" i="55"/>
  <c r="C355" i="55"/>
  <c r="D354" i="55"/>
  <c r="C354" i="55"/>
  <c r="D353" i="55"/>
  <c r="C353" i="55"/>
  <c r="D352" i="55"/>
  <c r="C352" i="55"/>
  <c r="D351" i="55"/>
  <c r="C351" i="55"/>
  <c r="D350" i="55"/>
  <c r="C350" i="55"/>
  <c r="D349" i="55"/>
  <c r="C349" i="55"/>
  <c r="D348" i="55"/>
  <c r="C348" i="55"/>
  <c r="D347" i="55"/>
  <c r="C347" i="55"/>
  <c r="D346" i="55"/>
  <c r="C346" i="55"/>
  <c r="D345" i="55"/>
  <c r="C345" i="55"/>
  <c r="D344" i="55"/>
  <c r="C344" i="55"/>
  <c r="D343" i="55"/>
  <c r="C343" i="55"/>
  <c r="D342" i="55"/>
  <c r="C342" i="55"/>
  <c r="D341" i="55"/>
  <c r="C341" i="55"/>
  <c r="D340" i="55"/>
  <c r="C340" i="55"/>
  <c r="D339" i="55"/>
  <c r="C339" i="55"/>
  <c r="D338" i="55"/>
  <c r="C338" i="55"/>
  <c r="D337" i="55"/>
  <c r="C337" i="55"/>
  <c r="D336" i="55"/>
  <c r="D324" i="55"/>
  <c r="C324" i="55"/>
  <c r="D323" i="55"/>
  <c r="C323" i="55"/>
  <c r="D322" i="55"/>
  <c r="C322" i="55"/>
  <c r="D321" i="55"/>
  <c r="C321" i="55"/>
  <c r="D320" i="55"/>
  <c r="C320" i="55"/>
  <c r="D319" i="55"/>
  <c r="C319" i="55"/>
  <c r="D318" i="55"/>
  <c r="C318" i="55"/>
  <c r="D317" i="55"/>
  <c r="C317" i="55"/>
  <c r="D316" i="55"/>
  <c r="C316" i="55"/>
  <c r="D315" i="55"/>
  <c r="C315" i="55"/>
  <c r="D314" i="55"/>
  <c r="C314" i="55"/>
  <c r="D313" i="55"/>
  <c r="C313" i="55"/>
  <c r="D312" i="55"/>
  <c r="C312" i="55"/>
  <c r="D311" i="55"/>
  <c r="C311" i="55"/>
  <c r="D310" i="55"/>
  <c r="C310" i="55"/>
  <c r="D309" i="55"/>
  <c r="C309" i="55"/>
  <c r="D308" i="55"/>
  <c r="C308" i="55"/>
  <c r="D307" i="55"/>
  <c r="C307" i="55"/>
  <c r="D306" i="55"/>
  <c r="C306" i="55"/>
  <c r="D305" i="55"/>
  <c r="C305" i="55"/>
  <c r="D304" i="55"/>
  <c r="C304" i="55"/>
  <c r="D303" i="55"/>
  <c r="C303" i="55"/>
  <c r="D302" i="55"/>
  <c r="C302" i="55"/>
  <c r="D301" i="55"/>
  <c r="C301" i="55"/>
  <c r="D300" i="55"/>
  <c r="C300" i="55"/>
  <c r="D299" i="55"/>
  <c r="C299" i="55"/>
  <c r="D298" i="55"/>
  <c r="C298" i="55"/>
  <c r="D297" i="55"/>
  <c r="C297" i="55"/>
  <c r="D296" i="55"/>
  <c r="C296" i="55"/>
  <c r="D295" i="55"/>
  <c r="C295" i="55"/>
  <c r="D294" i="55"/>
  <c r="C294" i="55"/>
  <c r="D293" i="55"/>
  <c r="C293" i="55"/>
  <c r="D292" i="55"/>
  <c r="C292" i="55"/>
  <c r="D291" i="55"/>
  <c r="C291" i="55"/>
  <c r="D290" i="55"/>
  <c r="C290" i="55"/>
  <c r="D289" i="55"/>
  <c r="C289" i="55"/>
  <c r="D277" i="55"/>
  <c r="C277" i="55"/>
  <c r="D276" i="55"/>
  <c r="C276" i="55"/>
  <c r="D275" i="55"/>
  <c r="C275" i="55"/>
  <c r="D274" i="55"/>
  <c r="C274" i="55"/>
  <c r="D273" i="55"/>
  <c r="C273" i="55"/>
  <c r="D272" i="55"/>
  <c r="C272" i="55"/>
  <c r="D271" i="55"/>
  <c r="C271" i="55"/>
  <c r="D270" i="55"/>
  <c r="C270" i="55"/>
  <c r="D269" i="55"/>
  <c r="C269" i="55"/>
  <c r="D268" i="55"/>
  <c r="C268" i="55"/>
  <c r="D267" i="55"/>
  <c r="C267" i="55"/>
  <c r="D266" i="55"/>
  <c r="C266" i="55"/>
  <c r="D265" i="55"/>
  <c r="C265" i="55"/>
  <c r="D264" i="55"/>
  <c r="C264" i="55"/>
  <c r="D263" i="55"/>
  <c r="C263" i="55"/>
  <c r="D262" i="55"/>
  <c r="C262" i="55"/>
  <c r="D261" i="55"/>
  <c r="C261" i="55"/>
  <c r="D260" i="55"/>
  <c r="C260" i="55"/>
  <c r="D259" i="55"/>
  <c r="C259" i="55"/>
  <c r="D258" i="55"/>
  <c r="C258" i="55"/>
  <c r="D257" i="55"/>
  <c r="C257" i="55"/>
  <c r="D256" i="55"/>
  <c r="C256" i="55"/>
  <c r="D255" i="55"/>
  <c r="C255" i="55"/>
  <c r="D254" i="55"/>
  <c r="C254" i="55"/>
  <c r="D253" i="55"/>
  <c r="C253" i="55"/>
  <c r="D252" i="55"/>
  <c r="C252" i="55"/>
  <c r="D251" i="55"/>
  <c r="C251" i="55"/>
  <c r="D250" i="55"/>
  <c r="C250" i="55"/>
  <c r="D249" i="55"/>
  <c r="C249" i="55"/>
  <c r="D248" i="55"/>
  <c r="C248" i="55"/>
  <c r="D247" i="55"/>
  <c r="C247" i="55"/>
  <c r="D246" i="55"/>
  <c r="C246" i="55"/>
  <c r="D245" i="55"/>
  <c r="C245" i="55"/>
  <c r="D233" i="55"/>
  <c r="C233" i="55"/>
  <c r="D232" i="55"/>
  <c r="C232" i="55"/>
  <c r="D231" i="55"/>
  <c r="C231" i="55"/>
  <c r="D230" i="55"/>
  <c r="C230" i="55"/>
  <c r="D229" i="55"/>
  <c r="C229" i="55"/>
  <c r="D228" i="55"/>
  <c r="C228" i="55"/>
  <c r="D227" i="55"/>
  <c r="C227" i="55"/>
  <c r="D226" i="55"/>
  <c r="C226" i="55"/>
  <c r="D225" i="55"/>
  <c r="C225" i="55"/>
  <c r="D224" i="55"/>
  <c r="C224" i="55"/>
  <c r="D223" i="55"/>
  <c r="C223" i="55"/>
  <c r="D222" i="55"/>
  <c r="C222" i="55"/>
  <c r="D221" i="55"/>
  <c r="C221" i="55"/>
  <c r="D220" i="55"/>
  <c r="C220" i="55"/>
  <c r="D219" i="55"/>
  <c r="C219" i="55"/>
  <c r="D218" i="55"/>
  <c r="C218" i="55"/>
  <c r="D217" i="55"/>
  <c r="C217" i="55"/>
  <c r="D216" i="55"/>
  <c r="C216" i="55"/>
  <c r="D215" i="55"/>
  <c r="C215" i="55"/>
  <c r="D214" i="55"/>
  <c r="C214" i="55"/>
  <c r="D213" i="55"/>
  <c r="C213" i="55"/>
  <c r="D212" i="55"/>
  <c r="C212" i="55"/>
  <c r="D211" i="55"/>
  <c r="C211" i="55"/>
  <c r="D210" i="55"/>
  <c r="C210" i="55"/>
  <c r="D209" i="55"/>
  <c r="C209" i="55"/>
  <c r="D208" i="55"/>
  <c r="C208" i="55"/>
  <c r="D207" i="55"/>
  <c r="C207" i="55"/>
  <c r="D206" i="55"/>
  <c r="C206" i="55"/>
  <c r="D205" i="55"/>
  <c r="C205" i="55"/>
  <c r="D204" i="55"/>
  <c r="C204" i="55"/>
  <c r="D203" i="55"/>
  <c r="C203" i="55"/>
  <c r="D202" i="55"/>
  <c r="C202" i="55"/>
  <c r="D201" i="55"/>
  <c r="C201" i="55"/>
  <c r="D200" i="55"/>
  <c r="C200" i="55"/>
  <c r="D199" i="55"/>
  <c r="C199" i="55"/>
  <c r="D198" i="55"/>
  <c r="C198" i="55"/>
  <c r="D186" i="55"/>
  <c r="C186" i="55"/>
  <c r="D185" i="55"/>
  <c r="C185" i="55"/>
  <c r="D184" i="55"/>
  <c r="C184" i="55"/>
  <c r="D183" i="55"/>
  <c r="C183" i="55"/>
  <c r="D182" i="55"/>
  <c r="C182" i="55"/>
  <c r="D181" i="55"/>
  <c r="C181" i="55"/>
  <c r="D180" i="55"/>
  <c r="C180" i="55"/>
  <c r="D179" i="55"/>
  <c r="C179" i="55"/>
  <c r="D178" i="55"/>
  <c r="C178" i="55"/>
  <c r="D177" i="55"/>
  <c r="C177" i="55"/>
  <c r="D176" i="55"/>
  <c r="C176" i="55"/>
  <c r="D175" i="55"/>
  <c r="C175" i="55"/>
  <c r="D174" i="55"/>
  <c r="C174" i="55"/>
  <c r="D173" i="55"/>
  <c r="C173" i="55"/>
  <c r="D172" i="55"/>
  <c r="C172" i="55"/>
  <c r="D171" i="55"/>
  <c r="C171" i="55"/>
  <c r="D170" i="55"/>
  <c r="C170" i="55"/>
  <c r="D169" i="55"/>
  <c r="C169" i="55"/>
  <c r="D168" i="55"/>
  <c r="C168" i="55"/>
  <c r="D167" i="55"/>
  <c r="C167" i="55"/>
  <c r="D166" i="55"/>
  <c r="C166" i="55"/>
  <c r="D165" i="55"/>
  <c r="C165" i="55"/>
  <c r="D164" i="55"/>
  <c r="C164" i="55"/>
  <c r="D163" i="55"/>
  <c r="C163" i="55"/>
  <c r="D162" i="55"/>
  <c r="C162" i="55"/>
  <c r="D161" i="55"/>
  <c r="C161" i="55"/>
  <c r="D160" i="55"/>
  <c r="C160" i="55"/>
  <c r="D159" i="55"/>
  <c r="C159" i="55"/>
  <c r="D158" i="55"/>
  <c r="C158" i="55"/>
  <c r="D157" i="55"/>
  <c r="C157" i="55"/>
  <c r="D156" i="55"/>
  <c r="C156" i="55"/>
  <c r="D155" i="55"/>
  <c r="C155" i="55"/>
  <c r="D154" i="55"/>
  <c r="C154" i="55"/>
  <c r="D153" i="55"/>
  <c r="C153" i="55"/>
  <c r="D152" i="55"/>
  <c r="C152" i="55"/>
  <c r="D151" i="55"/>
  <c r="C151" i="55"/>
  <c r="D187" i="55"/>
  <c r="C187" i="55"/>
  <c r="D140" i="55"/>
  <c r="C140" i="55"/>
  <c r="D139" i="55"/>
  <c r="C139" i="55"/>
  <c r="D138" i="55"/>
  <c r="C138" i="55"/>
  <c r="D137" i="55"/>
  <c r="C137" i="55"/>
  <c r="D136" i="55"/>
  <c r="C136" i="55"/>
  <c r="D135" i="55"/>
  <c r="C135" i="55"/>
  <c r="D134" i="55"/>
  <c r="C134" i="55"/>
  <c r="D133" i="55"/>
  <c r="C133" i="55"/>
  <c r="D132" i="55"/>
  <c r="C132" i="55"/>
  <c r="D131" i="55"/>
  <c r="C131" i="55"/>
  <c r="D130" i="55"/>
  <c r="C130" i="55"/>
  <c r="D129" i="55"/>
  <c r="C129" i="55"/>
  <c r="D128" i="55"/>
  <c r="C128" i="55"/>
  <c r="D127" i="55"/>
  <c r="C127" i="55"/>
  <c r="D126" i="55"/>
  <c r="C126" i="55"/>
  <c r="D125" i="55"/>
  <c r="C125" i="55"/>
  <c r="D124" i="55"/>
  <c r="C124" i="55"/>
  <c r="D123" i="55"/>
  <c r="C123" i="55"/>
  <c r="D122" i="55"/>
  <c r="C122" i="55"/>
  <c r="D121" i="55"/>
  <c r="C121" i="55"/>
  <c r="D120" i="55"/>
  <c r="C120" i="55"/>
  <c r="D119" i="55"/>
  <c r="C119" i="55"/>
  <c r="D118" i="55"/>
  <c r="C118" i="55"/>
  <c r="D117" i="55"/>
  <c r="C117" i="55"/>
  <c r="D116" i="55"/>
  <c r="C116" i="55"/>
  <c r="D115" i="55"/>
  <c r="C115" i="55"/>
  <c r="D114" i="55"/>
  <c r="C114" i="55"/>
  <c r="D113" i="55"/>
  <c r="C113" i="55"/>
  <c r="D112" i="55"/>
  <c r="C112" i="55"/>
  <c r="D111" i="55"/>
  <c r="C111" i="55"/>
  <c r="D110" i="55"/>
  <c r="C110" i="55"/>
  <c r="D109" i="55"/>
  <c r="C109" i="55"/>
  <c r="D108" i="55"/>
  <c r="C108" i="55"/>
  <c r="D107" i="55"/>
  <c r="C107" i="55"/>
  <c r="D106" i="55"/>
  <c r="C106" i="55"/>
  <c r="D105" i="55"/>
  <c r="C105" i="55"/>
  <c r="D104" i="55"/>
  <c r="C104" i="55"/>
  <c r="D93" i="55"/>
  <c r="C93" i="55"/>
  <c r="D92" i="55"/>
  <c r="C92" i="55"/>
  <c r="D91" i="55"/>
  <c r="C91" i="55"/>
  <c r="D90" i="55"/>
  <c r="C90" i="55"/>
  <c r="D89" i="55"/>
  <c r="C89" i="55"/>
  <c r="D88" i="55"/>
  <c r="C88" i="55"/>
  <c r="D87" i="55"/>
  <c r="C87" i="55"/>
  <c r="D86" i="55"/>
  <c r="C86" i="55"/>
  <c r="D85" i="55"/>
  <c r="C85" i="55"/>
  <c r="D84" i="55"/>
  <c r="C84" i="55"/>
  <c r="D83" i="55"/>
  <c r="C83" i="55"/>
  <c r="D82" i="55"/>
  <c r="C82" i="55"/>
  <c r="D81" i="55"/>
  <c r="C81" i="55"/>
  <c r="D80" i="55"/>
  <c r="C80" i="55"/>
  <c r="D79" i="55"/>
  <c r="C79" i="55"/>
  <c r="D78" i="55"/>
  <c r="C78" i="55"/>
  <c r="D77" i="55"/>
  <c r="C77" i="55"/>
  <c r="D76" i="55"/>
  <c r="C76" i="55"/>
  <c r="D75" i="55"/>
  <c r="C75" i="55"/>
  <c r="D74" i="55"/>
  <c r="C74" i="55"/>
  <c r="D73" i="55"/>
  <c r="C73" i="55"/>
  <c r="D72" i="55"/>
  <c r="C72" i="55"/>
  <c r="D71" i="55"/>
  <c r="C71" i="55"/>
  <c r="D70" i="55"/>
  <c r="C70" i="55"/>
  <c r="D69" i="55"/>
  <c r="C69" i="55"/>
  <c r="D68" i="55"/>
  <c r="C68" i="55"/>
  <c r="D67" i="55"/>
  <c r="C67" i="55"/>
  <c r="D66" i="55"/>
  <c r="C66" i="55"/>
  <c r="D65" i="55"/>
  <c r="C65" i="55"/>
  <c r="D64" i="55"/>
  <c r="C64" i="55"/>
  <c r="D63" i="55"/>
  <c r="C63" i="55"/>
  <c r="D62" i="55"/>
  <c r="C62" i="55"/>
  <c r="D61" i="55"/>
  <c r="C61" i="55"/>
  <c r="D60" i="55"/>
  <c r="C60" i="55"/>
  <c r="D59" i="55"/>
  <c r="C59" i="55"/>
  <c r="D58" i="55"/>
  <c r="C58" i="55"/>
  <c r="D57" i="55"/>
  <c r="C57" i="55"/>
  <c r="D46" i="55"/>
  <c r="C46" i="55"/>
  <c r="D45" i="55"/>
  <c r="C45" i="55"/>
  <c r="D44" i="55"/>
  <c r="C44" i="55"/>
  <c r="D43" i="55"/>
  <c r="C43" i="55"/>
  <c r="D42" i="55"/>
  <c r="C42" i="55"/>
  <c r="D41" i="55"/>
  <c r="C41" i="55"/>
  <c r="D40" i="55"/>
  <c r="C40" i="55"/>
  <c r="D39" i="55"/>
  <c r="C39" i="55"/>
  <c r="D38" i="55"/>
  <c r="C38" i="55"/>
  <c r="D37" i="55"/>
  <c r="C37" i="55"/>
  <c r="D36" i="55"/>
  <c r="C36" i="55"/>
  <c r="D35" i="55"/>
  <c r="C35" i="55"/>
  <c r="D34" i="55"/>
  <c r="C34" i="55"/>
  <c r="D33" i="55"/>
  <c r="C33" i="55"/>
  <c r="D32" i="55"/>
  <c r="C32" i="55"/>
  <c r="D31" i="55"/>
  <c r="C31" i="55"/>
  <c r="D30" i="55"/>
  <c r="C30" i="55"/>
  <c r="D29" i="55"/>
  <c r="C29" i="55"/>
  <c r="D28" i="55"/>
  <c r="C28" i="55"/>
  <c r="D27" i="55"/>
  <c r="C27" i="55"/>
  <c r="D26" i="55"/>
  <c r="C26" i="55"/>
  <c r="D25" i="55"/>
  <c r="C25" i="55"/>
  <c r="D24" i="55"/>
  <c r="C24" i="55"/>
  <c r="D23" i="55"/>
  <c r="C23" i="55"/>
  <c r="D22" i="55"/>
  <c r="C22" i="55"/>
  <c r="D21" i="55"/>
  <c r="C21" i="55"/>
  <c r="D20" i="55"/>
  <c r="C20" i="55"/>
  <c r="D19" i="55"/>
  <c r="C19" i="55"/>
  <c r="D18" i="55"/>
  <c r="C18" i="55"/>
  <c r="D17" i="55"/>
  <c r="C17" i="55"/>
  <c r="D16" i="55"/>
  <c r="C16" i="55"/>
  <c r="D15" i="55"/>
  <c r="C15" i="55"/>
  <c r="D14" i="55"/>
  <c r="C14" i="55"/>
  <c r="D13" i="55"/>
  <c r="C13" i="55"/>
  <c r="D12" i="55"/>
  <c r="C12" i="55"/>
  <c r="D11" i="55"/>
  <c r="C11" i="55"/>
  <c r="D10" i="55"/>
  <c r="C10" i="55"/>
  <c r="E402" i="47"/>
  <c r="G402" i="47" s="1"/>
  <c r="I402" i="47" s="1"/>
  <c r="K402" i="47" s="1"/>
  <c r="M402" i="47" s="1"/>
  <c r="O402" i="47" s="1"/>
  <c r="Q402" i="47" s="1"/>
  <c r="S402" i="47" s="1"/>
  <c r="U402" i="47" s="1"/>
  <c r="W402" i="47" s="1"/>
  <c r="Y402" i="47" s="1"/>
  <c r="AA402" i="47" s="1"/>
  <c r="AC402" i="47" s="1"/>
  <c r="AE402" i="47" s="1"/>
  <c r="AG402" i="47" s="1"/>
  <c r="AI402" i="47" s="1"/>
  <c r="D429" i="47"/>
  <c r="D430" i="47"/>
  <c r="D431" i="47"/>
  <c r="D432" i="47"/>
  <c r="D433" i="47"/>
  <c r="D434" i="47"/>
  <c r="D435" i="47"/>
  <c r="D436" i="47"/>
  <c r="D437" i="47"/>
  <c r="D438" i="47"/>
  <c r="D439" i="47"/>
  <c r="D440" i="47"/>
  <c r="D441" i="47"/>
  <c r="C441" i="47"/>
  <c r="C440" i="47"/>
  <c r="C439" i="47"/>
  <c r="C438" i="47"/>
  <c r="C437" i="47"/>
  <c r="C436" i="47"/>
  <c r="C435" i="47"/>
  <c r="C434" i="47"/>
  <c r="C433" i="47"/>
  <c r="C432" i="47"/>
  <c r="C431" i="47"/>
  <c r="C430" i="47"/>
  <c r="C429" i="47"/>
  <c r="B406" i="47"/>
  <c r="B407" i="47" s="1"/>
  <c r="B408" i="47" s="1"/>
  <c r="B409" i="47" s="1"/>
  <c r="B410" i="47" s="1"/>
  <c r="B411" i="47" s="1"/>
  <c r="B412" i="47" s="1"/>
  <c r="B413" i="47" s="1"/>
  <c r="B414" i="47" s="1"/>
  <c r="B415" i="47" s="1"/>
  <c r="B416" i="47" s="1"/>
  <c r="B417" i="47" s="1"/>
  <c r="B418" i="47" s="1"/>
  <c r="B419" i="47" s="1"/>
  <c r="B420" i="47" s="1"/>
  <c r="B421" i="47" s="1"/>
  <c r="B422" i="47" s="1"/>
  <c r="B423" i="47" s="1"/>
  <c r="B424" i="47" s="1"/>
  <c r="B425" i="47" s="1"/>
  <c r="B426" i="47" s="1"/>
  <c r="B427" i="47" s="1"/>
  <c r="B428" i="47" s="1"/>
  <c r="B429" i="47" s="1"/>
  <c r="B430" i="47" s="1"/>
  <c r="B431" i="47" s="1"/>
  <c r="B432" i="47" s="1"/>
  <c r="B433" i="47" s="1"/>
  <c r="B434" i="47" s="1"/>
  <c r="B435" i="47" s="1"/>
  <c r="B436" i="47" s="1"/>
  <c r="B437" i="47" s="1"/>
  <c r="B438" i="47" s="1"/>
  <c r="B439" i="47" s="1"/>
  <c r="B440" i="47" s="1"/>
  <c r="B441" i="47" s="1"/>
  <c r="B405" i="47"/>
  <c r="B124" i="51"/>
  <c r="B174" i="54"/>
  <c r="B175" i="54" s="1"/>
  <c r="B176" i="54" s="1"/>
  <c r="B177" i="54" s="1"/>
  <c r="D345" i="47" l="1"/>
  <c r="C345" i="47"/>
  <c r="D297" i="47"/>
  <c r="C297" i="47"/>
  <c r="D250" i="47"/>
  <c r="C250" i="47"/>
  <c r="D200" i="47"/>
  <c r="C200" i="47"/>
  <c r="D150" i="47"/>
  <c r="C150" i="47"/>
  <c r="D100" i="47"/>
  <c r="C100" i="47"/>
  <c r="D50" i="47"/>
  <c r="C50" i="47"/>
  <c r="D373" i="55"/>
  <c r="C373" i="55"/>
  <c r="D325" i="55"/>
  <c r="C325" i="55"/>
  <c r="D278" i="55"/>
  <c r="C278" i="55"/>
  <c r="D234" i="55"/>
  <c r="C234" i="55"/>
  <c r="B280" i="51"/>
  <c r="B281" i="51"/>
  <c r="B282" i="51" s="1"/>
  <c r="B283" i="51" s="1"/>
  <c r="B284" i="51" s="1"/>
  <c r="B285" i="51" s="1"/>
  <c r="B337" i="55" l="1"/>
  <c r="B338" i="55" s="1"/>
  <c r="B339" i="55" s="1"/>
  <c r="B340" i="55" s="1"/>
  <c r="B341" i="55" s="1"/>
  <c r="B342" i="55" s="1"/>
  <c r="B343" i="55" s="1"/>
  <c r="B344" i="55" s="1"/>
  <c r="B345" i="55" s="1"/>
  <c r="B346" i="55" s="1"/>
  <c r="B347" i="55" s="1"/>
  <c r="B348" i="55" s="1"/>
  <c r="B349" i="55" s="1"/>
  <c r="B350" i="55" s="1"/>
  <c r="B351" i="55" s="1"/>
  <c r="B352" i="55" s="1"/>
  <c r="B353" i="55" s="1"/>
  <c r="B354" i="55" s="1"/>
  <c r="B355" i="55" s="1"/>
  <c r="B356" i="55" s="1"/>
  <c r="B357" i="55" s="1"/>
  <c r="B358" i="55" s="1"/>
  <c r="B359" i="55" s="1"/>
  <c r="B360" i="55" s="1"/>
  <c r="B361" i="55" s="1"/>
  <c r="B362" i="55" s="1"/>
  <c r="B363" i="55" s="1"/>
  <c r="B364" i="55" s="1"/>
  <c r="B365" i="55" s="1"/>
  <c r="B366" i="55" s="1"/>
  <c r="B367" i="55" s="1"/>
  <c r="B368" i="55" s="1"/>
  <c r="B369" i="55" s="1"/>
  <c r="B370" i="55" s="1"/>
  <c r="B371" i="55" s="1"/>
  <c r="B372" i="55" s="1"/>
  <c r="B373" i="55" s="1"/>
  <c r="E334" i="55"/>
  <c r="G334" i="55" s="1"/>
  <c r="I334" i="55" s="1"/>
  <c r="K334" i="55" s="1"/>
  <c r="M334" i="55" s="1"/>
  <c r="O334" i="55" s="1"/>
  <c r="Q334" i="55" s="1"/>
  <c r="S334" i="55" s="1"/>
  <c r="U334" i="55" s="1"/>
  <c r="W334" i="55" s="1"/>
  <c r="Y334" i="55" s="1"/>
  <c r="AA334" i="55" s="1"/>
  <c r="AC334" i="55" s="1"/>
  <c r="AE334" i="55" s="1"/>
  <c r="AG334" i="55" s="1"/>
  <c r="AI334" i="55" s="1"/>
  <c r="B290" i="55"/>
  <c r="B291" i="55" s="1"/>
  <c r="B292" i="55" s="1"/>
  <c r="B293" i="55" s="1"/>
  <c r="B294" i="55" s="1"/>
  <c r="B295" i="55" s="1"/>
  <c r="B296" i="55" s="1"/>
  <c r="B297" i="55" s="1"/>
  <c r="B298" i="55" s="1"/>
  <c r="B299" i="55" s="1"/>
  <c r="B300" i="55" s="1"/>
  <c r="B301" i="55" s="1"/>
  <c r="B302" i="55" s="1"/>
  <c r="B303" i="55" s="1"/>
  <c r="B304" i="55" s="1"/>
  <c r="B305" i="55" s="1"/>
  <c r="B306" i="55" s="1"/>
  <c r="B307" i="55" s="1"/>
  <c r="B308" i="55" s="1"/>
  <c r="B309" i="55" s="1"/>
  <c r="B310" i="55" s="1"/>
  <c r="B311" i="55" s="1"/>
  <c r="B312" i="55" s="1"/>
  <c r="B313" i="55" s="1"/>
  <c r="B314" i="55" s="1"/>
  <c r="B315" i="55" s="1"/>
  <c r="B316" i="55" s="1"/>
  <c r="B317" i="55" s="1"/>
  <c r="B318" i="55" s="1"/>
  <c r="B319" i="55" s="1"/>
  <c r="B320" i="55" s="1"/>
  <c r="B321" i="55" s="1"/>
  <c r="B322" i="55" s="1"/>
  <c r="B323" i="55" s="1"/>
  <c r="B324" i="55" s="1"/>
  <c r="B325" i="55" s="1"/>
  <c r="E287" i="55"/>
  <c r="G287" i="55" s="1"/>
  <c r="I287" i="55" s="1"/>
  <c r="K287" i="55" s="1"/>
  <c r="M287" i="55" s="1"/>
  <c r="O287" i="55" s="1"/>
  <c r="Q287" i="55" s="1"/>
  <c r="S287" i="55" s="1"/>
  <c r="U287" i="55" s="1"/>
  <c r="W287" i="55" s="1"/>
  <c r="Y287" i="55" s="1"/>
  <c r="AA287" i="55" s="1"/>
  <c r="AC287" i="55" s="1"/>
  <c r="AE287" i="55" s="1"/>
  <c r="AG287" i="55" s="1"/>
  <c r="AI287" i="55" s="1"/>
  <c r="B246" i="55"/>
  <c r="B247" i="55" s="1"/>
  <c r="B248" i="55" s="1"/>
  <c r="B249" i="55" s="1"/>
  <c r="B250" i="55" s="1"/>
  <c r="B251" i="55" s="1"/>
  <c r="B252" i="55" s="1"/>
  <c r="B253" i="55" s="1"/>
  <c r="B254" i="55" s="1"/>
  <c r="B255" i="55" s="1"/>
  <c r="B256" i="55" s="1"/>
  <c r="B257" i="55" s="1"/>
  <c r="B258" i="55" s="1"/>
  <c r="B259" i="55" s="1"/>
  <c r="B260" i="55" s="1"/>
  <c r="B261" i="55" s="1"/>
  <c r="B262" i="55" s="1"/>
  <c r="B263" i="55" s="1"/>
  <c r="B264" i="55" s="1"/>
  <c r="B265" i="55" s="1"/>
  <c r="B266" i="55" s="1"/>
  <c r="B267" i="55" s="1"/>
  <c r="B268" i="55" s="1"/>
  <c r="B269" i="55" s="1"/>
  <c r="B270" i="55" s="1"/>
  <c r="B271" i="55" s="1"/>
  <c r="B272" i="55" s="1"/>
  <c r="B273" i="55" s="1"/>
  <c r="B274" i="55" s="1"/>
  <c r="B275" i="55" s="1"/>
  <c r="B276" i="55" s="1"/>
  <c r="B277" i="55" s="1"/>
  <c r="B278" i="55" s="1"/>
  <c r="E243" i="55"/>
  <c r="G243" i="55" s="1"/>
  <c r="I243" i="55" s="1"/>
  <c r="K243" i="55" s="1"/>
  <c r="M243" i="55" s="1"/>
  <c r="O243" i="55" s="1"/>
  <c r="Q243" i="55" s="1"/>
  <c r="S243" i="55" s="1"/>
  <c r="U243" i="55" s="1"/>
  <c r="W243" i="55" s="1"/>
  <c r="Y243" i="55" s="1"/>
  <c r="AA243" i="55" s="1"/>
  <c r="AC243" i="55" s="1"/>
  <c r="AE243" i="55" s="1"/>
  <c r="AG243" i="55" s="1"/>
  <c r="AI243" i="55" s="1"/>
  <c r="B199" i="55"/>
  <c r="B200" i="55" s="1"/>
  <c r="B201" i="55" s="1"/>
  <c r="B202" i="55" s="1"/>
  <c r="B203" i="55" s="1"/>
  <c r="B204" i="55" s="1"/>
  <c r="B205" i="55" s="1"/>
  <c r="B206" i="55" s="1"/>
  <c r="B207" i="55" s="1"/>
  <c r="B208" i="55" s="1"/>
  <c r="B209" i="55" s="1"/>
  <c r="B210" i="55" s="1"/>
  <c r="B211" i="55" s="1"/>
  <c r="B212" i="55" s="1"/>
  <c r="B213" i="55" s="1"/>
  <c r="B214" i="55" s="1"/>
  <c r="B215" i="55" s="1"/>
  <c r="B216" i="55" s="1"/>
  <c r="B217" i="55" s="1"/>
  <c r="B218" i="55" s="1"/>
  <c r="B219" i="55" s="1"/>
  <c r="B220" i="55" s="1"/>
  <c r="B221" i="55" s="1"/>
  <c r="B222" i="55" s="1"/>
  <c r="B223" i="55" s="1"/>
  <c r="B224" i="55" s="1"/>
  <c r="B225" i="55" s="1"/>
  <c r="B226" i="55" s="1"/>
  <c r="B227" i="55" s="1"/>
  <c r="B228" i="55" s="1"/>
  <c r="B229" i="55" s="1"/>
  <c r="B230" i="55" s="1"/>
  <c r="B231" i="55" s="1"/>
  <c r="B232" i="55" s="1"/>
  <c r="B233" i="55" s="1"/>
  <c r="B234" i="55" s="1"/>
  <c r="E196" i="55"/>
  <c r="G196" i="55" s="1"/>
  <c r="I196" i="55" s="1"/>
  <c r="K196" i="55" s="1"/>
  <c r="M196" i="55" s="1"/>
  <c r="O196" i="55" s="1"/>
  <c r="Q196" i="55" s="1"/>
  <c r="S196" i="55" s="1"/>
  <c r="U196" i="55" s="1"/>
  <c r="W196" i="55" s="1"/>
  <c r="Y196" i="55" s="1"/>
  <c r="AA196" i="55" s="1"/>
  <c r="AC196" i="55" s="1"/>
  <c r="AE196" i="55" s="1"/>
  <c r="AG196" i="55" s="1"/>
  <c r="AI196" i="55" s="1"/>
  <c r="B152" i="55"/>
  <c r="B153" i="55" s="1"/>
  <c r="B154" i="55" s="1"/>
  <c r="B155" i="55" s="1"/>
  <c r="B156" i="55" s="1"/>
  <c r="B157" i="55" s="1"/>
  <c r="B158" i="55" s="1"/>
  <c r="B159" i="55" s="1"/>
  <c r="B160" i="55" s="1"/>
  <c r="B161" i="55" s="1"/>
  <c r="B162" i="55" s="1"/>
  <c r="B163" i="55" s="1"/>
  <c r="B164" i="55" s="1"/>
  <c r="B165" i="55" s="1"/>
  <c r="B166" i="55" s="1"/>
  <c r="B167" i="55" s="1"/>
  <c r="B168" i="55" s="1"/>
  <c r="B169" i="55" s="1"/>
  <c r="B170" i="55" s="1"/>
  <c r="B171" i="55" s="1"/>
  <c r="B172" i="55" s="1"/>
  <c r="B173" i="55" s="1"/>
  <c r="B174" i="55" s="1"/>
  <c r="B175" i="55" s="1"/>
  <c r="B176" i="55" s="1"/>
  <c r="B177" i="55" s="1"/>
  <c r="B178" i="55" s="1"/>
  <c r="B179" i="55" s="1"/>
  <c r="B180" i="55" s="1"/>
  <c r="B181" i="55" s="1"/>
  <c r="B182" i="55" s="1"/>
  <c r="B183" i="55" s="1"/>
  <c r="B184" i="55" s="1"/>
  <c r="B185" i="55" s="1"/>
  <c r="B186" i="55" s="1"/>
  <c r="B187" i="55" s="1"/>
  <c r="E149" i="55"/>
  <c r="G149" i="55" s="1"/>
  <c r="I149" i="55" s="1"/>
  <c r="K149" i="55" s="1"/>
  <c r="M149" i="55" s="1"/>
  <c r="O149" i="55" s="1"/>
  <c r="Q149" i="55" s="1"/>
  <c r="S149" i="55" s="1"/>
  <c r="U149" i="55" s="1"/>
  <c r="W149" i="55" s="1"/>
  <c r="Y149" i="55" s="1"/>
  <c r="AA149" i="55" s="1"/>
  <c r="AC149" i="55" s="1"/>
  <c r="AE149" i="55" s="1"/>
  <c r="AG149" i="55" s="1"/>
  <c r="AI149" i="55" s="1"/>
  <c r="B105" i="55"/>
  <c r="B106" i="55" s="1"/>
  <c r="B107" i="55" s="1"/>
  <c r="B108" i="55" s="1"/>
  <c r="B109" i="55" s="1"/>
  <c r="B110" i="55" s="1"/>
  <c r="B111" i="55" s="1"/>
  <c r="B112" i="55" s="1"/>
  <c r="B113" i="55" s="1"/>
  <c r="B114" i="55" s="1"/>
  <c r="B115" i="55" s="1"/>
  <c r="B116" i="55" s="1"/>
  <c r="B117" i="55" s="1"/>
  <c r="B118" i="55" s="1"/>
  <c r="B119" i="55" s="1"/>
  <c r="B120" i="55" s="1"/>
  <c r="B121" i="55" s="1"/>
  <c r="B122" i="55" s="1"/>
  <c r="B123" i="55" s="1"/>
  <c r="B124" i="55" s="1"/>
  <c r="B125" i="55" s="1"/>
  <c r="B126" i="55" s="1"/>
  <c r="B127" i="55" s="1"/>
  <c r="B128" i="55" s="1"/>
  <c r="B129" i="55" s="1"/>
  <c r="B130" i="55" s="1"/>
  <c r="B131" i="55" s="1"/>
  <c r="B132" i="55" s="1"/>
  <c r="B133" i="55" s="1"/>
  <c r="B134" i="55" s="1"/>
  <c r="B135" i="55" s="1"/>
  <c r="B136" i="55" s="1"/>
  <c r="B137" i="55" s="1"/>
  <c r="B138" i="55" s="1"/>
  <c r="B139" i="55" s="1"/>
  <c r="B140" i="55" s="1"/>
  <c r="G102" i="55"/>
  <c r="I102" i="55" s="1"/>
  <c r="K102" i="55" s="1"/>
  <c r="M102" i="55" s="1"/>
  <c r="O102" i="55" s="1"/>
  <c r="Q102" i="55" s="1"/>
  <c r="S102" i="55" s="1"/>
  <c r="U102" i="55" s="1"/>
  <c r="W102" i="55" s="1"/>
  <c r="Y102" i="55" s="1"/>
  <c r="AA102" i="55" s="1"/>
  <c r="AC102" i="55" s="1"/>
  <c r="AE102" i="55" s="1"/>
  <c r="AG102" i="55" s="1"/>
  <c r="AI102" i="55" s="1"/>
  <c r="B58" i="55"/>
  <c r="B59" i="55" s="1"/>
  <c r="B60" i="55" s="1"/>
  <c r="B61" i="55" s="1"/>
  <c r="B62" i="55" s="1"/>
  <c r="B63" i="55" s="1"/>
  <c r="B64" i="55" s="1"/>
  <c r="B65" i="55" s="1"/>
  <c r="B66" i="55" s="1"/>
  <c r="B67" i="55" s="1"/>
  <c r="B68" i="55" s="1"/>
  <c r="B69" i="55" s="1"/>
  <c r="B70" i="55" s="1"/>
  <c r="B71" i="55" s="1"/>
  <c r="B72" i="55" s="1"/>
  <c r="B73" i="55" s="1"/>
  <c r="B74" i="55" s="1"/>
  <c r="B75" i="55" s="1"/>
  <c r="B76" i="55" s="1"/>
  <c r="B77" i="55" s="1"/>
  <c r="B78" i="55" s="1"/>
  <c r="B79" i="55" s="1"/>
  <c r="B80" i="55" s="1"/>
  <c r="B81" i="55" s="1"/>
  <c r="B82" i="55" s="1"/>
  <c r="B83" i="55" s="1"/>
  <c r="B84" i="55" s="1"/>
  <c r="B85" i="55" s="1"/>
  <c r="B86" i="55" s="1"/>
  <c r="B87" i="55" s="1"/>
  <c r="B88" i="55" s="1"/>
  <c r="B89" i="55" s="1"/>
  <c r="B90" i="55" s="1"/>
  <c r="B91" i="55" s="1"/>
  <c r="B92" i="55" s="1"/>
  <c r="B93" i="55" s="1"/>
  <c r="E55" i="55"/>
  <c r="G55" i="55" s="1"/>
  <c r="I55" i="55" s="1"/>
  <c r="K55" i="55" s="1"/>
  <c r="M55" i="55" s="1"/>
  <c r="O55" i="55" s="1"/>
  <c r="Q55" i="55" s="1"/>
  <c r="S55" i="55" s="1"/>
  <c r="U55" i="55" s="1"/>
  <c r="W55" i="55" s="1"/>
  <c r="Y55" i="55" s="1"/>
  <c r="AA55" i="55" s="1"/>
  <c r="AC55" i="55" s="1"/>
  <c r="AE55" i="55" s="1"/>
  <c r="AG55" i="55" s="1"/>
  <c r="AI55" i="55" s="1"/>
  <c r="B11" i="55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B33" i="55" s="1"/>
  <c r="B34" i="55" s="1"/>
  <c r="B35" i="55" s="1"/>
  <c r="B36" i="55" s="1"/>
  <c r="B37" i="55" s="1"/>
  <c r="B38" i="55" s="1"/>
  <c r="B39" i="55" s="1"/>
  <c r="B40" i="55" s="1"/>
  <c r="B41" i="55" s="1"/>
  <c r="B42" i="55" s="1"/>
  <c r="B43" i="55" s="1"/>
  <c r="B44" i="55" s="1"/>
  <c r="B45" i="55" s="1"/>
  <c r="B46" i="55" s="1"/>
  <c r="G8" i="55"/>
  <c r="I8" i="55" s="1"/>
  <c r="K8" i="55" s="1"/>
  <c r="M8" i="55" s="1"/>
  <c r="O8" i="55" s="1"/>
  <c r="Q8" i="55" s="1"/>
  <c r="S8" i="55" s="1"/>
  <c r="U8" i="55" s="1"/>
  <c r="W8" i="55" s="1"/>
  <c r="Y8" i="55" s="1"/>
  <c r="AA8" i="55" s="1"/>
  <c r="AC8" i="55" s="1"/>
  <c r="AE8" i="55" s="1"/>
  <c r="AG8" i="55" s="1"/>
  <c r="AI8" i="55" s="1"/>
  <c r="B234" i="54"/>
  <c r="B235" i="54" s="1"/>
  <c r="B236" i="54" s="1"/>
  <c r="B237" i="54" s="1"/>
  <c r="B238" i="54" s="1"/>
  <c r="B239" i="54" s="1"/>
  <c r="B240" i="54" s="1"/>
  <c r="B241" i="54" s="1"/>
  <c r="B242" i="54" s="1"/>
  <c r="B243" i="54" s="1"/>
  <c r="B244" i="54" s="1"/>
  <c r="B245" i="54" s="1"/>
  <c r="B246" i="54" s="1"/>
  <c r="B247" i="54" s="1"/>
  <c r="B248" i="54" s="1"/>
  <c r="B249" i="54" s="1"/>
  <c r="B250" i="54" s="1"/>
  <c r="B251" i="54" s="1"/>
  <c r="B252" i="54" s="1"/>
  <c r="B253" i="54" s="1"/>
  <c r="B254" i="54" s="1"/>
  <c r="B255" i="54" s="1"/>
  <c r="B256" i="54" s="1"/>
  <c r="B257" i="54" s="1"/>
  <c r="B258" i="54" s="1"/>
  <c r="B259" i="54" s="1"/>
  <c r="B260" i="54" s="1"/>
  <c r="B261" i="54" s="1"/>
  <c r="B262" i="54" s="1"/>
  <c r="B263" i="54" s="1"/>
  <c r="B264" i="54" s="1"/>
  <c r="B265" i="54" s="1"/>
  <c r="B266" i="54" s="1"/>
  <c r="B188" i="54"/>
  <c r="B189" i="54" s="1"/>
  <c r="B190" i="54" s="1"/>
  <c r="B191" i="54" s="1"/>
  <c r="B192" i="54" s="1"/>
  <c r="B193" i="54" s="1"/>
  <c r="B194" i="54" s="1"/>
  <c r="B195" i="54" s="1"/>
  <c r="B196" i="54" s="1"/>
  <c r="B197" i="54" s="1"/>
  <c r="B198" i="54" s="1"/>
  <c r="B199" i="54" s="1"/>
  <c r="B200" i="54" s="1"/>
  <c r="B201" i="54" s="1"/>
  <c r="B202" i="54" s="1"/>
  <c r="B203" i="54" s="1"/>
  <c r="B204" i="54" s="1"/>
  <c r="B205" i="54" s="1"/>
  <c r="B206" i="54" s="1"/>
  <c r="B207" i="54" s="1"/>
  <c r="B208" i="54" s="1"/>
  <c r="B209" i="54" s="1"/>
  <c r="B210" i="54" s="1"/>
  <c r="B211" i="54" s="1"/>
  <c r="B212" i="54" s="1"/>
  <c r="B213" i="54" s="1"/>
  <c r="B214" i="54" s="1"/>
  <c r="B215" i="54" s="1"/>
  <c r="B216" i="54" s="1"/>
  <c r="B217" i="54" s="1"/>
  <c r="B218" i="54" s="1"/>
  <c r="B219" i="54" s="1"/>
  <c r="B220" i="54" s="1"/>
  <c r="B221" i="54" s="1"/>
  <c r="B222" i="54" s="1"/>
  <c r="B98" i="54"/>
  <c r="B99" i="54" s="1"/>
  <c r="B100" i="54" s="1"/>
  <c r="B101" i="54" s="1"/>
  <c r="B102" i="54" s="1"/>
  <c r="B103" i="54" s="1"/>
  <c r="B104" i="54" s="1"/>
  <c r="B105" i="54" s="1"/>
  <c r="B106" i="54" s="1"/>
  <c r="B107" i="54" s="1"/>
  <c r="B108" i="54" s="1"/>
  <c r="B109" i="54" s="1"/>
  <c r="B110" i="54" s="1"/>
  <c r="B111" i="54" s="1"/>
  <c r="B112" i="54" s="1"/>
  <c r="B113" i="54" s="1"/>
  <c r="B114" i="54" s="1"/>
  <c r="B115" i="54" s="1"/>
  <c r="B116" i="54" s="1"/>
  <c r="B117" i="54" s="1"/>
  <c r="B118" i="54" s="1"/>
  <c r="B119" i="54" s="1"/>
  <c r="B120" i="54" s="1"/>
  <c r="B121" i="54" s="1"/>
  <c r="B122" i="54" s="1"/>
  <c r="B123" i="54" s="1"/>
  <c r="B124" i="54" s="1"/>
  <c r="B125" i="54" s="1"/>
  <c r="B126" i="54" s="1"/>
  <c r="B127" i="54" s="1"/>
  <c r="B128" i="54" s="1"/>
  <c r="B129" i="54" s="1"/>
  <c r="B130" i="54" s="1"/>
  <c r="B131" i="54" s="1"/>
  <c r="B132" i="54" s="1"/>
  <c r="B133" i="54" s="1"/>
  <c r="B250" i="51"/>
  <c r="B251" i="51" s="1"/>
  <c r="B252" i="51" s="1"/>
  <c r="B253" i="51" s="1"/>
  <c r="B254" i="51" s="1"/>
  <c r="B255" i="51" s="1"/>
  <c r="B256" i="51" s="1"/>
  <c r="B257" i="51" s="1"/>
  <c r="B258" i="51" s="1"/>
  <c r="B259" i="51" s="1"/>
  <c r="B260" i="51" s="1"/>
  <c r="B261" i="51" s="1"/>
  <c r="B262" i="51" s="1"/>
  <c r="B263" i="51" s="1"/>
  <c r="B264" i="51" s="1"/>
  <c r="B265" i="51" s="1"/>
  <c r="B266" i="51" s="1"/>
  <c r="B267" i="51" s="1"/>
  <c r="B268" i="51" s="1"/>
  <c r="B269" i="51" s="1"/>
  <c r="B270" i="51" s="1"/>
  <c r="B271" i="51" s="1"/>
  <c r="B272" i="51" s="1"/>
  <c r="B273" i="51" s="1"/>
  <c r="B274" i="51" s="1"/>
  <c r="B275" i="51" s="1"/>
  <c r="B276" i="51" s="1"/>
  <c r="B277" i="51" s="1"/>
  <c r="B278" i="51" s="1"/>
  <c r="B279" i="51" s="1"/>
  <c r="B202" i="51"/>
  <c r="B203" i="51" s="1"/>
  <c r="B204" i="51" s="1"/>
  <c r="B205" i="51" s="1"/>
  <c r="B206" i="51" s="1"/>
  <c r="B207" i="51" s="1"/>
  <c r="B208" i="51" s="1"/>
  <c r="B209" i="51" s="1"/>
  <c r="B210" i="51" s="1"/>
  <c r="B211" i="51" s="1"/>
  <c r="B212" i="51" s="1"/>
  <c r="B213" i="51" s="1"/>
  <c r="B214" i="51" s="1"/>
  <c r="B215" i="51" s="1"/>
  <c r="B216" i="51" s="1"/>
  <c r="B217" i="51" s="1"/>
  <c r="B218" i="51" s="1"/>
  <c r="B219" i="51" s="1"/>
  <c r="B220" i="51" s="1"/>
  <c r="B221" i="51" s="1"/>
  <c r="B222" i="51" s="1"/>
  <c r="B223" i="51" s="1"/>
  <c r="B224" i="51" s="1"/>
  <c r="B225" i="51" s="1"/>
  <c r="B226" i="51" s="1"/>
  <c r="B227" i="51" s="1"/>
  <c r="B228" i="51" s="1"/>
  <c r="B229" i="51" s="1"/>
  <c r="B230" i="51" s="1"/>
  <c r="B231" i="51" s="1"/>
  <c r="B232" i="51" s="1"/>
  <c r="B233" i="51" s="1"/>
  <c r="B234" i="51" s="1"/>
  <c r="B235" i="51" s="1"/>
  <c r="B236" i="51" s="1"/>
  <c r="B237" i="51" s="1"/>
  <c r="B238" i="51" s="1"/>
  <c r="B239" i="51" s="1"/>
  <c r="B155" i="51"/>
  <c r="B156" i="51" s="1"/>
  <c r="B157" i="51" s="1"/>
  <c r="B158" i="51" s="1"/>
  <c r="B159" i="51" s="1"/>
  <c r="B160" i="51" s="1"/>
  <c r="B161" i="51" s="1"/>
  <c r="B162" i="51" s="1"/>
  <c r="B163" i="51" s="1"/>
  <c r="B164" i="51" s="1"/>
  <c r="B165" i="51" s="1"/>
  <c r="B166" i="51" s="1"/>
  <c r="B167" i="51" s="1"/>
  <c r="B168" i="51" s="1"/>
  <c r="B169" i="51" s="1"/>
  <c r="B170" i="51" s="1"/>
  <c r="B171" i="51" s="1"/>
  <c r="B172" i="51" s="1"/>
  <c r="B173" i="51" s="1"/>
  <c r="B174" i="51" s="1"/>
  <c r="B175" i="51" s="1"/>
  <c r="B176" i="51" s="1"/>
  <c r="B177" i="51" s="1"/>
  <c r="B178" i="51" s="1"/>
  <c r="B179" i="51" s="1"/>
  <c r="B180" i="51" s="1"/>
  <c r="B181" i="51" s="1"/>
  <c r="B182" i="51" s="1"/>
  <c r="B183" i="51" s="1"/>
  <c r="B184" i="51" s="1"/>
  <c r="B185" i="51" s="1"/>
  <c r="B186" i="51" s="1"/>
  <c r="B187" i="51" s="1"/>
  <c r="B188" i="51" s="1"/>
  <c r="B189" i="51" s="1"/>
  <c r="B190" i="51" s="1"/>
  <c r="B191" i="51" s="1"/>
  <c r="B106" i="51"/>
  <c r="B107" i="51" s="1"/>
  <c r="B108" i="51" s="1"/>
  <c r="B109" i="51" s="1"/>
  <c r="B110" i="51" s="1"/>
  <c r="B111" i="51" s="1"/>
  <c r="B112" i="51" s="1"/>
  <c r="B113" i="51" s="1"/>
  <c r="B114" i="51" s="1"/>
  <c r="B115" i="51" s="1"/>
  <c r="B116" i="51" s="1"/>
  <c r="B117" i="51" s="1"/>
  <c r="B118" i="51" s="1"/>
  <c r="B119" i="51" s="1"/>
  <c r="B120" i="51" s="1"/>
  <c r="B121" i="51" s="1"/>
  <c r="B122" i="51" s="1"/>
  <c r="B123" i="51" s="1"/>
  <c r="B125" i="51" s="1"/>
  <c r="B126" i="51" s="1"/>
  <c r="B127" i="51" s="1"/>
  <c r="B128" i="51" s="1"/>
  <c r="B129" i="51" s="1"/>
  <c r="B130" i="51" s="1"/>
  <c r="B131" i="51" s="1"/>
  <c r="B132" i="51" s="1"/>
  <c r="B133" i="51" s="1"/>
  <c r="B134" i="51" s="1"/>
  <c r="B135" i="51" s="1"/>
  <c r="B136" i="51" s="1"/>
  <c r="B137" i="51" s="1"/>
  <c r="B138" i="51" s="1"/>
  <c r="B139" i="51" s="1"/>
  <c r="B140" i="51" s="1"/>
  <c r="B141" i="51" s="1"/>
  <c r="B142" i="51" s="1"/>
  <c r="B143" i="51" s="1"/>
  <c r="E306" i="47"/>
  <c r="G306" i="47" s="1"/>
  <c r="I306" i="47" s="1"/>
  <c r="K306" i="47" s="1"/>
  <c r="M306" i="47" s="1"/>
  <c r="O306" i="47" s="1"/>
  <c r="Q306" i="47" s="1"/>
  <c r="S306" i="47" s="1"/>
  <c r="U306" i="47" s="1"/>
  <c r="W306" i="47" s="1"/>
  <c r="Y306" i="47" s="1"/>
  <c r="AA306" i="47" s="1"/>
  <c r="AC306" i="47" s="1"/>
  <c r="AE306" i="47" s="1"/>
  <c r="AG306" i="47" s="1"/>
  <c r="AI306" i="47" s="1"/>
  <c r="B309" i="47"/>
  <c r="B310" i="47" s="1"/>
  <c r="B311" i="47" s="1"/>
  <c r="B312" i="47" s="1"/>
  <c r="B313" i="47" s="1"/>
  <c r="B314" i="47" s="1"/>
  <c r="B315" i="47" s="1"/>
  <c r="B316" i="47" s="1"/>
  <c r="B317" i="47" s="1"/>
  <c r="B318" i="47" s="1"/>
  <c r="B319" i="47" s="1"/>
  <c r="B320" i="47" s="1"/>
  <c r="B321" i="47" s="1"/>
  <c r="B322" i="47" s="1"/>
  <c r="B323" i="47" s="1"/>
  <c r="B324" i="47" s="1"/>
  <c r="B325" i="47" s="1"/>
  <c r="B326" i="47" s="1"/>
  <c r="B327" i="47" s="1"/>
  <c r="B328" i="47" s="1"/>
  <c r="B329" i="47" s="1"/>
  <c r="B330" i="47" s="1"/>
  <c r="B331" i="47" s="1"/>
  <c r="B332" i="47" s="1"/>
  <c r="B333" i="47" s="1"/>
  <c r="B334" i="47" s="1"/>
  <c r="B335" i="47" s="1"/>
  <c r="B336" i="47" s="1"/>
  <c r="B337" i="47" s="1"/>
  <c r="B338" i="47" s="1"/>
  <c r="B339" i="47" s="1"/>
  <c r="B340" i="47" s="1"/>
  <c r="B341" i="47" s="1"/>
  <c r="B342" i="47" s="1"/>
  <c r="E354" i="47"/>
  <c r="G354" i="47" s="1"/>
  <c r="I354" i="47" s="1"/>
  <c r="K354" i="47" s="1"/>
  <c r="M354" i="47" s="1"/>
  <c r="O354" i="47" s="1"/>
  <c r="Q354" i="47" s="1"/>
  <c r="S354" i="47" s="1"/>
  <c r="U354" i="47" s="1"/>
  <c r="W354" i="47" s="1"/>
  <c r="Y354" i="47" s="1"/>
  <c r="AA354" i="47" s="1"/>
  <c r="AC354" i="47" s="1"/>
  <c r="AE354" i="47" s="1"/>
  <c r="AG354" i="47" s="1"/>
  <c r="AI354" i="47" s="1"/>
  <c r="E259" i="47"/>
  <c r="G259" i="47" s="1"/>
  <c r="I259" i="47" s="1"/>
  <c r="K259" i="47" s="1"/>
  <c r="M259" i="47" s="1"/>
  <c r="O259" i="47" s="1"/>
  <c r="Q259" i="47" s="1"/>
  <c r="S259" i="47" s="1"/>
  <c r="U259" i="47" s="1"/>
  <c r="W259" i="47" s="1"/>
  <c r="Y259" i="47" s="1"/>
  <c r="AA259" i="47" s="1"/>
  <c r="AC259" i="47" s="1"/>
  <c r="AE259" i="47" s="1"/>
  <c r="AG259" i="47" s="1"/>
  <c r="AI259" i="47" s="1"/>
  <c r="E209" i="47"/>
  <c r="G209" i="47" s="1"/>
  <c r="I209" i="47" s="1"/>
  <c r="K209" i="47" s="1"/>
  <c r="M209" i="47" s="1"/>
  <c r="O209" i="47" s="1"/>
  <c r="Q209" i="47" s="1"/>
  <c r="S209" i="47" s="1"/>
  <c r="U209" i="47" s="1"/>
  <c r="W209" i="47" s="1"/>
  <c r="Y209" i="47" s="1"/>
  <c r="AA209" i="47" s="1"/>
  <c r="AC209" i="47" s="1"/>
  <c r="AE209" i="47" s="1"/>
  <c r="AG209" i="47" s="1"/>
  <c r="AI209" i="47" s="1"/>
  <c r="E159" i="47"/>
  <c r="G159" i="47" s="1"/>
  <c r="I159" i="47" s="1"/>
  <c r="K159" i="47" s="1"/>
  <c r="M159" i="47" s="1"/>
  <c r="O159" i="47" s="1"/>
  <c r="Q159" i="47" s="1"/>
  <c r="S159" i="47" s="1"/>
  <c r="U159" i="47" s="1"/>
  <c r="W159" i="47" s="1"/>
  <c r="Y159" i="47" s="1"/>
  <c r="AA159" i="47" s="1"/>
  <c r="AC159" i="47" s="1"/>
  <c r="AE159" i="47" s="1"/>
  <c r="AG159" i="47" s="1"/>
  <c r="AI159" i="47" s="1"/>
  <c r="E109" i="47"/>
  <c r="G109" i="47" s="1"/>
  <c r="I109" i="47" s="1"/>
  <c r="K109" i="47" s="1"/>
  <c r="M109" i="47" s="1"/>
  <c r="O109" i="47" s="1"/>
  <c r="Q109" i="47" s="1"/>
  <c r="S109" i="47" s="1"/>
  <c r="U109" i="47" s="1"/>
  <c r="W109" i="47" s="1"/>
  <c r="Y109" i="47" s="1"/>
  <c r="AA109" i="47" s="1"/>
  <c r="AC109" i="47" s="1"/>
  <c r="AE109" i="47" s="1"/>
  <c r="AG109" i="47" s="1"/>
  <c r="AI109" i="47" s="1"/>
  <c r="E59" i="47"/>
  <c r="G59" i="47" s="1"/>
  <c r="I59" i="47" s="1"/>
  <c r="K59" i="47" s="1"/>
  <c r="M59" i="47" s="1"/>
  <c r="O59" i="47" s="1"/>
  <c r="Q59" i="47" s="1"/>
  <c r="S59" i="47" s="1"/>
  <c r="U59" i="47" s="1"/>
  <c r="W59" i="47" s="1"/>
  <c r="Y59" i="47" s="1"/>
  <c r="AA59" i="47" s="1"/>
  <c r="AC59" i="47" s="1"/>
  <c r="AE59" i="47" s="1"/>
  <c r="AG59" i="47" s="1"/>
  <c r="AI59" i="47" s="1"/>
  <c r="B357" i="47"/>
  <c r="B358" i="47" s="1"/>
  <c r="B359" i="47" s="1"/>
  <c r="B360" i="47" s="1"/>
  <c r="B361" i="47" s="1"/>
  <c r="B362" i="47" s="1"/>
  <c r="B363" i="47" s="1"/>
  <c r="B364" i="47" s="1"/>
  <c r="B365" i="47" s="1"/>
  <c r="B366" i="47" s="1"/>
  <c r="B367" i="47" s="1"/>
  <c r="B368" i="47" s="1"/>
  <c r="B369" i="47" s="1"/>
  <c r="B370" i="47" s="1"/>
  <c r="B371" i="47" s="1"/>
  <c r="B372" i="47" s="1"/>
  <c r="B373" i="47" s="1"/>
  <c r="B374" i="47" s="1"/>
  <c r="B375" i="47" s="1"/>
  <c r="B376" i="47" s="1"/>
  <c r="B377" i="47" s="1"/>
  <c r="B378" i="47" s="1"/>
  <c r="B379" i="47" s="1"/>
  <c r="B380" i="47" s="1"/>
  <c r="B381" i="47" s="1"/>
  <c r="B382" i="47" s="1"/>
  <c r="B383" i="47" s="1"/>
  <c r="B384" i="47" s="1"/>
  <c r="B385" i="47" s="1"/>
  <c r="B386" i="47" s="1"/>
  <c r="B387" i="47" s="1"/>
  <c r="B388" i="47" s="1"/>
  <c r="B389" i="47" s="1"/>
  <c r="B390" i="47" s="1"/>
  <c r="B391" i="47" s="1"/>
  <c r="B392" i="47" s="1"/>
  <c r="B393" i="47" s="1"/>
  <c r="B262" i="47"/>
  <c r="B263" i="47" s="1"/>
  <c r="B264" i="47" s="1"/>
  <c r="B265" i="47" s="1"/>
  <c r="B266" i="47" s="1"/>
  <c r="B267" i="47" s="1"/>
  <c r="B268" i="47" s="1"/>
  <c r="B269" i="47" s="1"/>
  <c r="B270" i="47" s="1"/>
  <c r="B271" i="47" s="1"/>
  <c r="B272" i="47" s="1"/>
  <c r="B273" i="47" s="1"/>
  <c r="B274" i="47" s="1"/>
  <c r="B275" i="47" s="1"/>
  <c r="B276" i="47" s="1"/>
  <c r="B277" i="47" s="1"/>
  <c r="B278" i="47" s="1"/>
  <c r="B279" i="47" s="1"/>
  <c r="B280" i="47" s="1"/>
  <c r="B281" i="47" s="1"/>
  <c r="B282" i="47" s="1"/>
  <c r="B283" i="47" s="1"/>
  <c r="B284" i="47" s="1"/>
  <c r="B285" i="47" s="1"/>
  <c r="B286" i="47" s="1"/>
  <c r="B287" i="47" s="1"/>
  <c r="B288" i="47" s="1"/>
  <c r="B289" i="47" s="1"/>
  <c r="B212" i="47"/>
  <c r="B213" i="47" s="1"/>
  <c r="B214" i="47" s="1"/>
  <c r="B215" i="47" s="1"/>
  <c r="B216" i="47" s="1"/>
  <c r="B217" i="47" s="1"/>
  <c r="B218" i="47" s="1"/>
  <c r="B219" i="47" s="1"/>
  <c r="B220" i="47" s="1"/>
  <c r="B221" i="47" s="1"/>
  <c r="B222" i="47" s="1"/>
  <c r="B223" i="47" s="1"/>
  <c r="B224" i="47" s="1"/>
  <c r="B225" i="47" s="1"/>
  <c r="B226" i="47" s="1"/>
  <c r="B227" i="47" s="1"/>
  <c r="B228" i="47" s="1"/>
  <c r="B229" i="47" s="1"/>
  <c r="B230" i="47" s="1"/>
  <c r="B231" i="47" s="1"/>
  <c r="B232" i="47" s="1"/>
  <c r="B233" i="47" s="1"/>
  <c r="B234" i="47" s="1"/>
  <c r="B235" i="47" s="1"/>
  <c r="B236" i="47" s="1"/>
  <c r="B237" i="47" s="1"/>
  <c r="B238" i="47" s="1"/>
  <c r="B239" i="47" s="1"/>
  <c r="B240" i="47" s="1"/>
  <c r="B241" i="47" s="1"/>
  <c r="B242" i="47" s="1"/>
  <c r="B243" i="47" s="1"/>
  <c r="B162" i="47"/>
  <c r="B163" i="47" s="1"/>
  <c r="B164" i="47" s="1"/>
  <c r="B165" i="47" s="1"/>
  <c r="B166" i="47" s="1"/>
  <c r="B167" i="47" s="1"/>
  <c r="B168" i="47" s="1"/>
  <c r="B169" i="47" s="1"/>
  <c r="B170" i="47" s="1"/>
  <c r="B171" i="47" s="1"/>
  <c r="B172" i="47" s="1"/>
  <c r="B173" i="47" s="1"/>
  <c r="B174" i="47" s="1"/>
  <c r="B175" i="47" s="1"/>
  <c r="B176" i="47" s="1"/>
  <c r="B177" i="47" s="1"/>
  <c r="B178" i="47" s="1"/>
  <c r="B179" i="47" s="1"/>
  <c r="B180" i="47" s="1"/>
  <c r="B181" i="47" s="1"/>
  <c r="B182" i="47" s="1"/>
  <c r="B183" i="47" s="1"/>
  <c r="B184" i="47" s="1"/>
  <c r="B185" i="47" s="1"/>
  <c r="B186" i="47" s="1"/>
  <c r="B187" i="47" s="1"/>
  <c r="B188" i="47" s="1"/>
  <c r="B189" i="47" s="1"/>
  <c r="B190" i="47" s="1"/>
  <c r="B191" i="47" s="1"/>
  <c r="B192" i="47" s="1"/>
  <c r="B112" i="47"/>
  <c r="B113" i="47" s="1"/>
  <c r="B114" i="47" s="1"/>
  <c r="B115" i="47" s="1"/>
  <c r="B116" i="47" s="1"/>
  <c r="B117" i="47" s="1"/>
  <c r="B118" i="47" s="1"/>
  <c r="B119" i="47" s="1"/>
  <c r="B120" i="47" s="1"/>
  <c r="B121" i="47" s="1"/>
  <c r="B122" i="47" s="1"/>
  <c r="B123" i="47" s="1"/>
  <c r="B124" i="47" s="1"/>
  <c r="B125" i="47" s="1"/>
  <c r="B126" i="47" s="1"/>
  <c r="B127" i="47" s="1"/>
  <c r="B128" i="47" s="1"/>
  <c r="B129" i="47" s="1"/>
  <c r="B130" i="47" s="1"/>
  <c r="B131" i="47" s="1"/>
  <c r="B132" i="47" s="1"/>
  <c r="B133" i="47" s="1"/>
  <c r="B134" i="47" s="1"/>
  <c r="B135" i="47" s="1"/>
  <c r="B136" i="47" s="1"/>
  <c r="B137" i="47" s="1"/>
  <c r="B138" i="47" s="1"/>
  <c r="B139" i="47" s="1"/>
  <c r="B140" i="47" s="1"/>
  <c r="B141" i="47" s="1"/>
  <c r="B62" i="47"/>
  <c r="B63" i="47" s="1"/>
  <c r="B64" i="47" s="1"/>
  <c r="B65" i="47" s="1"/>
  <c r="B66" i="47" s="1"/>
  <c r="B67" i="47" s="1"/>
  <c r="B68" i="47" s="1"/>
  <c r="B69" i="47" s="1"/>
  <c r="B70" i="47" s="1"/>
  <c r="B71" i="47" s="1"/>
  <c r="B72" i="47" s="1"/>
  <c r="B73" i="47" s="1"/>
  <c r="B74" i="47" s="1"/>
  <c r="B75" i="47" s="1"/>
  <c r="B76" i="47" s="1"/>
  <c r="B77" i="47" s="1"/>
  <c r="B78" i="47" s="1"/>
  <c r="B79" i="47" s="1"/>
  <c r="B80" i="47" s="1"/>
  <c r="B81" i="47" s="1"/>
  <c r="B82" i="47" s="1"/>
  <c r="B83" i="47" s="1"/>
  <c r="B84" i="47" s="1"/>
  <c r="B85" i="47" s="1"/>
  <c r="B86" i="47" s="1"/>
  <c r="B87" i="47" s="1"/>
  <c r="B88" i="47" s="1"/>
  <c r="B89" i="47" s="1"/>
  <c r="B90" i="47" s="1"/>
  <c r="B91" i="47" s="1"/>
  <c r="B11" i="47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B33" i="47" s="1"/>
  <c r="B34" i="47" s="1"/>
  <c r="B35" i="47" s="1"/>
  <c r="B36" i="47" s="1"/>
  <c r="B37" i="47" s="1"/>
  <c r="B38" i="47" s="1"/>
  <c r="B39" i="47" s="1"/>
  <c r="B40" i="47" s="1"/>
  <c r="B41" i="47" s="1"/>
  <c r="G8" i="47"/>
  <c r="I8" i="47" s="1"/>
  <c r="K8" i="47" s="1"/>
  <c r="M8" i="47" s="1"/>
  <c r="O8" i="47" s="1"/>
  <c r="Q8" i="47" s="1"/>
  <c r="S8" i="47" s="1"/>
  <c r="U8" i="47" s="1"/>
  <c r="W8" i="47" s="1"/>
  <c r="Y8" i="47" s="1"/>
  <c r="AA8" i="47" s="1"/>
  <c r="AC8" i="47" s="1"/>
  <c r="AE8" i="47" s="1"/>
  <c r="AG8" i="47" s="1"/>
  <c r="AI8" i="47" s="1"/>
  <c r="B343" i="47" l="1"/>
  <c r="B344" i="47" s="1"/>
  <c r="B345" i="47" s="1"/>
  <c r="B290" i="47"/>
  <c r="B291" i="47" s="1"/>
  <c r="B292" i="47" s="1"/>
  <c r="B293" i="47" s="1"/>
  <c r="B294" i="47" s="1"/>
  <c r="B295" i="47" s="1"/>
  <c r="B296" i="47" s="1"/>
  <c r="B297" i="47" s="1"/>
  <c r="B244" i="47"/>
  <c r="B245" i="47" s="1"/>
  <c r="B246" i="47" s="1"/>
  <c r="B247" i="47" s="1"/>
  <c r="B248" i="47" s="1"/>
  <c r="B249" i="47" s="1"/>
  <c r="B250" i="47" s="1"/>
  <c r="B193" i="47"/>
  <c r="B194" i="47" s="1"/>
  <c r="B195" i="47" s="1"/>
  <c r="B196" i="47" s="1"/>
  <c r="B197" i="47" s="1"/>
  <c r="B198" i="47" s="1"/>
  <c r="B199" i="47" s="1"/>
  <c r="B200" i="47" s="1"/>
  <c r="B142" i="47"/>
  <c r="B143" i="47" s="1"/>
  <c r="B144" i="47" s="1"/>
  <c r="B145" i="47" s="1"/>
  <c r="B146" i="47" s="1"/>
  <c r="B147" i="47" s="1"/>
  <c r="B148" i="47" s="1"/>
  <c r="B149" i="47" s="1"/>
  <c r="B92" i="47"/>
  <c r="B93" i="47" s="1"/>
  <c r="B94" i="47" s="1"/>
  <c r="B95" i="47" s="1"/>
  <c r="B96" i="47" s="1"/>
  <c r="B97" i="47" s="1"/>
  <c r="B98" i="47" s="1"/>
  <c r="B99" i="47" s="1"/>
  <c r="B100" i="47" s="1"/>
  <c r="B42" i="47"/>
  <c r="B43" i="47" s="1"/>
  <c r="B44" i="47" s="1"/>
  <c r="B45" i="47" s="1"/>
  <c r="B46" i="47" s="1"/>
  <c r="B47" i="47" s="1"/>
  <c r="B48" i="47" s="1"/>
  <c r="B49" i="47" s="1"/>
  <c r="B50" i="4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 PRO EDUCATION</author>
  </authors>
  <commentList>
    <comment ref="D153" authorId="0" shapeId="0" xr:uid="{90063C46-09B8-43AA-8FF3-ECC83F7AE104}">
      <text>
        <r>
          <rPr>
            <b/>
            <sz val="9"/>
            <color indexed="81"/>
            <rFont val="Tahoma"/>
            <family val="2"/>
          </rPr>
          <t>WIN10 PRO EDUCATION: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 PRO EDUCATION</author>
  </authors>
  <commentList>
    <comment ref="D15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WIN10 PRO EDUCATION: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 PRO EDUCATION</author>
  </authors>
  <commentList>
    <comment ref="D143" authorId="0" shapeId="0" xr:uid="{C1B6EF8A-4833-4151-98E2-7FBDD027496B}">
      <text>
        <r>
          <rPr>
            <b/>
            <sz val="9"/>
            <color indexed="81"/>
            <rFont val="Tahoma"/>
            <family val="2"/>
          </rPr>
          <t>WIN10 PRO EDUCATION: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<sst xmlns="http://schemas.openxmlformats.org/spreadsheetml/2006/main" count="3000" uniqueCount="826">
  <si>
    <t>L</t>
  </si>
  <si>
    <t>P</t>
  </si>
  <si>
    <t xml:space="preserve">Wali Kelas   : </t>
  </si>
  <si>
    <t xml:space="preserve">DAFTAR NAMA SISWA - SISWI </t>
  </si>
  <si>
    <t>SMA A. WAHID HASYIM   TEBUIRENG JOMBANG</t>
  </si>
  <si>
    <t xml:space="preserve">Wali Kelas : </t>
  </si>
  <si>
    <t>NOMOR</t>
  </si>
  <si>
    <t>NAMA</t>
  </si>
  <si>
    <t>URUT</t>
  </si>
  <si>
    <t>N I S</t>
  </si>
  <si>
    <t>Urut</t>
  </si>
  <si>
    <t>Bulan :  __________________________</t>
  </si>
  <si>
    <t>L/P</t>
  </si>
  <si>
    <t>jam ke 1</t>
  </si>
  <si>
    <t>jam ke 5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</si>
  <si>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</si>
  <si>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</si>
  <si>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AHMAD FARIS HUSAINI</t>
  </si>
  <si>
    <t>AZZAM NAUFAL PRADIPTA DUSTIN ARY WIBOWO</t>
  </si>
  <si>
    <t>FADIL MUBAROK</t>
  </si>
  <si>
    <t>RASYA AUFA NARA HAMIDI</t>
  </si>
  <si>
    <t>ARIF KURNIAWAN</t>
  </si>
  <si>
    <t>MOCHAMMAD AGIS SALMAN ALFARITZI</t>
  </si>
  <si>
    <t>KENNARD FALAHSYAH</t>
  </si>
  <si>
    <t>MOHAMMAD YAZID HIDAYATULLOH</t>
  </si>
  <si>
    <t>MUHAMMAD ASYROF RAHMAN</t>
  </si>
  <si>
    <t>WISNU DWI PRADANA PUTRA</t>
  </si>
  <si>
    <t>IQBAL FIRDAUS AL HAMID</t>
  </si>
  <si>
    <t>MOHAMMAD BAGUS YOGA PRATAMA</t>
  </si>
  <si>
    <t>MUHAMMAD ALFARUQ SULANDRA</t>
  </si>
  <si>
    <t>OBED NABIL ROBBANI MAWARDI</t>
  </si>
  <si>
    <t>SYIHABUDDIN AHMAD HILAL</t>
  </si>
  <si>
    <t>ATTAR FAWWAZ KAMIL</t>
  </si>
  <si>
    <t>SYAFIQ HAMADI NAZWAN</t>
  </si>
  <si>
    <t>ACHMAD LUTHFIE BADRUZZAMAN</t>
  </si>
  <si>
    <t>ACHMAD TANGSI PUSIRAJA</t>
  </si>
  <si>
    <t>ANDAKA RISKI</t>
  </si>
  <si>
    <t>DIMITRI HARMAZ AL HARAMIZAH</t>
  </si>
  <si>
    <t>MOHAMAD RENDI PRASETYA</t>
  </si>
  <si>
    <t>ACHMAD RIFQI ATQI FAHMI</t>
  </si>
  <si>
    <t>DAFFA ADIB FADHLURRAHMAN</t>
  </si>
  <si>
    <t>LINGGA ADINATA MOCHTAR</t>
  </si>
  <si>
    <t>AHMAD FARHAN AL FATIH MASYHURI</t>
  </si>
  <si>
    <t>ALFANDI HADINATA</t>
  </si>
  <si>
    <t>RAFLI PANJI SETYANTO</t>
  </si>
  <si>
    <t>MUHAMMAD FATHAN WIRAGUNA</t>
  </si>
  <si>
    <t>MUHAMMAD RASYA PUTRA HASANUDIN</t>
  </si>
  <si>
    <t>ATHALLAH FACHRI PRADANA</t>
  </si>
  <si>
    <t>FAQIH AKIF ALMAGHRIBI RAHMAT</t>
  </si>
  <si>
    <t>RAFAEL ALLANA MUHAMMAD ALFARETA</t>
  </si>
  <si>
    <t>SAIF NADINDRA MUNTAHA</t>
  </si>
  <si>
    <t>AHMAD FAUZI ARDHIANSYAH</t>
  </si>
  <si>
    <t>AHMED TANGGUH MAULANA FIRDAUS</t>
  </si>
  <si>
    <t>MUHAMMAD ZAKIY ASH-SHABI</t>
  </si>
  <si>
    <t>ZHAHER HISMAYA</t>
  </si>
  <si>
    <t>FARHAN AFIF ADIANSYAH</t>
  </si>
  <si>
    <t>AKMALUL HIDAYAT FUADZAM SHAH</t>
  </si>
  <si>
    <t>RADEN ATHYLA PASHA AL HADI</t>
  </si>
  <si>
    <t>KUKUH WICAKSONO</t>
  </si>
  <si>
    <t>IBRA HAIDAR ALI</t>
  </si>
  <si>
    <t>MIFTAH GHANI AGATA</t>
  </si>
  <si>
    <t>MAULANA RAFI AZIZ</t>
  </si>
  <si>
    <t>MUHAMMAD HAFIZH BINTANG</t>
  </si>
  <si>
    <t>RAFFI NUR RAHMAT</t>
  </si>
  <si>
    <t>RIDHO MAULANA RIFA'I</t>
  </si>
  <si>
    <t>LINTANG CAHYA PUTRA</t>
  </si>
  <si>
    <t>ABDULLAH ZACKY IRZA</t>
  </si>
  <si>
    <t>AHMAD HILMAN WIBAWA PUTRA HIDAYAT</t>
  </si>
  <si>
    <t>HAIDAR ALI ZAMANI</t>
  </si>
  <si>
    <t>HAMMAM MUMTAZA</t>
  </si>
  <si>
    <t>AZRI HAZIQ KAMIL</t>
  </si>
  <si>
    <t>FATHURROHMAN</t>
  </si>
  <si>
    <t>MUHAMMAD FAHMI AMIRULLAH</t>
  </si>
  <si>
    <t>M. NUR HASAN</t>
  </si>
  <si>
    <t>MOH SOLEH</t>
  </si>
  <si>
    <t>MUHAMMAD BANO TAZAKKA</t>
  </si>
  <si>
    <t>MUHAMMAD SAYYID PANATAGAMA</t>
  </si>
  <si>
    <t>MUHAMMAD VARDHAN SAPUTRA</t>
  </si>
  <si>
    <t>NABIL MUHAMMAD</t>
  </si>
  <si>
    <t>RANGGA BAGUS SUCIPTO</t>
  </si>
  <si>
    <t>MOCHAMMAD RAYHAN RAHMATULLOH</t>
  </si>
  <si>
    <t>RAHMAT ZAKIY HAMDANI</t>
  </si>
  <si>
    <t>RAIHAN IKHSANUL ZHAFRAN</t>
  </si>
  <si>
    <t>MUMTAZ IRFAN YUSRO</t>
  </si>
  <si>
    <t>AHMAD MAULANA ISHAQ</t>
  </si>
  <si>
    <t>MUHAMMAD FAIZ KHATAMI BALLETI</t>
  </si>
  <si>
    <t>AHMAD RAJABI</t>
  </si>
  <si>
    <t>DEFTIAN RIKO PRADITA</t>
  </si>
  <si>
    <t>FAJRUL AKBAR</t>
  </si>
  <si>
    <t>FAUZI MIFTAH PURNASATRIA</t>
  </si>
  <si>
    <t>IFTIKHAR AMMAR FAIZ</t>
  </si>
  <si>
    <t>KEY MAS NAZIEF ELFADA</t>
  </si>
  <si>
    <t>MUHAMMAD FAHRI BAIHAQI</t>
  </si>
  <si>
    <t>MUHAMMAD NABIL FARHAN</t>
  </si>
  <si>
    <t>MUHAMMAD RAFIE MAHESWARA</t>
  </si>
  <si>
    <t>ISNAN ARI NUGROHO</t>
  </si>
  <si>
    <t>JAVIER AKHMAD FAIZAL</t>
  </si>
  <si>
    <t>MUHAMMAD KEVIN HIDAYATULLAH</t>
  </si>
  <si>
    <t>RAKHE ABDI RAMADHAN</t>
  </si>
  <si>
    <t>RAZIEL AHMAD ALBANI</t>
  </si>
  <si>
    <t>ACHMAD HISYAM AZIZI PRAKOSO</t>
  </si>
  <si>
    <t>AHMAD FELANI NAJMI ZAHRON</t>
  </si>
  <si>
    <t>FULVIANO CAHYA MAULANA</t>
  </si>
  <si>
    <t>MOHAMMAD FAJAR SATRIO NUGROHO</t>
  </si>
  <si>
    <t>MUHAMMAD ZIKRIYA RAMADHANDI</t>
  </si>
  <si>
    <t>NAUFAL PUTRA SAMUDRA</t>
  </si>
  <si>
    <t>SEFYNES BIANDA SATARENA</t>
  </si>
  <si>
    <t>AMIRA BINTANG PUTRI ANANTA</t>
  </si>
  <si>
    <t>MUFIYATUL ISTIQOMAH</t>
  </si>
  <si>
    <t>PUTRI ELSA ANGGRAINI</t>
  </si>
  <si>
    <t>SHINTA RAHMA AZIZAH</t>
  </si>
  <si>
    <t>KHEISYA NOVTHALYLA BAMBANG</t>
  </si>
  <si>
    <t>RIYA FITHRI AZ ZAHROH</t>
  </si>
  <si>
    <t>NAILATUL MUNA</t>
  </si>
  <si>
    <t>AULIA RESTY INDIERA PUTRI</t>
  </si>
  <si>
    <t>DEA NURHANIFA</t>
  </si>
  <si>
    <t>DAYU NAJWA MINHAJA</t>
  </si>
  <si>
    <t>AISYAH ANANDA YUNITA SARI</t>
  </si>
  <si>
    <t>SHARIVA AQILA SAJIDA ALVI</t>
  </si>
  <si>
    <t>RAHIEL LAYYA LIYUDZA</t>
  </si>
  <si>
    <t>MAIDAH INSANI KHARIMAH</t>
  </si>
  <si>
    <t>AISYAH CITRA ANGEL</t>
  </si>
  <si>
    <t>GITA JAZA'ANIL HUSNA</t>
  </si>
  <si>
    <t>NAURA ZAHIN ASSYIFANI</t>
  </si>
  <si>
    <t>AWA NAJWA ULA</t>
  </si>
  <si>
    <t>ASIAH NAZMIN LATHIFAH HAMID</t>
  </si>
  <si>
    <t>KIRANA PUTRI ASMARANI</t>
  </si>
  <si>
    <t>ZERRIN KHALILA FATIKHATUL 'IZZA</t>
  </si>
  <si>
    <t>KHOLBITA ZAHRA</t>
  </si>
  <si>
    <t>SHYRNA INDAKA AULIA</t>
  </si>
  <si>
    <t>ZAHIRA TALITA ATHIFA</t>
  </si>
  <si>
    <t>SISKA AMELIA</t>
  </si>
  <si>
    <t>KAILAZAHRA LAZUARDANI</t>
  </si>
  <si>
    <t>YASMIN ALTHAFUNNISA</t>
  </si>
  <si>
    <t>LUQMANA ILMA AZZAHRA</t>
  </si>
  <si>
    <t>DZAKIYAH AFIFATUNISA</t>
  </si>
  <si>
    <t>TSAABITAH BRILLIANT CHOLISTIE</t>
  </si>
  <si>
    <t>RIA SELVIA DEWI</t>
  </si>
  <si>
    <t>ZAHROTUL FITRI KHASANAH</t>
  </si>
  <si>
    <t>ALIEFTA AININ QOLBI</t>
  </si>
  <si>
    <t>GANDHES JANITRA MUNANDAR</t>
  </si>
  <si>
    <t>RINA FITRI RAHAYU</t>
  </si>
  <si>
    <t>SYARIFATUL AULIA ISMAYATEN</t>
  </si>
  <si>
    <t>AUFA ANGGUN FAYYADHAH</t>
  </si>
  <si>
    <t>DILLA KHOIROTUZZAHRA</t>
  </si>
  <si>
    <t>ZAHWA ALMIRA TUNGGA DEWI</t>
  </si>
  <si>
    <t>KHAYLA AISYA HERMAWAN</t>
  </si>
  <si>
    <t>HANIFA HAYATI</t>
  </si>
  <si>
    <t>APRILIA LUSIANA LESTARI</t>
  </si>
  <si>
    <t>YUMNA AMELIA PUTRI</t>
  </si>
  <si>
    <t>ROBIATUL ADAWIYAH</t>
  </si>
  <si>
    <t>NAHDAH AULYA KUSUMA WARDANI</t>
  </si>
  <si>
    <t>ELYZIA QHUTTRONADA MUAFIROH</t>
  </si>
  <si>
    <t>WILDA FARICHA NUR KAMALIA</t>
  </si>
  <si>
    <t>AISYAH NABILA ZAHRA</t>
  </si>
  <si>
    <t>NAJWA KHOFIFAH DEVANTI</t>
  </si>
  <si>
    <t>NASJWA AUBREY CLEARITA</t>
  </si>
  <si>
    <t>JELITA NANDA SABELA</t>
  </si>
  <si>
    <t>INTAN DWI MAHARANI</t>
  </si>
  <si>
    <t>RIRIN RAHMAWATI</t>
  </si>
  <si>
    <t>KIRANIA NUR FATIMATUZZAHROH</t>
  </si>
  <si>
    <t>KHANSA ANNIKA FATIN</t>
  </si>
  <si>
    <t>SABRINA HAYA ANNUFUS</t>
  </si>
  <si>
    <t>AFINA SAVA RUSYDA</t>
  </si>
  <si>
    <t>AZKA ADZKIYAH</t>
  </si>
  <si>
    <t>AULIN VENNESA VERONIXA</t>
  </si>
  <si>
    <t>AMANTA IBTISAM ERIAN MUMTAZ</t>
  </si>
  <si>
    <t>AQILA FARASA KHANZA JA'CUB</t>
  </si>
  <si>
    <t>CARREL YUMNALIA RAMADHANI WURIANSYAH</t>
  </si>
  <si>
    <t>AQILA</t>
  </si>
  <si>
    <t>ARIFAH NUR ZAHRAH MH</t>
  </si>
  <si>
    <t>RATU VANESSHA YUI MUSTIKA</t>
  </si>
  <si>
    <t>ALYA RIFDA MOZAHRA</t>
  </si>
  <si>
    <t>ATHIRA NAURAVI EL SYAKIRA</t>
  </si>
  <si>
    <t>RACHMA AULIA ZILMI KAFAH</t>
  </si>
  <si>
    <t>ZAHRA AMELIA RAHMAN</t>
  </si>
  <si>
    <t>ZAHRA TALITA DZAKIRA</t>
  </si>
  <si>
    <t>AISYAH NABILATUL NUR SARIROH</t>
  </si>
  <si>
    <t>SALSABILA AZ ZAHRA</t>
  </si>
  <si>
    <t>ADINDA BILQIST AINIYA FURHA</t>
  </si>
  <si>
    <t>FATINATUR ROFI'AH SABITA HADI</t>
  </si>
  <si>
    <t>SYAFIRANIDA IKHWAN</t>
  </si>
  <si>
    <t>GANES ANINDYA</t>
  </si>
  <si>
    <t>REHANA KHOLIDA AZ-ZAHRA</t>
  </si>
  <si>
    <t>TATA AZEEZA</t>
  </si>
  <si>
    <t>KAEYSA AMIRA FALEEHA</t>
  </si>
  <si>
    <t>HAYA MUTIA LIES NABILAH</t>
  </si>
  <si>
    <t>NEYSA RAYA ZANETA</t>
  </si>
  <si>
    <t>NITA NURDIANA</t>
  </si>
  <si>
    <t>JASMINE AULIA RAHMAN</t>
  </si>
  <si>
    <t>JESIKA KIRANA LARASATI</t>
  </si>
  <si>
    <t>YOVI ASTINA HERNAWATI</t>
  </si>
  <si>
    <t>DEFINCA PERMATA WIRAHAYUNINGRAT</t>
  </si>
  <si>
    <t>GIFA AHLA AMFATA</t>
  </si>
  <si>
    <t>DESRINA RISMA SAFIRA</t>
  </si>
  <si>
    <t>RIZKA ZAHRIL AULIA</t>
  </si>
  <si>
    <t>HABIBATI NASYWA SALSABILA</t>
  </si>
  <si>
    <t>AFIFAH NUR FADHILAH</t>
  </si>
  <si>
    <t>SAKINA NURUS SALMA</t>
  </si>
  <si>
    <t>HAFNA ILMI NAFISAH MAS'UD</t>
  </si>
  <si>
    <t>DYANDRA SHAQIINA WIDYARINI</t>
  </si>
  <si>
    <t>QAMARINA NAFISA FAIRUZ AHMADI</t>
  </si>
  <si>
    <t>NABILA SYIFA RAMZIYYAH</t>
  </si>
  <si>
    <t>AZKALUNA NARESWARI AISHA FARDANI</t>
  </si>
  <si>
    <t>INDRIANI PRITANA</t>
  </si>
  <si>
    <t>KEISYA SHOFWA SHAFIRA</t>
  </si>
  <si>
    <t>SITI ATMINAH HASNI</t>
  </si>
  <si>
    <t>RAVITA PUTRI ANGKASA</t>
  </si>
  <si>
    <t>CALYA WIDYA PUTRI WIBOWO</t>
  </si>
  <si>
    <t>CYNTHIA CAMILLA PUTRI ALISYAHBANA</t>
  </si>
  <si>
    <t>VALENTINO DANIEL SETYAWAN</t>
  </si>
  <si>
    <t>MUHAMMAD RAYHAN HIDAYATULLOH</t>
  </si>
  <si>
    <t>MUHAMMAD ZAHID HIBATULLOH</t>
  </si>
  <si>
    <t>MOCH. HABIBURROHMAN AL ASAD</t>
  </si>
  <si>
    <t>MUHAMMAD AZKA AL-FIRDAUS</t>
  </si>
  <si>
    <t>ANTONI BAYU PRASETYO</t>
  </si>
  <si>
    <t>KEEFE ATHALLAH RUIZHI</t>
  </si>
  <si>
    <t>RADINKA RIDHO ZAIDAN</t>
  </si>
  <si>
    <t>RESYA MAULANA ATHO'ILLAH</t>
  </si>
  <si>
    <t>ANDIKA SETYA FIRMANSYAH ADINA PUTRA</t>
  </si>
  <si>
    <t>MAULALHAQ ALFATIH</t>
  </si>
  <si>
    <t>MUHAMMAD AL-AKBAR KANZUL KAHFI</t>
  </si>
  <si>
    <t>MIRZA ANDI ALVIAN</t>
  </si>
  <si>
    <t>MUHAMMAD FAHRUL AMIRUL JABBAR</t>
  </si>
  <si>
    <t>NAJIB ALI AHNAF</t>
  </si>
  <si>
    <t>HASBI FATURROHMAN</t>
  </si>
  <si>
    <t>M. THOHA KHOIRIL ANAM</t>
  </si>
  <si>
    <t>AKMAL RIDHO HIBATULLOH</t>
  </si>
  <si>
    <t>FACHRY TEGUH RAMADHAN</t>
  </si>
  <si>
    <t>WULAN NOVITA AYU WINDARI</t>
  </si>
  <si>
    <t>M. ARDHANI AL KATTANY</t>
  </si>
  <si>
    <t>MUHAMMAD KAYYIS ZAINI</t>
  </si>
  <si>
    <t>NAUFALELSA MA'ARIF</t>
  </si>
  <si>
    <t>M. HAFIZ AKBAR PUTRA NADELFA</t>
  </si>
  <si>
    <t>MOH ANDIKA AZMI ALTHOF</t>
  </si>
  <si>
    <t>NI'AM MILLAH YASIN</t>
  </si>
  <si>
    <t>THORIQ AL FARIDZI DZULFIKAR WIBOWO</t>
  </si>
  <si>
    <t>MOCH. ARINAL HAQ MUSLIH</t>
  </si>
  <si>
    <t>MAULANA 'ABDURRAHMAN</t>
  </si>
  <si>
    <t>MOCH. HAVIS YAHYA</t>
  </si>
  <si>
    <t>MUHAMMAD RAFIIF ARABIYYU MU'ANNAS</t>
  </si>
  <si>
    <t>MUHAMMAD ZAFIR HAIKAL</t>
  </si>
  <si>
    <t>TB ARYA ZAKY AL-GHIFARI</t>
  </si>
  <si>
    <t>AZZALFA MA'RIFATUL 'AZIZAH</t>
  </si>
  <si>
    <t>DESY ANA KUSUMA AYU</t>
  </si>
  <si>
    <t>NI'MATUS SHOLICHAH</t>
  </si>
  <si>
    <t>RICHA SILVIE AL-FATH</t>
  </si>
  <si>
    <t>KINZA ALHAM PURWADI</t>
  </si>
  <si>
    <t xml:space="preserve">     </t>
  </si>
  <si>
    <t>KELAS : XII .1</t>
  </si>
  <si>
    <t>KELAS : XII . 2</t>
  </si>
  <si>
    <t>KELAS : XII . 3</t>
  </si>
  <si>
    <t>KELAS : XII . 4</t>
  </si>
  <si>
    <t>KELAS : XII . 5</t>
  </si>
  <si>
    <t>KELAS : XII . 6</t>
  </si>
  <si>
    <t>KELAS : XII . 7</t>
  </si>
  <si>
    <t>KELAS : XII . 8</t>
  </si>
  <si>
    <t>AHMAD DAIROBI</t>
  </si>
  <si>
    <t>AHMAD WILDAN NUGROHO</t>
  </si>
  <si>
    <t>AL MULTAZAM YAHYA MUNDHORY</t>
  </si>
  <si>
    <t>ALVIN MASYKUR</t>
  </si>
  <si>
    <t>ANANDA RISCO RAMADANI</t>
  </si>
  <si>
    <t>ANDANA ATTARIKSA</t>
  </si>
  <si>
    <t>ASKAR ADELARD PATU CAHYONO</t>
  </si>
  <si>
    <t>FARROS ARKAN XAVIER FADLI</t>
  </si>
  <si>
    <t>FATHAHILLAH KHOLIQ FURQANI</t>
  </si>
  <si>
    <t>GHAFARA JAZILO SAPUTRO</t>
  </si>
  <si>
    <t>GIAN ADINATA PRATAMA</t>
  </si>
  <si>
    <t>IBRA NUR KHOLIK</t>
  </si>
  <si>
    <t>IMAM HAKIKI</t>
  </si>
  <si>
    <t>M. FITZAL ASFA MUZAKFAR</t>
  </si>
  <si>
    <t>MAHESA PUTRA</t>
  </si>
  <si>
    <t>MAULANA MARZUQ RIDWANUSSALAM</t>
  </si>
  <si>
    <t>MOH. ALFAN FAHRIZA</t>
  </si>
  <si>
    <t>MOHAMMAD ROSIKHUL ILMY NABAWI</t>
  </si>
  <si>
    <t>MUHAMAD DZAKI DWI PRAYOGA</t>
  </si>
  <si>
    <t>MUHAMMAD ABDUL FAIQ</t>
  </si>
  <si>
    <t>MUHAMMAD ADIB ALBASID</t>
  </si>
  <si>
    <t>MUHAMMAD HANAFI</t>
  </si>
  <si>
    <t>MUHAMMAD IQBAL UBAYDILLAH</t>
  </si>
  <si>
    <t>MUHAMMAD KEN ABI RAIHAN</t>
  </si>
  <si>
    <t>MUHAMMAD NUR IKHSAN BAITULLOH</t>
  </si>
  <si>
    <t>MUHAMMAD PANJI HERMAWAN</t>
  </si>
  <si>
    <t>SA'IF MUHAMMAD THOTI</t>
  </si>
  <si>
    <t>TOMMY HADI WINATA</t>
  </si>
  <si>
    <t>VIYAN AMAR AWALLUDIN</t>
  </si>
  <si>
    <t>AQIL AZZAH</t>
  </si>
  <si>
    <t>ACHMAD JA'FAR NAFIS AL HISYAM</t>
  </si>
  <si>
    <t>ZAHIR AVICENNA</t>
  </si>
  <si>
    <t>ABDUL KARIM KHISANI</t>
  </si>
  <si>
    <t>ACHMAD AL AQWAL FEBRIANO NAJJARSYAH</t>
  </si>
  <si>
    <t>ADHWA ENDORA</t>
  </si>
  <si>
    <t>ADNAN ABIYYU WAJDI</t>
  </si>
  <si>
    <t>ALPHARD ATHA ANDHIKA</t>
  </si>
  <si>
    <t>ALVINNATA SATRIANO</t>
  </si>
  <si>
    <t>ARRIZAL RUBY MAULID DEINDRA</t>
  </si>
  <si>
    <t>AUFAA RAKHA BAGUS PUTRA ERWANTO</t>
  </si>
  <si>
    <t>AZKA ABDUL HAKIM</t>
  </si>
  <si>
    <t>BAGAS KAMIL KHAIRAN</t>
  </si>
  <si>
    <t>BAYU ARDIYATA PRATAMA</t>
  </si>
  <si>
    <t>DAFFA DIYAULHAQ PUTRA HUDAYA</t>
  </si>
  <si>
    <t>DHOVY HUSYAIN ABDILLAH AL BURHANY</t>
  </si>
  <si>
    <t>DIMAS FAHDIANSYAH</t>
  </si>
  <si>
    <t>EYVAN JAHWAR RASYDAN</t>
  </si>
  <si>
    <t>ISHLAH ZAIDI</t>
  </si>
  <si>
    <t>KEVIN ALVIANO SAPUTRA</t>
  </si>
  <si>
    <t>M AROZY AULIA HAKIM</t>
  </si>
  <si>
    <t>MAULANA AZKA RAFIE</t>
  </si>
  <si>
    <t>MUHAMAD AMJAD ALIF</t>
  </si>
  <si>
    <t>MUHAMAD TAQI ZIAUL FIRDAUS</t>
  </si>
  <si>
    <t>MUHAMMAD CHAIDARIL KAFABIHI</t>
  </si>
  <si>
    <t>MUHAMMAD IZZUDIN PURNOMO</t>
  </si>
  <si>
    <t>MUHAMMAD LISKAT ASKHARI</t>
  </si>
  <si>
    <t>MUHAMMAD MARZUKI MUBAROK</t>
  </si>
  <si>
    <t>MUHAMMAD RIHAN AN-NURUL FIRDAUS</t>
  </si>
  <si>
    <t>MUHAMMAD RIZIEQ NAUFAL AR-RASYID</t>
  </si>
  <si>
    <t>MUHAMMAD ZUHDI SYAWALI</t>
  </si>
  <si>
    <t>RIZKI ALAMSYAH</t>
  </si>
  <si>
    <t>SANDIA DANISH SYAIFULLAH</t>
  </si>
  <si>
    <t>SHAN YARDAN REYNARD KARIM</t>
  </si>
  <si>
    <t>M. ZAHWAN AINURROFIQ</t>
  </si>
  <si>
    <t>REZKY ACHMAD FAHLEVI</t>
  </si>
  <si>
    <t>HAIKAL ZAKY IZZUDDIN</t>
  </si>
  <si>
    <t>ACHMAD CHARIRI FAZALMUTTAQI</t>
  </si>
  <si>
    <t>AHMAD KHOIRUN ALI NABIL</t>
  </si>
  <si>
    <t>ARYO IMRON FAROQ</t>
  </si>
  <si>
    <t>ATMADJA HIBRIZI MUHAMMAD</t>
  </si>
  <si>
    <t>DERAHID TRI WICAKSONO</t>
  </si>
  <si>
    <t>DJIO ARNANDO PRATAMA</t>
  </si>
  <si>
    <t>FARHAN FAJRUL MUNAWAR</t>
  </si>
  <si>
    <t>FARHAT SYAMSI EFGAN TUHEPALY</t>
  </si>
  <si>
    <t>FERIS WAHYU KURNIAWAN</t>
  </si>
  <si>
    <t>ILHAM FAUZAN ZAIN</t>
  </si>
  <si>
    <t>JAZMI NAUFAL ZHAFIR</t>
  </si>
  <si>
    <t>KHARIM ABDILLAH RAJI</t>
  </si>
  <si>
    <t>MAHDIVIEKA AHMAD JZAYDON IRWAN JUNIOR</t>
  </si>
  <si>
    <t>MICHAEL RAFA THORIQ KEMAL</t>
  </si>
  <si>
    <t>MUHAMMAD AIRLANGGA</t>
  </si>
  <si>
    <t>MUHAMMAD ALVIN AL FACHRY</t>
  </si>
  <si>
    <t>MUHAMMAD AUFA AKHDAN SHOFI</t>
  </si>
  <si>
    <t>MUHAMMAD FAHRI SUDRAJAT</t>
  </si>
  <si>
    <t>MUHAMMAD RIDHWAN ALFARIZQ</t>
  </si>
  <si>
    <t>ROBACH AKBAR MUZAKKI</t>
  </si>
  <si>
    <t>TUBAGUS AHMAD MUAYYAD MIFTAH</t>
  </si>
  <si>
    <t>WILDAN NABIHAN</t>
  </si>
  <si>
    <t>RAYHAN HAMBALI</t>
  </si>
  <si>
    <t>MUHAMMAD HAIDAR FAHMI AL-FATIH</t>
  </si>
  <si>
    <t>ACHMAD SYAUQIH RACHMAN</t>
  </si>
  <si>
    <t>ADITYA ARTHA TRIHUTAMA</t>
  </si>
  <si>
    <t>AGATHA HARIS SINATHRIA</t>
  </si>
  <si>
    <t>ANAS MAHESA BUANA</t>
  </si>
  <si>
    <t>ATHAYA FAJRUL FALAH WITJAKSONO</t>
  </si>
  <si>
    <t>BINTANG ARYA PUDANA</t>
  </si>
  <si>
    <t>EKA BAYU WICAKSONO</t>
  </si>
  <si>
    <t>ERFAN YASRAYFALDO AL FAJRI</t>
  </si>
  <si>
    <t>HAFIZ WIJAYA RAHADIAN</t>
  </si>
  <si>
    <t>HUMAM SHOLAHUDDIN AMAR</t>
  </si>
  <si>
    <t>KURNIAWAN INDRASETYA</t>
  </si>
  <si>
    <t>M. SHOLAHUDIN AL-AYYUBI</t>
  </si>
  <si>
    <t>MOH. ILHAM CAHYO NEGORO</t>
  </si>
  <si>
    <t>MUHAMAD ARIEF WICAKSONO</t>
  </si>
  <si>
    <t>MUHAMMAD AZKA ARKANUL HAQ</t>
  </si>
  <si>
    <t>MUHAMMAD DAFFA KHOIRUDDIN</t>
  </si>
  <si>
    <t>MUHAMMAD ILZAM MAFAZA</t>
  </si>
  <si>
    <t>MUHAMMAD KAISAN HADANI</t>
  </si>
  <si>
    <t>MUHAMMAD ZAENAL ABIDIN</t>
  </si>
  <si>
    <t>MUHAMMAD ZYLDAN FAZA ERZACKY</t>
  </si>
  <si>
    <t>NANDHO BRILLIANT WASKITO ABDILLA</t>
  </si>
  <si>
    <t>RAFI EKA MAULANA</t>
  </si>
  <si>
    <t>RIDHO NATA JAGAD</t>
  </si>
  <si>
    <t>TEVY IVANDER AHMAD</t>
  </si>
  <si>
    <t>WILDAN BAYU SAPUTRA</t>
  </si>
  <si>
    <t>MOHAMMAD IBRAHIM YUSUF AS-SUFI</t>
  </si>
  <si>
    <t>ZIAN FAYD MUSOFA</t>
  </si>
  <si>
    <t>ACHMAD ASYAM HABIBIE PRAKOSO</t>
  </si>
  <si>
    <t>AHMAD FAQIH MUHAJIR</t>
  </si>
  <si>
    <t>AHMAD FIRAAS</t>
  </si>
  <si>
    <t>AJSADAFAARO SANTOSO</t>
  </si>
  <si>
    <t>ALFIANSYAH RISKY MAULANA</t>
  </si>
  <si>
    <t>BIMA ABDUL ROZAK</t>
  </si>
  <si>
    <t>DIMAS AGASTYA MAHENDRA</t>
  </si>
  <si>
    <t>FACHRY AHMAD VALDANI</t>
  </si>
  <si>
    <t>GEMA ISLAM AL GHAZALI</t>
  </si>
  <si>
    <t>HAFIDZ KAHIRUL AZZAM</t>
  </si>
  <si>
    <t>IKHSAN SUSTARTO</t>
  </si>
  <si>
    <t>JOSHUA RIZQI RAHMAT</t>
  </si>
  <si>
    <t>LEO DWI SATRIA</t>
  </si>
  <si>
    <t>M. IBRA OUGUSTIUS CAHYO</t>
  </si>
  <si>
    <t>MAULANA PUTRA NURMANSYAH</t>
  </si>
  <si>
    <t>MOHAMAD GHILMAN GHOITSULBARRI</t>
  </si>
  <si>
    <t>MOHAMMAD FACHRI AFANDI</t>
  </si>
  <si>
    <t>MUH. FARHAN AL FARABY MAHENDRA</t>
  </si>
  <si>
    <t>MUHAMMAD ABIL SA'AD</t>
  </si>
  <si>
    <t>MUHAMMAD HADZIQUL AZKA</t>
  </si>
  <si>
    <t>MUHAMMAD WILDAN AZ-ZAKI</t>
  </si>
  <si>
    <t>NAUFAL MIFTAHUL SOLIHIN</t>
  </si>
  <si>
    <t>NAUFAL MIRZA AWWABI</t>
  </si>
  <si>
    <t>NUR AINUN NAJIB</t>
  </si>
  <si>
    <t>RAAKAN FAYADH MUSADDAD</t>
  </si>
  <si>
    <t>RAFFA SYIHAM WIBOWO</t>
  </si>
  <si>
    <t>REZA ZAKKI ASRA AL GHIFFAR</t>
  </si>
  <si>
    <t>SHOFWAN FAHRIZA</t>
  </si>
  <si>
    <t>WAFI AHMAD IZZUL HAQ</t>
  </si>
  <si>
    <t>ARKALIF MAULITIYO GOBIT</t>
  </si>
  <si>
    <t>AISHA ANNAFI HARIANI</t>
  </si>
  <si>
    <t>ANA NAILA RIF'ATIN NISA</t>
  </si>
  <si>
    <t>ANDINI ZULFA</t>
  </si>
  <si>
    <t>ARINA RAHMATIKA KAYYISAH</t>
  </si>
  <si>
    <t>ARTAVIA DWI ANGGRAINI</t>
  </si>
  <si>
    <t>ISYATUN RODIYA</t>
  </si>
  <si>
    <t>ITA IFTITAHUS SAGHOFAH</t>
  </si>
  <si>
    <t>IZZATUL WIDAD</t>
  </si>
  <si>
    <t>KARINA AYU MUTHI MAIMUNAH</t>
  </si>
  <si>
    <t>KAYLA VIVIA RAHMADHANI</t>
  </si>
  <si>
    <t>KHAILA NURMILA SYAHWA</t>
  </si>
  <si>
    <t>LUTHFIYATUL KHALWAH</t>
  </si>
  <si>
    <t>MEISYA CAHYA KUMALA</t>
  </si>
  <si>
    <t>MISSOUF SHAHIDHAH ADHAWI</t>
  </si>
  <si>
    <t>MULTAZAM MULIA</t>
  </si>
  <si>
    <t>NAURAH ULVIANA RAHMAWATI</t>
  </si>
  <si>
    <t>NOVIA WIDIYASARI</t>
  </si>
  <si>
    <t>NURUL FATIMAH AZHARA</t>
  </si>
  <si>
    <t>SALSABILA ABIDIN</t>
  </si>
  <si>
    <t>SALSABILA 'AINURROHMAH</t>
  </si>
  <si>
    <t>SILVI FAJRIYATUL BADI'AH</t>
  </si>
  <si>
    <t>YERRIS QURROTUL IZZA</t>
  </si>
  <si>
    <t>YUNITA SIWI SUGIARNI</t>
  </si>
  <si>
    <t>ZAHRA AZ ZAHRANI</t>
  </si>
  <si>
    <t>BINA AULIA SAPUTRI</t>
  </si>
  <si>
    <t>NANDA APTA ZAIN</t>
  </si>
  <si>
    <t>AILIN MUFIDATUS SHOLICHAH</t>
  </si>
  <si>
    <t>ALMIRA BELLA MAJALYN</t>
  </si>
  <si>
    <t>ANA AULIA</t>
  </si>
  <si>
    <t>ANINDYA SALSABILA</t>
  </si>
  <si>
    <t>ASYIRA ROSYIFA ROSYIDIN</t>
  </si>
  <si>
    <t>BERKA HIVRIA YOSTIAS</t>
  </si>
  <si>
    <t>CINTANIA KINAYA EKYANTI</t>
  </si>
  <si>
    <t>DEVI VADILLLAH ARROSIDAH</t>
  </si>
  <si>
    <t>DHEA AMMARA ANINDHITA AZ</t>
  </si>
  <si>
    <t>FARIKA ATHA TALITA</t>
  </si>
  <si>
    <t>FIKI FARACH QONI'ATILLAH</t>
  </si>
  <si>
    <t>FITRI JULIANA</t>
  </si>
  <si>
    <t>GALUH RIZKI ARFIANA</t>
  </si>
  <si>
    <t>INEZ MUMTAZ ELMAJIDA</t>
  </si>
  <si>
    <t>KALIFA ARSYA SAQINA</t>
  </si>
  <si>
    <t>LUTHFIYA QOTRUNADA</t>
  </si>
  <si>
    <t>MEGAN MELATI SUKMA</t>
  </si>
  <si>
    <t>NAVI SAQIYA</t>
  </si>
  <si>
    <t>NAYLATUS SA’IDAH</t>
  </si>
  <si>
    <t>REZKIA AL MEISYA DEVIAN</t>
  </si>
  <si>
    <t>RISMAULA RAHMADANI</t>
  </si>
  <si>
    <t>ROSALIE AZALIA</t>
  </si>
  <si>
    <t>SAYYIDA FAIRUZA SYADZILA</t>
  </si>
  <si>
    <t>SHELLA OLIVIA</t>
  </si>
  <si>
    <t>TIKA NUR MAYRANITA</t>
  </si>
  <si>
    <t>MALIKA ANJALI</t>
  </si>
  <si>
    <t>KHUMAIRO AULIYA UDDINI</t>
  </si>
  <si>
    <t>HIKMATUZ ZAKIYAH KAMIL</t>
  </si>
  <si>
    <t>ADWA FATIKHA FITRIA</t>
  </si>
  <si>
    <t>AISYAH RAHAYU NINGTYAS</t>
  </si>
  <si>
    <t>ALYSA QOTRUN NADA</t>
  </si>
  <si>
    <t>AMANDA REKA AL HIDAYAH</t>
  </si>
  <si>
    <t>AMIROH QORRY AINA</t>
  </si>
  <si>
    <t>ANNISA AYU RAHMAWATI</t>
  </si>
  <si>
    <t>AQILAH MAULIDAZZAHRA</t>
  </si>
  <si>
    <t>AROFAH NOVELUNAZWA SAJIDHA</t>
  </si>
  <si>
    <t>BUNGA PERMATA PUTRI AISYAH</t>
  </si>
  <si>
    <t>DINA AZLINA</t>
  </si>
  <si>
    <t>ELMA AINUN NADHIR</t>
  </si>
  <si>
    <t>EMILIA JIHAN GHAIDA ATHAYA</t>
  </si>
  <si>
    <t>FADILA NURIS FAUZIAH</t>
  </si>
  <si>
    <t>FADZILATUL KHOMSIYAH HAKIM</t>
  </si>
  <si>
    <t>FESSY MAFTUHA RIFA'I</t>
  </si>
  <si>
    <t>GALUH PUTRI MAHARANI</t>
  </si>
  <si>
    <t>KHADIJA PUTRI NURAINI</t>
  </si>
  <si>
    <t>MAULIDIYAH HAMDANA ABDILLAH</t>
  </si>
  <si>
    <t>NAJMA MAZIDAH PUTRI BUDIANTO</t>
  </si>
  <si>
    <t>NAOMI PUTRI AZ ZAHWA</t>
  </si>
  <si>
    <t>NINGRUM BUDIARTI</t>
  </si>
  <si>
    <t>NOVIZA LAILI AZHAR</t>
  </si>
  <si>
    <t>SHAKIRA CHOIRUNNISA</t>
  </si>
  <si>
    <t>ZAHROTIN AWALINA NURROHMAH</t>
  </si>
  <si>
    <t>ZEVINA PRIMA DITA</t>
  </si>
  <si>
    <t>NABILA CIKA</t>
  </si>
  <si>
    <t>DINA RAUDHATUL JANNAH</t>
  </si>
  <si>
    <t>AGHNIYA ILMI FAKHREZA</t>
  </si>
  <si>
    <t>AULIA AISYAH ISMIRANDA</t>
  </si>
  <si>
    <t>AYSHA KAYLANI PUTRI WAHID</t>
  </si>
  <si>
    <t>DIVA AMALIA NALINI PUTRI</t>
  </si>
  <si>
    <t>ELIANA MAFIROH</t>
  </si>
  <si>
    <t>HANA WARDATUL JANNAH</t>
  </si>
  <si>
    <t>MAISA AMADEA</t>
  </si>
  <si>
    <t>MARITZA NUR FAUZIAH</t>
  </si>
  <si>
    <t>NADIYA PUTRI FATHIYYAH</t>
  </si>
  <si>
    <t>NAJHWA FIKRIYA DYNA</t>
  </si>
  <si>
    <t>NAJMA ALYA SHOFA</t>
  </si>
  <si>
    <t>NAJMI MEISANI</t>
  </si>
  <si>
    <t>NASYFA SHAFURA AQNI AL FATAH</t>
  </si>
  <si>
    <t>NUR'AIDA XENIA JULAIKHA</t>
  </si>
  <si>
    <t>PASHA AYUDHYA YUSUF</t>
  </si>
  <si>
    <t>RENATHA CITRA SARI</t>
  </si>
  <si>
    <t>SALMA HABIBATUL KHANSA</t>
  </si>
  <si>
    <t>SALSABILA AYU PUSPITA SARI</t>
  </si>
  <si>
    <t>SALSABILA NABIL NUR ROFIFAH EFENDY</t>
  </si>
  <si>
    <t>SAYYIDAH THIFAL ATQIYAH</t>
  </si>
  <si>
    <t>SHAILA ILMA ARIM</t>
  </si>
  <si>
    <t>TISYA AZALIA RAMADHANI</t>
  </si>
  <si>
    <t>WITQIH DUNAM AURAPOFAH</t>
  </si>
  <si>
    <t>WULAN FIRDASARI</t>
  </si>
  <si>
    <t>ZULFIA INDANA ZULFA</t>
  </si>
  <si>
    <t>AMANDA SOFIA CANDRAPUTRI</t>
  </si>
  <si>
    <t>ALYA NAPIROH</t>
  </si>
  <si>
    <t>ANJUM MALIHA</t>
  </si>
  <si>
    <t>FAIZ MUFLIHUL KHAIR</t>
  </si>
  <si>
    <t>MUHAMAD ABQARI MUTADIL</t>
  </si>
  <si>
    <t>WILDAN MAULANA</t>
  </si>
  <si>
    <t>KELAS : XII .5</t>
  </si>
  <si>
    <t>KELAS : XII. 2</t>
  </si>
  <si>
    <t>KELAS : XII . 1</t>
  </si>
  <si>
    <t>TANGGAL</t>
  </si>
  <si>
    <t>CAHYONISASI, S.Pd</t>
  </si>
  <si>
    <t>RIFQI HAWARI, M.Pd</t>
  </si>
  <si>
    <t>NAILUL HIKMAH, M.Pd</t>
  </si>
  <si>
    <t>ACHMAD FAUZI, M.Pd</t>
  </si>
  <si>
    <t>IDA CHUSNUL KHOTIMAH, S.Pd</t>
  </si>
  <si>
    <t>RAHMADANI TRI HANDAYANI, S.Pd</t>
  </si>
  <si>
    <t>SUJATI, S.Pd</t>
  </si>
  <si>
    <t>ALYA JAZILA DHIANINGRUM</t>
  </si>
  <si>
    <t>GITO NUGROHO</t>
  </si>
  <si>
    <t>AISYAH RAHMA YUSUF</t>
  </si>
  <si>
    <t>ERLANGGA ALIFIAN NUGRAHA</t>
  </si>
  <si>
    <t>DANISWARA WISHNU HANANIA</t>
  </si>
  <si>
    <t xml:space="preserve"> </t>
  </si>
  <si>
    <t>ALDEBARAN ARSADANA PUTRA</t>
  </si>
  <si>
    <t>M. ISHAQ LATIF AL-BUSTOMI</t>
  </si>
  <si>
    <t>KAMILA TUNGGA DEWI</t>
  </si>
  <si>
    <t>MUHAMMAD KHOIRUL AZAM</t>
  </si>
  <si>
    <t>MUHAMMAD NAUFAL ZAKY AZ-ZAUHARY</t>
  </si>
  <si>
    <t>NAUFAL AL-SHALAHUDDIN</t>
  </si>
  <si>
    <t>SOLAHUDDIN AL AYYUBI. MS</t>
  </si>
  <si>
    <t>M. FAIZ ALFIANZA</t>
  </si>
  <si>
    <t>M. YUSRON ALKHAMID</t>
  </si>
  <si>
    <t>RIFANNY MAULA SYIFA'</t>
  </si>
  <si>
    <t>FAHMI IRSYAD MUKHLISON</t>
  </si>
  <si>
    <t>AYDIN ABQARI IKHSAN</t>
  </si>
  <si>
    <t>FAIZAL AINURROFIQ 'IRFANY</t>
  </si>
  <si>
    <t>M. ZAKI BIMA NUR RAHMAN</t>
  </si>
  <si>
    <t>TAHUN PELAJARAN : 2026- 2027</t>
  </si>
  <si>
    <t>KELAS : XI . 9</t>
  </si>
  <si>
    <t>KELAS : XI . 8</t>
  </si>
  <si>
    <t>KELAS : XI . 7</t>
  </si>
  <si>
    <t>KELAS : XI . 6</t>
  </si>
  <si>
    <t>KELAS : XI . 5</t>
  </si>
  <si>
    <t>KELAS : XI . 4</t>
  </si>
  <si>
    <t>KELAS : XI . 3</t>
  </si>
  <si>
    <t>KELAS : XI . 2</t>
  </si>
  <si>
    <t>KELAS : XI .1</t>
  </si>
  <si>
    <t>KELAS : XI . 1</t>
  </si>
  <si>
    <t>KELAS : XI. 2</t>
  </si>
  <si>
    <t>KELAS : XI. 7</t>
  </si>
  <si>
    <t>KELAS : X .1</t>
  </si>
  <si>
    <t>KELAS : X. 2</t>
  </si>
  <si>
    <t>KELAS : X . 3</t>
  </si>
  <si>
    <t>KELAS : X. 4</t>
  </si>
  <si>
    <t>KELAS : X . 5</t>
  </si>
  <si>
    <t>KELAS : X . 6</t>
  </si>
  <si>
    <t>KELAS : X . 7</t>
  </si>
  <si>
    <t>KELAS : X . 8</t>
  </si>
  <si>
    <t>ADYPATI NUZHA PUTRA SAFII</t>
  </si>
  <si>
    <t>ALI AMIRUDIN CAHYO</t>
  </si>
  <si>
    <t>ANTASENA BANI NATAATMAJA</t>
  </si>
  <si>
    <t>ARIF HIDAYAT</t>
  </si>
  <si>
    <t>ARIO ABDILLAH MAZHAZ</t>
  </si>
  <si>
    <t>BIMA ARYASENO AR-RASYID</t>
  </si>
  <si>
    <t>DIMAS SAPUTRA</t>
  </si>
  <si>
    <t>FAITH AZARIA AZFA</t>
  </si>
  <si>
    <t>IBRAHIM AINUN M</t>
  </si>
  <si>
    <t>ISNAREJA TURZAITA ZAIN</t>
  </si>
  <si>
    <t>MAHBUB HAYATULLOH NIDZOMI</t>
  </si>
  <si>
    <t>MOCH HALIM HILMI</t>
  </si>
  <si>
    <t>MOCHAMAD VICKY AL FARIZI</t>
  </si>
  <si>
    <t>MOCHAMMAD RAFAILLAH ATHA</t>
  </si>
  <si>
    <t>MOHAMMAD THOWAF DZIKRON</t>
  </si>
  <si>
    <t>MOHAMMAD UFAIR BILBIR</t>
  </si>
  <si>
    <t>MUCHAMMAD AZZAM AL FARUQ</t>
  </si>
  <si>
    <t xml:space="preserve">MUH ARHAM </t>
  </si>
  <si>
    <t>MUHAMMAD ALFIN FARKHANA</t>
  </si>
  <si>
    <t>MUHAMMAD ARIF ELSANDY</t>
  </si>
  <si>
    <t>MUHAMMAD NAUFAL AFKAR</t>
  </si>
  <si>
    <t>MUHAMMAD RAFSANJANI RAHMANA</t>
  </si>
  <si>
    <t>MUHAMMAD ROYYAN ALEANSYAH</t>
  </si>
  <si>
    <t>NADZHIF LUQMAN MUROD</t>
  </si>
  <si>
    <t>NIZAR AKBAR WARDANA</t>
  </si>
  <si>
    <t>RAIHAN SURYA AKBAR</t>
  </si>
  <si>
    <t>RASYA ALDIMAN</t>
  </si>
  <si>
    <t>AHMAD AZAM NUR ZIDAN</t>
  </si>
  <si>
    <t>AHMAD DAFA MAULANA</t>
  </si>
  <si>
    <t>ALEANDRO ILHAM RAMADHAN</t>
  </si>
  <si>
    <t>AULIA RACHMAN</t>
  </si>
  <si>
    <t>BIMA SYEHKA ZAELANI</t>
  </si>
  <si>
    <t>EVAN DESTHA SAPUTRA</t>
  </si>
  <si>
    <t>FAQIH ARSYAD</t>
  </si>
  <si>
    <t>FARID AHMAD SATRIA TAMA</t>
  </si>
  <si>
    <t>FELIX NABIHA RASHAD</t>
  </si>
  <si>
    <t>HABIB HIDAYATULLAH</t>
  </si>
  <si>
    <t>IHTISHAM IZAZ NAZMI</t>
  </si>
  <si>
    <t>KUMARA FIRJATULLAH MAHARDIKA</t>
  </si>
  <si>
    <t>M. AL AFHANTS SYIRIL WAFA</t>
  </si>
  <si>
    <t>M.DHIKA APRIANSYAH. Z</t>
  </si>
  <si>
    <t>MOCHAMMAD 'ALAMIL HUDA</t>
  </si>
  <si>
    <t>MUHAMAD FIKRI AL ISHAQI</t>
  </si>
  <si>
    <t>MUHAMMAD ADE RAISYA</t>
  </si>
  <si>
    <t>MUHAMMAD ADITYA JASTIN</t>
  </si>
  <si>
    <t>MUHAMMAD ANSHORI AL AKBAR</t>
  </si>
  <si>
    <t>MUHAMMAD DZAKIY AVICENNA AL ZAEN</t>
  </si>
  <si>
    <t>MUHAMMAD FAWWAZ TSAQIB</t>
  </si>
  <si>
    <t>MUHAMMAD RIFFAT MARDHOTILLAH</t>
  </si>
  <si>
    <t>RAFA HABIBULLAH DAVID PRATAMA</t>
  </si>
  <si>
    <t>RAYYAN NAROTAMA</t>
  </si>
  <si>
    <t>ROBETH FATIH EL NOFAT</t>
  </si>
  <si>
    <t>ACHMAD FAQI NUR FADLI</t>
  </si>
  <si>
    <t>AFFAN ARDANA NAZARADILA</t>
  </si>
  <si>
    <t>AHMAD AZZAM MINANUROHMAN</t>
  </si>
  <si>
    <t>AHMAD HABIBUR ROHMAN ANWARY</t>
  </si>
  <si>
    <t>APRIAN SAFWAN AFFANDI</t>
  </si>
  <si>
    <t>ARSAKHA AQILA HADI</t>
  </si>
  <si>
    <t>FAZA ABDUH HAIKAL</t>
  </si>
  <si>
    <t>M. FATAN SAID</t>
  </si>
  <si>
    <t>MAKHIN MUKTI</t>
  </si>
  <si>
    <t>MAS FAHAD MAULANA ALKAUTSARI</t>
  </si>
  <si>
    <t>MOCHAMMAD RIDHO KUSBIANTORO</t>
  </si>
  <si>
    <t>MUHAMAD FAHRI NURJAMAN</t>
  </si>
  <si>
    <t>MUHAMMAD BUDI MULYA ARI SUJAYA</t>
  </si>
  <si>
    <t>MUHAMMAD DAFFA FIDNANDA TAUFIQURRAHMAN</t>
  </si>
  <si>
    <t>MUHAMMAD FARRAS MUHSIN</t>
  </si>
  <si>
    <t>MUHAMMAD NAUFAL ELZAMI</t>
  </si>
  <si>
    <t>MUHAMMAD RIZKY AZHARI</t>
  </si>
  <si>
    <t>MUHAMMAD ULIL ABSOR</t>
  </si>
  <si>
    <t>MUHAMMAD XAVIAN JUANITO IHSAN</t>
  </si>
  <si>
    <t>PUTRA DEFA ZABIR RIZQULLAH</t>
  </si>
  <si>
    <t>RAIHAN FAUZI</t>
  </si>
  <si>
    <t>RESTU INDRA FEBRIAN</t>
  </si>
  <si>
    <t>ROZIQUL AKBAR AL-BAIHAQI</t>
  </si>
  <si>
    <t>SATRIA WIJAYA PRASETYA</t>
  </si>
  <si>
    <t>SHAFIY SHADIQ</t>
  </si>
  <si>
    <t>ACHMAD SAHAL FAWA'ID</t>
  </si>
  <si>
    <t>ADAM RAUF NURDIANSYAH</t>
  </si>
  <si>
    <t>AHMAD HAMIM JAZULI</t>
  </si>
  <si>
    <t>ALVIETO ARYA GUNAWAN</t>
  </si>
  <si>
    <t>BALYA QARIM PUTRA UTOMO</t>
  </si>
  <si>
    <t>DANIAL MASYISY ANSHORI</t>
  </si>
  <si>
    <t>FADLI FERIZQO ZAMZAMY</t>
  </si>
  <si>
    <t>FAIZA RIDO RUSLANI</t>
  </si>
  <si>
    <t>M.ZAKKY NUR AL BAIHAQI</t>
  </si>
  <si>
    <t>MAHMOUD AHMADINEJAD</t>
  </si>
  <si>
    <t>MOH. DANISWARA MAHFUDZ AT-TIRMIDZI</t>
  </si>
  <si>
    <t>MUHAMAD FAUZI MUBAROK</t>
  </si>
  <si>
    <t>MUHAMAD IRSYAD FANANI</t>
  </si>
  <si>
    <t>MUHAMMAD AFIFUDDIN IRSYAD SALIM</t>
  </si>
  <si>
    <t>MUHAMMAD ARRAFI</t>
  </si>
  <si>
    <t>MUHAMMAD EVAN ADHIPRAMANA SULISTIYO</t>
  </si>
  <si>
    <t>MUHAMMAD IQBAL WIJDAN</t>
  </si>
  <si>
    <t>MUHAMMAD MIFTAHUL KHOIR</t>
  </si>
  <si>
    <t>MUHAMMAD TAQI JAFARI MARTOWIDJOJO</t>
  </si>
  <si>
    <t>RASYA ANSHORI RAMADHAN</t>
  </si>
  <si>
    <t>REZA FAHTUR PRATAMA</t>
  </si>
  <si>
    <t>REZKY PRATAMA AS'ARY</t>
  </si>
  <si>
    <t>RIDWAN DE ALVINS</t>
  </si>
  <si>
    <t>RIZKY KURNIA</t>
  </si>
  <si>
    <t>SYAFIQ DIYA UL HAQ</t>
  </si>
  <si>
    <t>ZAID ZIDAN</t>
  </si>
  <si>
    <t>AGATHA HASYA AQILAH</t>
  </si>
  <si>
    <t>AISYA LIYANA ZAHIRA</t>
  </si>
  <si>
    <t>ANIS MUTHOHAROH</t>
  </si>
  <si>
    <t>ASHIFATUL ULYA</t>
  </si>
  <si>
    <t>AZARIA ASIFANA</t>
  </si>
  <si>
    <t>BALQIS RATU KAMILA</t>
  </si>
  <si>
    <t>DEQUEENZA ADENIN AL IBRIZA</t>
  </si>
  <si>
    <t>DZULVIA BUDI RAISYA</t>
  </si>
  <si>
    <t>ELEN ZARAVIA</t>
  </si>
  <si>
    <t>FAKHRIYAH AISYAH SAYYIDAH</t>
  </si>
  <si>
    <t>FANINA RIKZA KAMILA GANI</t>
  </si>
  <si>
    <t>FEBRIANI SOLIHATUN NISA'</t>
  </si>
  <si>
    <t>FRIZKA ADELINA PUTRI</t>
  </si>
  <si>
    <t>INDAH ARMA MAYANG SARI</t>
  </si>
  <si>
    <t>INGGAR SAFIRA AZZAHRA</t>
  </si>
  <si>
    <t>KHANZA AZZALEA MARTHALIESNA</t>
  </si>
  <si>
    <t>KHAYLA DEWI</t>
  </si>
  <si>
    <t>NAJWA NUR AZIZAH</t>
  </si>
  <si>
    <t>QORI ILMIATUS SOLICHA</t>
  </si>
  <si>
    <t>RHEA ABHINAYA SMARA</t>
  </si>
  <si>
    <t>SALZABILLA APRILIA TAUVANI</t>
  </si>
  <si>
    <t>SAVA RINA PURWATI</t>
  </si>
  <si>
    <t>SITI NUR FADHILLAH</t>
  </si>
  <si>
    <t>TANISHA ANNASHA PUTRI</t>
  </si>
  <si>
    <t>THALITA ZALFA KIRANA</t>
  </si>
  <si>
    <t>ULFI SAFINATUN NAJAH</t>
  </si>
  <si>
    <t>ULUL AZMI</t>
  </si>
  <si>
    <t>ZASKIA NURUL HAFIS</t>
  </si>
  <si>
    <t>HUSNUL KHOTIMAH</t>
  </si>
  <si>
    <t>ADLINA ALIYYA WIBISONO</t>
  </si>
  <si>
    <t>AFIKA PUTRI FADHILA</t>
  </si>
  <si>
    <t>AISYAH NAURAH RAYYANI</t>
  </si>
  <si>
    <t>AJENG AINUR FAJRIYAH</t>
  </si>
  <si>
    <t>ALIA ADILA PUTRI</t>
  </si>
  <si>
    <t>ALMIRA SAFA RAIHANA</t>
  </si>
  <si>
    <t>AMANDA SALVIA KHAIRUNISA</t>
  </si>
  <si>
    <t>AQILAH TUHFAH TAZKIYAH</t>
  </si>
  <si>
    <t>AULIYA LATHIFATUL HASANAH</t>
  </si>
  <si>
    <t>AWALIAH NUR FATONAH HERMAWAN RUMONIN</t>
  </si>
  <si>
    <t>BELINDA AZALIA ATMAWATI</t>
  </si>
  <si>
    <t>ELLENA TRYSTANTYA HIDAYAHTUL RAHMAH</t>
  </si>
  <si>
    <t>GEDZNITA DEVINA MALIK</t>
  </si>
  <si>
    <t>GENDHIS GANINTA MUNANDAR</t>
  </si>
  <si>
    <t>ICHA LUTHFIANA</t>
  </si>
  <si>
    <t>JULVIENI ARYA PRAMITA SARI</t>
  </si>
  <si>
    <t>KARIMAH AISYAH PUTRI</t>
  </si>
  <si>
    <t>KEYSHAZENDI ALYA AZAHRA</t>
  </si>
  <si>
    <t>MAYASA AZKIYA QOLBY</t>
  </si>
  <si>
    <t>NAILATUS SYIFA</t>
  </si>
  <si>
    <t>NAURA ZALWA SYAHADA</t>
  </si>
  <si>
    <t>NAYLA DELISHA AFANDI</t>
  </si>
  <si>
    <t>NAZURAH GHAISANI KHOIRUNISA</t>
  </si>
  <si>
    <t>NURI AIDILLAH EFIDEFITA</t>
  </si>
  <si>
    <t>QATRUNNADA QURRATUL AYN</t>
  </si>
  <si>
    <t>RODLINA AL MINHATUS SANIYYAH</t>
  </si>
  <si>
    <t>SAFIRA NABILA</t>
  </si>
  <si>
    <t>YESIKA ARAPRILYA PUSPITA</t>
  </si>
  <si>
    <t>ZAFIRA AQIAH ANANTA</t>
  </si>
  <si>
    <t>ABIDA DZIL IZZAH NAWAWI</t>
  </si>
  <si>
    <t>AIS SAIDATINA</t>
  </si>
  <si>
    <t>AZMI NOERRIYAH</t>
  </si>
  <si>
    <t>BALQIIS ZHAAFIRAH MEI</t>
  </si>
  <si>
    <t>CILA NOVIANTI NUR AINI</t>
  </si>
  <si>
    <t>DIZYA PUTRI JANEETA</t>
  </si>
  <si>
    <t>FAFA FARADILA FUADI</t>
  </si>
  <si>
    <t>FAIZAH NAFEEZA AYU</t>
  </si>
  <si>
    <t>GESTY ANA AMILIA</t>
  </si>
  <si>
    <t>HAYATUNNUFUS</t>
  </si>
  <si>
    <t>INAYAH ALIFATUNNISA</t>
  </si>
  <si>
    <t>IRDINA ALISHA PUTRI</t>
  </si>
  <si>
    <t>IRMADYAH USNIDA FALASIFAH</t>
  </si>
  <si>
    <t>ISYQINA FARHA DHUHA</t>
  </si>
  <si>
    <t>JULIANA YASMIN</t>
  </si>
  <si>
    <t>KHANSA KHAIRUSIFA</t>
  </si>
  <si>
    <t>KUNA KUNI KHUSNUL KHOTIMAH</t>
  </si>
  <si>
    <t>LAURA HANUM MAHESTY</t>
  </si>
  <si>
    <t>LAYALI HILYA AULIA</t>
  </si>
  <si>
    <t>MIDZATUL ARIFAH</t>
  </si>
  <si>
    <t>MIFTAHUL NABILLATUS ZAHRA</t>
  </si>
  <si>
    <t>MISSEL CALYSTA PUTRI</t>
  </si>
  <si>
    <t>NAJLA HELGA PUTRI</t>
  </si>
  <si>
    <t>NASYWA AZKIA</t>
  </si>
  <si>
    <t>NIKEISHA SHIFA AZZAHRA</t>
  </si>
  <si>
    <t>RAHAJENG HAYUNDA KAMARATIH</t>
  </si>
  <si>
    <t>RAMADHANI AZZILA MUKTI</t>
  </si>
  <si>
    <t>RASIKAH KHANSA SHABIRAH</t>
  </si>
  <si>
    <t>SARAH AULIA AL-MAWADDAH</t>
  </si>
  <si>
    <t>SELSY JUANITA PRATIWI</t>
  </si>
  <si>
    <t>SITI SALMA AFIFAH</t>
  </si>
  <si>
    <t>ZALFAA AZZAHRA EMBUN SAMUDRA</t>
  </si>
  <si>
    <t>ALAINA ASSYAKIRA</t>
  </si>
  <si>
    <t>AMIRA SYARIFA ADELIA YAHYA</t>
  </si>
  <si>
    <t>ANNI IZZATUL KAROMAH RAFSODI</t>
  </si>
  <si>
    <t>AQILAH HABIBATUL IZZAH</t>
  </si>
  <si>
    <t>ASYIFA MEDINA AZZAHRO</t>
  </si>
  <si>
    <t>ATHA GENDHIS ANANTA</t>
  </si>
  <si>
    <t>AYESHA BUNGAS EL FAYYAZA</t>
  </si>
  <si>
    <t>DESTRY ROSDIANA</t>
  </si>
  <si>
    <t>DINDA SYAFIQA ADELGISA</t>
  </si>
  <si>
    <t>EARLY NAZILATUZ ZAHROH</t>
  </si>
  <si>
    <t>ECHA AVRIELLYA LAILATUZZAHRAH</t>
  </si>
  <si>
    <t>ELYSIANNA SEDAYU RADYSTI</t>
  </si>
  <si>
    <t>FAKRINA HAINUNATUZ ZAHRA</t>
  </si>
  <si>
    <t>FILDZAH AMIMAH YUMNA</t>
  </si>
  <si>
    <t>HAMISA AULIA NAJIB</t>
  </si>
  <si>
    <t>HANIYA RIHADATUL AISA</t>
  </si>
  <si>
    <t>HAZLINA SABIQA WIDIASTUTI</t>
  </si>
  <si>
    <t>LAILA NAHWAH INAYATUL AINIYAH</t>
  </si>
  <si>
    <t>LAILA NAURA DINA AHMAD</t>
  </si>
  <si>
    <t>LIYA TASYA ALUNA</t>
  </si>
  <si>
    <t>MARITZA ADELIA ANINDITA</t>
  </si>
  <si>
    <t>NI'MATUS SHOLIKHA</t>
  </si>
  <si>
    <t>NUR AZIZAH HAMNABILLA</t>
  </si>
  <si>
    <t>NURRAFATUN NISA'</t>
  </si>
  <si>
    <t>RAZITA ZALIKA PRASHANTI</t>
  </si>
  <si>
    <t>RINDITA PUTRI HARTANTI</t>
  </si>
  <si>
    <t>TALITHA AULIA AZHAR</t>
  </si>
  <si>
    <t>ZAKIYAH RAMADHANI</t>
  </si>
  <si>
    <t>FAYXA AYU DEWINTA PUTRI SRIKANDI</t>
  </si>
  <si>
    <t>ZAHARA AFNI RAHMA</t>
  </si>
  <si>
    <t>KHOIRILA PULUNGAN</t>
  </si>
  <si>
    <t>Wali Kelas   : LIHAM HASAN AL MUJAB, S.H</t>
  </si>
  <si>
    <t>Wali Kelas   : ODIK TUGI HARTONO, S.Pd</t>
  </si>
  <si>
    <t>Wali Kelas   : YOGI MAULANA FERDIANSYAH, S.Pd</t>
  </si>
  <si>
    <t>Wali Kelas   : ACHMAD QONI' ALI CHAFID, S.Pd</t>
  </si>
  <si>
    <t>Wali Kelas   : MIRZA NURUL LAILI, S.Pd</t>
  </si>
  <si>
    <t>Wali Kelas   : LAILLATUL FAIZAH, S.Sos</t>
  </si>
  <si>
    <t>Wali Kelas   : FATIMAH FITRIANA, S.Sos</t>
  </si>
  <si>
    <t>KELAS : X . 1</t>
  </si>
  <si>
    <t>KELAS : X. 3</t>
  </si>
  <si>
    <t>KELAS : X . 4</t>
  </si>
  <si>
    <t>KELAS : X .5</t>
  </si>
  <si>
    <t>KELAS : X. 7</t>
  </si>
  <si>
    <t>LIHAM HASAN AL MUJAB, S.H</t>
  </si>
  <si>
    <t>ODIK TUGI HARTONO, S.Pd</t>
  </si>
  <si>
    <t>YOGI MAULANA FERDIANSYAH, S.Pd</t>
  </si>
  <si>
    <t>ACHMAD QONI' ALI CHAFID, S.Pd</t>
  </si>
  <si>
    <t>MIRZA NURUL LAILI, S.Pd</t>
  </si>
  <si>
    <t>LAILLATUL FAIZAH, S.Sos</t>
  </si>
  <si>
    <t>FATIMAH FITRIANA, S.Sos</t>
  </si>
  <si>
    <t>Wali Kelas   :  YULI KHARISMA DZATI, S.Pd</t>
  </si>
  <si>
    <t>Wali Kelas   : EVITRI SUTANTI, S.Si</t>
  </si>
  <si>
    <t>Wali Kelas   : DWI INDAH LESTARI, S.Pd</t>
  </si>
  <si>
    <t>Wali Kelas   : DWI MULYANI, S.Pd</t>
  </si>
  <si>
    <t>Wali Kelas   : ZUNITA LISDIANA, S.Pd</t>
  </si>
  <si>
    <t>Wali Kelas   : NURUL QOMARIYAH SAYUTI, S.Si</t>
  </si>
  <si>
    <t>Wali Kelas   : IKA YUNITA INDRAWATI, M.Pd</t>
  </si>
  <si>
    <t>Wali Kelas   : LAZIMAH NUR AINI  ,S.Pd</t>
  </si>
  <si>
    <t>KHOIROTUNNISA', S.Pd</t>
  </si>
  <si>
    <t>Wali Kelas   : MUHAMMAD ANSORI, M.PdI</t>
  </si>
  <si>
    <t>MUHAMMAD ANSORI, M.PdI</t>
  </si>
  <si>
    <t>QUINSHA DIRA SEA ALTHAAF</t>
  </si>
  <si>
    <t>YUNITA ALFARINI</t>
  </si>
  <si>
    <t>Wali Kelas   : EVA DESSY PINASTI, S. Si</t>
  </si>
  <si>
    <t>KELAS : XI 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</si>
</sst>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5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sz val="8"/>
      <name val="Arial"/>
      <family val="2"/>
    </font>
    <font>
      <sz val="9"/>
      <color indexed="8"/>
      <name val="Arial Narrow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sz val="12"/>
      <color indexed="45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03">
    <xf numFmtId="0" fontId="0" fillId="0" borderId="0" xfId="0"/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9" fillId="0" borderId="20" xfId="0" applyFont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2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0" fillId="0" borderId="67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3" fillId="0" borderId="68" xfId="0" applyFont="1" applyBorder="1" applyAlignment="1">
      <alignment horizontal="left" vertical="center" wrapText="1"/>
    </xf>
    <xf numFmtId="0" fontId="3" fillId="0" borderId="69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center" vertical="center"/>
    </xf>
    <xf numFmtId="0" fontId="3" fillId="0" borderId="70" xfId="0" applyFont="1" applyBorder="1" applyAlignment="1">
      <alignment horizontal="left" vertical="center" wrapText="1"/>
    </xf>
    <xf numFmtId="0" fontId="3" fillId="0" borderId="0" xfId="0" applyFont="1"/>
    <xf numFmtId="0" fontId="2" fillId="3" borderId="3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" fillId="3" borderId="23" xfId="0" applyFont="1" applyFill="1" applyBorder="1" applyAlignment="1">
      <alignment vertical="center"/>
    </xf>
    <xf numFmtId="164" fontId="3" fillId="0" borderId="4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vertical="center"/>
    </xf>
    <xf numFmtId="0" fontId="3" fillId="0" borderId="3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left" vertical="center"/>
    </xf>
    <xf numFmtId="164" fontId="11" fillId="0" borderId="15" xfId="0" applyNumberFormat="1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4" xfId="0" applyNumberFormat="1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left" vertical="center"/>
    </xf>
    <xf numFmtId="0" fontId="3" fillId="0" borderId="39" xfId="0" applyFont="1" applyBorder="1" applyAlignment="1">
      <alignment horizontal="center" vertical="center"/>
    </xf>
    <xf numFmtId="164" fontId="3" fillId="0" borderId="40" xfId="0" applyNumberFormat="1" applyFont="1" applyBorder="1" applyAlignment="1">
      <alignment horizontal="left" vertical="center"/>
    </xf>
    <xf numFmtId="0" fontId="2" fillId="0" borderId="4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4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7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164" fontId="3" fillId="0" borderId="15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72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8" fillId="0" borderId="47" xfId="0" applyFont="1" applyBorder="1" applyAlignment="1">
      <alignment vertical="center"/>
    </xf>
    <xf numFmtId="0" fontId="1" fillId="0" borderId="30" xfId="0" applyFont="1" applyBorder="1" applyAlignment="1">
      <alignment horizontal="center" vertical="center" wrapText="1"/>
    </xf>
    <xf numFmtId="0" fontId="8" fillId="0" borderId="48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8" fillId="0" borderId="50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8" fillId="0" borderId="51" xfId="0" applyFont="1" applyBorder="1" applyAlignment="1">
      <alignment vertical="center"/>
    </xf>
    <xf numFmtId="0" fontId="10" fillId="0" borderId="73" xfId="0" applyFont="1" applyBorder="1" applyAlignment="1">
      <alignment horizontal="left" vertical="top" wrapText="1"/>
    </xf>
    <xf numFmtId="0" fontId="8" fillId="0" borderId="52" xfId="0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8" fillId="0" borderId="53" xfId="0" applyFont="1" applyBorder="1" applyAlignment="1">
      <alignment vertical="center"/>
    </xf>
    <xf numFmtId="0" fontId="2" fillId="3" borderId="46" xfId="0" applyFont="1" applyFill="1" applyBorder="1" applyAlignment="1">
      <alignment vertical="center"/>
    </xf>
    <xf numFmtId="0" fontId="3" fillId="3" borderId="54" xfId="0" applyFont="1" applyFill="1" applyBorder="1" applyAlignment="1">
      <alignment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48" xfId="0" applyFont="1" applyBorder="1" applyAlignment="1">
      <alignment horizontal="left" vertical="center" wrapText="1"/>
    </xf>
    <xf numFmtId="0" fontId="3" fillId="0" borderId="10" xfId="0" applyFont="1" applyBorder="1"/>
    <xf numFmtId="0" fontId="3" fillId="0" borderId="49" xfId="0" applyFont="1" applyBorder="1"/>
    <xf numFmtId="0" fontId="3" fillId="0" borderId="10" xfId="0" applyFont="1" applyBorder="1" applyAlignment="1">
      <alignment horizontal="center"/>
    </xf>
    <xf numFmtId="0" fontId="3" fillId="0" borderId="53" xfId="0" applyFont="1" applyBorder="1"/>
    <xf numFmtId="0" fontId="10" fillId="0" borderId="19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center" vertical="center"/>
    </xf>
    <xf numFmtId="0" fontId="8" fillId="0" borderId="55" xfId="0" applyFont="1" applyBorder="1" applyAlignment="1">
      <alignment vertical="center"/>
    </xf>
    <xf numFmtId="0" fontId="8" fillId="0" borderId="56" xfId="0" applyFont="1" applyBorder="1" applyAlignment="1">
      <alignment vertical="center"/>
    </xf>
    <xf numFmtId="0" fontId="8" fillId="0" borderId="57" xfId="0" applyFont="1" applyBorder="1" applyAlignment="1">
      <alignment vertical="center"/>
    </xf>
    <xf numFmtId="0" fontId="8" fillId="0" borderId="58" xfId="0" applyFont="1" applyBorder="1" applyAlignment="1">
      <alignment vertical="center"/>
    </xf>
    <xf numFmtId="0" fontId="8" fillId="0" borderId="59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0" fillId="0" borderId="74" xfId="0" applyFont="1" applyBorder="1" applyAlignment="1">
      <alignment horizontal="left" vertical="top" wrapText="1"/>
    </xf>
    <xf numFmtId="0" fontId="8" fillId="0" borderId="13" xfId="0" applyFont="1" applyBorder="1" applyAlignment="1">
      <alignment vertical="center"/>
    </xf>
    <xf numFmtId="0" fontId="10" fillId="0" borderId="75" xfId="0" applyFont="1" applyBorder="1" applyAlignment="1">
      <alignment horizontal="left" vertical="top" wrapText="1"/>
    </xf>
    <xf numFmtId="0" fontId="8" fillId="0" borderId="43" xfId="0" applyFont="1" applyBorder="1" applyAlignment="1">
      <alignment horizontal="center" vertical="center"/>
    </xf>
    <xf numFmtId="0" fontId="8" fillId="0" borderId="60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3" fillId="0" borderId="6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 wrapText="1"/>
    </xf>
    <xf numFmtId="0" fontId="3" fillId="0" borderId="28" xfId="0" applyFont="1" applyBorder="1"/>
    <xf numFmtId="0" fontId="3" fillId="0" borderId="15" xfId="0" applyFont="1" applyBorder="1"/>
    <xf numFmtId="0" fontId="3" fillId="0" borderId="16" xfId="0" applyFont="1" applyBorder="1"/>
    <xf numFmtId="0" fontId="9" fillId="0" borderId="54" xfId="0" applyFont="1" applyBorder="1" applyAlignment="1">
      <alignment vertical="center"/>
    </xf>
    <xf numFmtId="0" fontId="10" fillId="0" borderId="18" xfId="0" applyFont="1" applyBorder="1" applyAlignment="1">
      <alignment horizontal="left" vertical="top" wrapText="1"/>
    </xf>
    <xf numFmtId="0" fontId="3" fillId="0" borderId="76" xfId="0" applyFont="1" applyBorder="1" applyAlignment="1">
      <alignment horizontal="left" vertical="center" wrapText="1"/>
    </xf>
    <xf numFmtId="0" fontId="3" fillId="0" borderId="77" xfId="0" applyFont="1" applyBorder="1" applyAlignment="1">
      <alignment horizontal="left" vertical="center" wrapText="1"/>
    </xf>
    <xf numFmtId="0" fontId="3" fillId="0" borderId="7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9" xfId="0" applyFont="1" applyBorder="1" applyAlignment="1">
      <alignment horizontal="left" vertical="center" wrapText="1"/>
    </xf>
    <xf numFmtId="0" fontId="3" fillId="0" borderId="80" xfId="0" applyFont="1" applyBorder="1" applyAlignment="1">
      <alignment horizontal="left" vertical="center" wrapText="1"/>
    </xf>
    <xf numFmtId="0" fontId="3" fillId="0" borderId="81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center" vertical="center"/>
    </xf>
    <xf numFmtId="0" fontId="3" fillId="0" borderId="82" xfId="0" applyFont="1" applyBorder="1" applyAlignment="1">
      <alignment horizontal="left" vertical="center" wrapText="1"/>
    </xf>
    <xf numFmtId="0" fontId="3" fillId="0" borderId="70" xfId="0" applyFont="1" applyBorder="1" applyAlignment="1">
      <alignment horizontal="center" vertical="top" wrapText="1"/>
    </xf>
    <xf numFmtId="0" fontId="3" fillId="0" borderId="83" xfId="0" applyFont="1" applyBorder="1" applyAlignment="1">
      <alignment horizontal="center" vertical="top" wrapText="1"/>
    </xf>
    <xf numFmtId="0" fontId="3" fillId="0" borderId="72" xfId="0" applyFont="1" applyBorder="1" applyAlignment="1">
      <alignment horizontal="center" vertical="top" wrapText="1"/>
    </xf>
    <xf numFmtId="0" fontId="3" fillId="0" borderId="84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31" xfId="1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top" wrapText="1"/>
    </xf>
    <xf numFmtId="0" fontId="3" fillId="0" borderId="80" xfId="0" applyFont="1" applyBorder="1" applyAlignment="1">
      <alignment horizontal="center" vertical="top" wrapText="1"/>
    </xf>
    <xf numFmtId="0" fontId="3" fillId="0" borderId="68" xfId="0" applyFont="1" applyBorder="1" applyAlignment="1">
      <alignment horizontal="center" vertical="top" wrapText="1"/>
    </xf>
    <xf numFmtId="0" fontId="3" fillId="0" borderId="15" xfId="0" applyFont="1" applyBorder="1" applyAlignment="1">
      <alignment vertical="center"/>
    </xf>
    <xf numFmtId="0" fontId="3" fillId="0" borderId="62" xfId="0" applyFont="1" applyBorder="1" applyAlignment="1">
      <alignment horizontal="left" vertical="center" wrapText="1"/>
    </xf>
    <xf numFmtId="0" fontId="3" fillId="0" borderId="85" xfId="0" applyFont="1" applyBorder="1" applyAlignment="1">
      <alignment horizontal="left" vertical="center" wrapText="1"/>
    </xf>
    <xf numFmtId="0" fontId="3" fillId="0" borderId="85" xfId="0" applyFont="1" applyBorder="1" applyAlignment="1">
      <alignment horizontal="center" vertical="top" wrapText="1"/>
    </xf>
    <xf numFmtId="0" fontId="3" fillId="0" borderId="86" xfId="0" applyFont="1" applyBorder="1" applyAlignment="1">
      <alignment horizontal="center" vertical="top" wrapText="1"/>
    </xf>
    <xf numFmtId="0" fontId="3" fillId="0" borderId="88" xfId="0" applyFont="1" applyBorder="1" applyAlignment="1">
      <alignment horizontal="center" vertical="top" wrapText="1"/>
    </xf>
    <xf numFmtId="0" fontId="3" fillId="0" borderId="89" xfId="0" applyFont="1" applyBorder="1" applyAlignment="1">
      <alignment horizontal="center" vertical="top" wrapText="1"/>
    </xf>
    <xf numFmtId="0" fontId="3" fillId="0" borderId="90" xfId="0" applyFont="1" applyBorder="1" applyAlignment="1">
      <alignment horizontal="center" vertical="top" wrapText="1"/>
    </xf>
    <xf numFmtId="0" fontId="3" fillId="0" borderId="91" xfId="0" applyFont="1" applyBorder="1" applyAlignment="1">
      <alignment horizontal="center" vertical="top" wrapText="1"/>
    </xf>
    <xf numFmtId="0" fontId="3" fillId="0" borderId="92" xfId="0" applyFont="1" applyBorder="1" applyAlignment="1">
      <alignment horizontal="center" vertical="top" wrapText="1"/>
    </xf>
    <xf numFmtId="0" fontId="3" fillId="0" borderId="33" xfId="0" applyFont="1" applyBorder="1" applyAlignment="1">
      <alignment vertical="center"/>
    </xf>
    <xf numFmtId="164" fontId="3" fillId="0" borderId="33" xfId="0" applyNumberFormat="1" applyFont="1" applyBorder="1" applyAlignment="1">
      <alignment horizontal="left" vertical="center"/>
    </xf>
    <xf numFmtId="0" fontId="3" fillId="0" borderId="32" xfId="0" applyFont="1" applyBorder="1" applyAlignment="1">
      <alignment vertical="center"/>
    </xf>
    <xf numFmtId="164" fontId="3" fillId="0" borderId="32" xfId="0" applyNumberFormat="1" applyFont="1" applyBorder="1" applyAlignment="1">
      <alignment horizontal="left" vertical="center"/>
    </xf>
    <xf numFmtId="0" fontId="3" fillId="0" borderId="56" xfId="0" applyFont="1" applyBorder="1" applyAlignment="1">
      <alignment horizontal="left" vertical="center" wrapText="1"/>
    </xf>
    <xf numFmtId="0" fontId="3" fillId="0" borderId="57" xfId="0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/>
    </xf>
    <xf numFmtId="0" fontId="3" fillId="0" borderId="46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5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3" fillId="0" borderId="66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 wrapText="1"/>
    </xf>
    <xf numFmtId="0" fontId="3" fillId="0" borderId="69" xfId="0" applyFont="1" applyBorder="1" applyAlignment="1">
      <alignment horizontal="center" vertical="top" wrapText="1"/>
    </xf>
    <xf numFmtId="164" fontId="11" fillId="0" borderId="93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60" xfId="0" applyFont="1" applyBorder="1" applyAlignment="1">
      <alignment horizontal="left" vertical="top" wrapText="1"/>
    </xf>
    <xf numFmtId="0" fontId="3" fillId="0" borderId="79" xfId="0" quotePrefix="1" applyFont="1" applyBorder="1" applyAlignment="1">
      <alignment horizontal="center" vertical="top" wrapText="1"/>
    </xf>
    <xf numFmtId="0" fontId="3" fillId="0" borderId="70" xfId="0" quotePrefix="1" applyFont="1" applyBorder="1" applyAlignment="1">
      <alignment horizontal="center" vertical="top" wrapText="1"/>
    </xf>
    <xf numFmtId="0" fontId="3" fillId="0" borderId="87" xfId="0" quotePrefix="1" applyFont="1" applyBorder="1" applyAlignment="1">
      <alignment horizontal="center" vertical="top" wrapText="1"/>
    </xf>
    <xf numFmtId="0" fontId="3" fillId="0" borderId="83" xfId="0" quotePrefix="1" applyFont="1" applyBorder="1" applyAlignment="1">
      <alignment horizontal="center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6" xfId="0" quotePrefix="1" applyFont="1" applyBorder="1" applyAlignment="1">
      <alignment horizontal="center" vertical="top" wrapText="1"/>
    </xf>
    <xf numFmtId="0" fontId="3" fillId="0" borderId="31" xfId="1" quotePrefix="1" applyFont="1" applyBorder="1" applyAlignment="1">
      <alignment horizontal="center" vertical="center"/>
    </xf>
    <xf numFmtId="0" fontId="3" fillId="0" borderId="74" xfId="0" applyFont="1" applyBorder="1" applyAlignment="1">
      <alignment horizontal="left" vertical="center" wrapText="1"/>
    </xf>
    <xf numFmtId="0" fontId="3" fillId="0" borderId="72" xfId="0" quotePrefix="1" applyFont="1" applyBorder="1" applyAlignment="1">
      <alignment horizontal="center" vertical="top" wrapText="1"/>
    </xf>
    <xf numFmtId="0" fontId="3" fillId="0" borderId="94" xfId="0" applyFont="1" applyBorder="1" applyAlignment="1">
      <alignment horizontal="center" vertical="top" wrapText="1"/>
    </xf>
    <xf numFmtId="0" fontId="3" fillId="0" borderId="46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78" xfId="0" applyFont="1" applyBorder="1" applyAlignment="1">
      <alignment vertical="center"/>
    </xf>
    <xf numFmtId="0" fontId="3" fillId="0" borderId="21" xfId="0" applyFont="1" applyBorder="1" applyAlignment="1">
      <alignment horizontal="left" vertical="center" wrapText="1"/>
    </xf>
    <xf numFmtId="0" fontId="14" fillId="0" borderId="68" xfId="0" applyFont="1" applyBorder="1" applyAlignment="1">
      <alignment horizontal="left" vertical="center" wrapText="1"/>
    </xf>
    <xf numFmtId="0" fontId="3" fillId="0" borderId="62" xfId="0" applyFont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0" fontId="5" fillId="3" borderId="46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left" vertical="center" wrapText="1"/>
    </xf>
    <xf numFmtId="14" fontId="3" fillId="4" borderId="14" xfId="0" applyNumberFormat="1" applyFont="1" applyFill="1" applyBorder="1" applyAlignment="1">
      <alignment vertical="center"/>
    </xf>
    <xf numFmtId="164" fontId="11" fillId="4" borderId="15" xfId="0" applyNumberFormat="1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vertical="center"/>
    </xf>
    <xf numFmtId="164" fontId="3" fillId="4" borderId="15" xfId="0" applyNumberFormat="1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center" vertical="center"/>
    </xf>
    <xf numFmtId="14" fontId="3" fillId="4" borderId="7" xfId="0" applyNumberFormat="1" applyFont="1" applyFill="1" applyBorder="1" applyAlignment="1">
      <alignment vertical="center"/>
    </xf>
    <xf numFmtId="164" fontId="3" fillId="4" borderId="8" xfId="0" applyNumberFormat="1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horizontal="center" vertical="center"/>
    </xf>
    <xf numFmtId="164" fontId="11" fillId="4" borderId="8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vertical="center"/>
    </xf>
    <xf numFmtId="164" fontId="3" fillId="4" borderId="4" xfId="0" applyNumberFormat="1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72" xfId="0" applyFont="1" applyFill="1" applyBorder="1" applyAlignment="1">
      <alignment horizontal="left" vertical="center" wrapText="1"/>
    </xf>
    <xf numFmtId="0" fontId="3" fillId="4" borderId="70" xfId="0" applyFont="1" applyFill="1" applyBorder="1" applyAlignment="1">
      <alignment horizontal="center" vertical="top" wrapText="1"/>
    </xf>
    <xf numFmtId="0" fontId="3" fillId="4" borderId="68" xfId="0" applyFont="1" applyFill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43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center" wrapText="1"/>
    </xf>
    <xf numFmtId="0" fontId="10" fillId="4" borderId="67" xfId="0" applyFont="1" applyFill="1" applyBorder="1" applyAlignment="1">
      <alignment horizontal="left" vertical="top" wrapText="1"/>
    </xf>
    <xf numFmtId="0" fontId="3" fillId="4" borderId="81" xfId="0" applyFont="1" applyFill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56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3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54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54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57150</xdr:rowOff>
    </xdr:from>
    <xdr:to>
      <xdr:col>2</xdr:col>
      <xdr:colOff>466725</xdr:colOff>
      <xdr:row>3</xdr:row>
      <xdr:rowOff>228600</xdr:rowOff>
    </xdr:to>
    <xdr:pic>
      <xdr:nvPicPr>
        <xdr:cNvPr id="2" name="Picture 1" descr="logo sma warna">
          <a:extLst>
            <a:ext uri="{FF2B5EF4-FFF2-40B4-BE49-F238E27FC236}">
              <a16:creationId xmlns:a16="http://schemas.microsoft.com/office/drawing/2014/main" id="{5A98050F-6595-4496-BD1E-BEDF8CAB3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104775</xdr:colOff>
      <xdr:row>50</xdr:row>
      <xdr:rowOff>66675</xdr:rowOff>
    </xdr:from>
    <xdr:to>
      <xdr:col>2</xdr:col>
      <xdr:colOff>552450</xdr:colOff>
      <xdr:row>52</xdr:row>
      <xdr:rowOff>238125</xdr:rowOff>
    </xdr:to>
    <xdr:pic>
      <xdr:nvPicPr>
        <xdr:cNvPr id="3" name="Picture 1" descr="logo sma warna">
          <a:extLst>
            <a:ext uri="{FF2B5EF4-FFF2-40B4-BE49-F238E27FC236}">
              <a16:creationId xmlns:a16="http://schemas.microsoft.com/office/drawing/2014/main" id="{8031DB29-2BA9-41D3-B6C8-5B75E4633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5249525"/>
          <a:ext cx="8763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98</xdr:row>
      <xdr:rowOff>47625</xdr:rowOff>
    </xdr:from>
    <xdr:to>
      <xdr:col>2</xdr:col>
      <xdr:colOff>466725</xdr:colOff>
      <xdr:row>100</xdr:row>
      <xdr:rowOff>219075</xdr:rowOff>
    </xdr:to>
    <xdr:pic>
      <xdr:nvPicPr>
        <xdr:cNvPr id="4" name="Picture 1" descr="logo sma warna">
          <a:extLst>
            <a:ext uri="{FF2B5EF4-FFF2-40B4-BE49-F238E27FC236}">
              <a16:creationId xmlns:a16="http://schemas.microsoft.com/office/drawing/2014/main" id="{496D3D16-0A25-4B0F-B3F4-3FC3B0123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994225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146</xdr:row>
      <xdr:rowOff>47625</xdr:rowOff>
    </xdr:from>
    <xdr:to>
      <xdr:col>2</xdr:col>
      <xdr:colOff>466725</xdr:colOff>
      <xdr:row>148</xdr:row>
      <xdr:rowOff>219075</xdr:rowOff>
    </xdr:to>
    <xdr:pic>
      <xdr:nvPicPr>
        <xdr:cNvPr id="5" name="Picture 1" descr="logo sma warna">
          <a:extLst>
            <a:ext uri="{FF2B5EF4-FFF2-40B4-BE49-F238E27FC236}">
              <a16:creationId xmlns:a16="http://schemas.microsoft.com/office/drawing/2014/main" id="{7EC0B49E-FD44-4D26-A4E5-20DF1256D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4538900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194</xdr:row>
      <xdr:rowOff>47625</xdr:rowOff>
    </xdr:from>
    <xdr:to>
      <xdr:col>2</xdr:col>
      <xdr:colOff>466725</xdr:colOff>
      <xdr:row>196</xdr:row>
      <xdr:rowOff>219075</xdr:rowOff>
    </xdr:to>
    <xdr:pic>
      <xdr:nvPicPr>
        <xdr:cNvPr id="6" name="Picture 1" descr="logo sma warna">
          <a:extLst>
            <a:ext uri="{FF2B5EF4-FFF2-40B4-BE49-F238E27FC236}">
              <a16:creationId xmlns:a16="http://schemas.microsoft.com/office/drawing/2014/main" id="{B2F8B7DE-B304-442C-A3CB-971D8EE48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9016900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242</xdr:row>
      <xdr:rowOff>47625</xdr:rowOff>
    </xdr:from>
    <xdr:to>
      <xdr:col>2</xdr:col>
      <xdr:colOff>466725</xdr:colOff>
      <xdr:row>244</xdr:row>
      <xdr:rowOff>219075</xdr:rowOff>
    </xdr:to>
    <xdr:pic>
      <xdr:nvPicPr>
        <xdr:cNvPr id="7" name="Picture 1" descr="logo sma warna">
          <a:extLst>
            <a:ext uri="{FF2B5EF4-FFF2-40B4-BE49-F238E27FC236}">
              <a16:creationId xmlns:a16="http://schemas.microsoft.com/office/drawing/2014/main" id="{D7C18736-4DB5-4B97-95CC-B8AFE22E2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3494900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288</xdr:row>
      <xdr:rowOff>47625</xdr:rowOff>
    </xdr:from>
    <xdr:to>
      <xdr:col>2</xdr:col>
      <xdr:colOff>466725</xdr:colOff>
      <xdr:row>290</xdr:row>
      <xdr:rowOff>219075</xdr:rowOff>
    </xdr:to>
    <xdr:pic>
      <xdr:nvPicPr>
        <xdr:cNvPr id="8" name="Picture 1" descr="logo sma warna">
          <a:extLst>
            <a:ext uri="{FF2B5EF4-FFF2-40B4-BE49-F238E27FC236}">
              <a16:creationId xmlns:a16="http://schemas.microsoft.com/office/drawing/2014/main" id="{82B11A3B-BBDA-476C-A9ED-BAA445F97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87344250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334</xdr:row>
      <xdr:rowOff>47625</xdr:rowOff>
    </xdr:from>
    <xdr:to>
      <xdr:col>2</xdr:col>
      <xdr:colOff>466725</xdr:colOff>
      <xdr:row>336</xdr:row>
      <xdr:rowOff>219075</xdr:rowOff>
    </xdr:to>
    <xdr:pic>
      <xdr:nvPicPr>
        <xdr:cNvPr id="9" name="Picture 1" descr="logo sma warna">
          <a:extLst>
            <a:ext uri="{FF2B5EF4-FFF2-40B4-BE49-F238E27FC236}">
              <a16:creationId xmlns:a16="http://schemas.microsoft.com/office/drawing/2014/main" id="{E8715DEE-721A-4D2D-B425-B11A1E9BC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01193600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</xdr:row>
      <xdr:rowOff>104775</xdr:rowOff>
    </xdr:from>
    <xdr:to>
      <xdr:col>2</xdr:col>
      <xdr:colOff>504825</xdr:colOff>
      <xdr:row>4</xdr:row>
      <xdr:rowOff>161925</xdr:rowOff>
    </xdr:to>
    <xdr:pic>
      <xdr:nvPicPr>
        <xdr:cNvPr id="2" name="Picture 1" descr="logo sma warna">
          <a:extLst>
            <a:ext uri="{FF2B5EF4-FFF2-40B4-BE49-F238E27FC236}">
              <a16:creationId xmlns:a16="http://schemas.microsoft.com/office/drawing/2014/main" id="{6E0569E6-5F74-4838-940B-DF2C97957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1432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171450</xdr:colOff>
      <xdr:row>52</xdr:row>
      <xdr:rowOff>57150</xdr:rowOff>
    </xdr:from>
    <xdr:to>
      <xdr:col>2</xdr:col>
      <xdr:colOff>514350</xdr:colOff>
      <xdr:row>55</xdr:row>
      <xdr:rowOff>114300</xdr:rowOff>
    </xdr:to>
    <xdr:pic>
      <xdr:nvPicPr>
        <xdr:cNvPr id="3" name="Picture 1" descr="logo sma warna">
          <a:extLst>
            <a:ext uri="{FF2B5EF4-FFF2-40B4-BE49-F238E27FC236}">
              <a16:creationId xmlns:a16="http://schemas.microsoft.com/office/drawing/2014/main" id="{0CAB3590-519F-48FC-A1F3-2D72C7FB2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105852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161925</xdr:colOff>
      <xdr:row>102</xdr:row>
      <xdr:rowOff>66675</xdr:rowOff>
    </xdr:from>
    <xdr:to>
      <xdr:col>2</xdr:col>
      <xdr:colOff>504825</xdr:colOff>
      <xdr:row>105</xdr:row>
      <xdr:rowOff>123825</xdr:rowOff>
    </xdr:to>
    <xdr:pic>
      <xdr:nvPicPr>
        <xdr:cNvPr id="4" name="Picture 1" descr="logo sma warna">
          <a:extLst>
            <a:ext uri="{FF2B5EF4-FFF2-40B4-BE49-F238E27FC236}">
              <a16:creationId xmlns:a16="http://schemas.microsoft.com/office/drawing/2014/main" id="{2E834D49-B578-4241-8CEF-3E5B0698C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1621750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133350</xdr:colOff>
      <xdr:row>152</xdr:row>
      <xdr:rowOff>66675</xdr:rowOff>
    </xdr:from>
    <xdr:to>
      <xdr:col>2</xdr:col>
      <xdr:colOff>476250</xdr:colOff>
      <xdr:row>155</xdr:row>
      <xdr:rowOff>123825</xdr:rowOff>
    </xdr:to>
    <xdr:pic>
      <xdr:nvPicPr>
        <xdr:cNvPr id="5" name="Picture 1" descr="logo sma warna">
          <a:extLst>
            <a:ext uri="{FF2B5EF4-FFF2-40B4-BE49-F238E27FC236}">
              <a16:creationId xmlns:a16="http://schemas.microsoft.com/office/drawing/2014/main" id="{A1BCF2E8-4BE4-4A20-8E46-099E7D94B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218497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66675</xdr:colOff>
      <xdr:row>202</xdr:row>
      <xdr:rowOff>57150</xdr:rowOff>
    </xdr:from>
    <xdr:to>
      <xdr:col>2</xdr:col>
      <xdr:colOff>409575</xdr:colOff>
      <xdr:row>205</xdr:row>
      <xdr:rowOff>114300</xdr:rowOff>
    </xdr:to>
    <xdr:pic>
      <xdr:nvPicPr>
        <xdr:cNvPr id="6" name="Picture 1" descr="logo sma warna">
          <a:extLst>
            <a:ext uri="{FF2B5EF4-FFF2-40B4-BE49-F238E27FC236}">
              <a16:creationId xmlns:a16="http://schemas.microsoft.com/office/drawing/2014/main" id="{B523F799-7483-40E3-BB47-28A354F7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42748200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180975</xdr:colOff>
      <xdr:row>252</xdr:row>
      <xdr:rowOff>76200</xdr:rowOff>
    </xdr:from>
    <xdr:to>
      <xdr:col>2</xdr:col>
      <xdr:colOff>523875</xdr:colOff>
      <xdr:row>255</xdr:row>
      <xdr:rowOff>133350</xdr:rowOff>
    </xdr:to>
    <xdr:pic>
      <xdr:nvPicPr>
        <xdr:cNvPr id="7" name="Picture 1" descr="logo sma warna">
          <a:extLst>
            <a:ext uri="{FF2B5EF4-FFF2-40B4-BE49-F238E27FC236}">
              <a16:creationId xmlns:a16="http://schemas.microsoft.com/office/drawing/2014/main" id="{A8233EE5-C012-4A7A-BF75-6F5A5D182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5331142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171450</xdr:colOff>
      <xdr:row>299</xdr:row>
      <xdr:rowOff>57150</xdr:rowOff>
    </xdr:from>
    <xdr:to>
      <xdr:col>2</xdr:col>
      <xdr:colOff>514350</xdr:colOff>
      <xdr:row>302</xdr:row>
      <xdr:rowOff>114300</xdr:rowOff>
    </xdr:to>
    <xdr:pic>
      <xdr:nvPicPr>
        <xdr:cNvPr id="8" name="Picture 1" descr="logo sma warna">
          <a:extLst>
            <a:ext uri="{FF2B5EF4-FFF2-40B4-BE49-F238E27FC236}">
              <a16:creationId xmlns:a16="http://schemas.microsoft.com/office/drawing/2014/main" id="{75042267-7BC1-4927-9545-E7C4AB2CC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3226950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152400</xdr:colOff>
      <xdr:row>347</xdr:row>
      <xdr:rowOff>95250</xdr:rowOff>
    </xdr:from>
    <xdr:to>
      <xdr:col>2</xdr:col>
      <xdr:colOff>495300</xdr:colOff>
      <xdr:row>350</xdr:row>
      <xdr:rowOff>152400</xdr:rowOff>
    </xdr:to>
    <xdr:pic>
      <xdr:nvPicPr>
        <xdr:cNvPr id="9" name="Picture 1" descr="logo sma warna">
          <a:extLst>
            <a:ext uri="{FF2B5EF4-FFF2-40B4-BE49-F238E27FC236}">
              <a16:creationId xmlns:a16="http://schemas.microsoft.com/office/drawing/2014/main" id="{B9E65C68-9083-41C4-BD0B-4C6CF5103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342822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57150</xdr:rowOff>
    </xdr:from>
    <xdr:to>
      <xdr:col>2</xdr:col>
      <xdr:colOff>466725</xdr:colOff>
      <xdr:row>3</xdr:row>
      <xdr:rowOff>228600</xdr:rowOff>
    </xdr:to>
    <xdr:pic>
      <xdr:nvPicPr>
        <xdr:cNvPr id="152712" name="Picture 1" descr="logo sma warna">
          <a:extLst>
            <a:ext uri="{FF2B5EF4-FFF2-40B4-BE49-F238E27FC236}">
              <a16:creationId xmlns:a16="http://schemas.microsoft.com/office/drawing/2014/main" id="{12887BE5-D521-D8E0-D5A9-18732B30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104775</xdr:colOff>
      <xdr:row>50</xdr:row>
      <xdr:rowOff>66675</xdr:rowOff>
    </xdr:from>
    <xdr:to>
      <xdr:col>2</xdr:col>
      <xdr:colOff>552450</xdr:colOff>
      <xdr:row>52</xdr:row>
      <xdr:rowOff>238125</xdr:rowOff>
    </xdr:to>
    <xdr:pic>
      <xdr:nvPicPr>
        <xdr:cNvPr id="152713" name="Picture 1" descr="logo sma warna">
          <a:extLst>
            <a:ext uri="{FF2B5EF4-FFF2-40B4-BE49-F238E27FC236}">
              <a16:creationId xmlns:a16="http://schemas.microsoft.com/office/drawing/2014/main" id="{12FDA076-5765-D5F9-2C90-7E6AF848E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3992225"/>
          <a:ext cx="8763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98</xdr:row>
      <xdr:rowOff>47625</xdr:rowOff>
    </xdr:from>
    <xdr:to>
      <xdr:col>2</xdr:col>
      <xdr:colOff>466725</xdr:colOff>
      <xdr:row>100</xdr:row>
      <xdr:rowOff>219075</xdr:rowOff>
    </xdr:to>
    <xdr:pic>
      <xdr:nvPicPr>
        <xdr:cNvPr id="152714" name="Picture 1" descr="logo sma warna">
          <a:extLst>
            <a:ext uri="{FF2B5EF4-FFF2-40B4-BE49-F238E27FC236}">
              <a16:creationId xmlns:a16="http://schemas.microsoft.com/office/drawing/2014/main" id="{1E2FC38A-A6C9-4014-23E4-C847A58D9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7479625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146</xdr:row>
      <xdr:rowOff>47625</xdr:rowOff>
    </xdr:from>
    <xdr:to>
      <xdr:col>2</xdr:col>
      <xdr:colOff>466725</xdr:colOff>
      <xdr:row>148</xdr:row>
      <xdr:rowOff>219075</xdr:rowOff>
    </xdr:to>
    <xdr:pic>
      <xdr:nvPicPr>
        <xdr:cNvPr id="152715" name="Picture 1" descr="logo sma warna">
          <a:extLst>
            <a:ext uri="{FF2B5EF4-FFF2-40B4-BE49-F238E27FC236}">
              <a16:creationId xmlns:a16="http://schemas.microsoft.com/office/drawing/2014/main" id="{023628BA-E21A-845A-4657-8421BC7BF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1395650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194</xdr:row>
      <xdr:rowOff>47625</xdr:rowOff>
    </xdr:from>
    <xdr:to>
      <xdr:col>2</xdr:col>
      <xdr:colOff>466725</xdr:colOff>
      <xdr:row>196</xdr:row>
      <xdr:rowOff>219075</xdr:rowOff>
    </xdr:to>
    <xdr:pic>
      <xdr:nvPicPr>
        <xdr:cNvPr id="152716" name="Picture 1" descr="logo sma warna">
          <a:extLst>
            <a:ext uri="{FF2B5EF4-FFF2-40B4-BE49-F238E27FC236}">
              <a16:creationId xmlns:a16="http://schemas.microsoft.com/office/drawing/2014/main" id="{E8E10E1D-44EB-BFAC-044C-F5C91CBF9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4930675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242</xdr:row>
      <xdr:rowOff>47625</xdr:rowOff>
    </xdr:from>
    <xdr:to>
      <xdr:col>2</xdr:col>
      <xdr:colOff>466725</xdr:colOff>
      <xdr:row>244</xdr:row>
      <xdr:rowOff>219075</xdr:rowOff>
    </xdr:to>
    <xdr:pic>
      <xdr:nvPicPr>
        <xdr:cNvPr id="152717" name="Picture 1" descr="logo sma warna">
          <a:extLst>
            <a:ext uri="{FF2B5EF4-FFF2-40B4-BE49-F238E27FC236}">
              <a16:creationId xmlns:a16="http://schemas.microsoft.com/office/drawing/2014/main" id="{598CABFE-D062-E8DE-80C1-9A446E5B3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8780025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288</xdr:row>
      <xdr:rowOff>47625</xdr:rowOff>
    </xdr:from>
    <xdr:to>
      <xdr:col>2</xdr:col>
      <xdr:colOff>466725</xdr:colOff>
      <xdr:row>290</xdr:row>
      <xdr:rowOff>219075</xdr:rowOff>
    </xdr:to>
    <xdr:pic>
      <xdr:nvPicPr>
        <xdr:cNvPr id="152718" name="Picture 1" descr="logo sma warna">
          <a:extLst>
            <a:ext uri="{FF2B5EF4-FFF2-40B4-BE49-F238E27FC236}">
              <a16:creationId xmlns:a16="http://schemas.microsoft.com/office/drawing/2014/main" id="{063FB666-9CD9-EDC7-EF0E-258FCB939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82629375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334</xdr:row>
      <xdr:rowOff>47625</xdr:rowOff>
    </xdr:from>
    <xdr:to>
      <xdr:col>2</xdr:col>
      <xdr:colOff>466725</xdr:colOff>
      <xdr:row>336</xdr:row>
      <xdr:rowOff>219075</xdr:rowOff>
    </xdr:to>
    <xdr:pic>
      <xdr:nvPicPr>
        <xdr:cNvPr id="152719" name="Picture 1" descr="logo sma warna">
          <a:extLst>
            <a:ext uri="{FF2B5EF4-FFF2-40B4-BE49-F238E27FC236}">
              <a16:creationId xmlns:a16="http://schemas.microsoft.com/office/drawing/2014/main" id="{5DECA1F0-52F8-3290-A4AA-E9510AB3E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96478725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381</xdr:row>
      <xdr:rowOff>47625</xdr:rowOff>
    </xdr:from>
    <xdr:to>
      <xdr:col>2</xdr:col>
      <xdr:colOff>466725</xdr:colOff>
      <xdr:row>383</xdr:row>
      <xdr:rowOff>219075</xdr:rowOff>
    </xdr:to>
    <xdr:pic>
      <xdr:nvPicPr>
        <xdr:cNvPr id="10" name="Picture 1" descr="logo sma warna">
          <a:extLst>
            <a:ext uri="{FF2B5EF4-FFF2-40B4-BE49-F238E27FC236}">
              <a16:creationId xmlns:a16="http://schemas.microsoft.com/office/drawing/2014/main" id="{5AE57312-D02B-4D5F-A76D-F20717270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99881531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</xdr:row>
      <xdr:rowOff>104775</xdr:rowOff>
    </xdr:from>
    <xdr:to>
      <xdr:col>2</xdr:col>
      <xdr:colOff>504825</xdr:colOff>
      <xdr:row>4</xdr:row>
      <xdr:rowOff>161925</xdr:rowOff>
    </xdr:to>
    <xdr:pic>
      <xdr:nvPicPr>
        <xdr:cNvPr id="128918" name="Picture 1" descr="logo sma warna">
          <a:extLst>
            <a:ext uri="{FF2B5EF4-FFF2-40B4-BE49-F238E27FC236}">
              <a16:creationId xmlns:a16="http://schemas.microsoft.com/office/drawing/2014/main" id="{1D2852DC-9181-FD8B-BB8E-A8EA70399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1432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171450</xdr:colOff>
      <xdr:row>52</xdr:row>
      <xdr:rowOff>57150</xdr:rowOff>
    </xdr:from>
    <xdr:to>
      <xdr:col>2</xdr:col>
      <xdr:colOff>514350</xdr:colOff>
      <xdr:row>55</xdr:row>
      <xdr:rowOff>114300</xdr:rowOff>
    </xdr:to>
    <xdr:pic>
      <xdr:nvPicPr>
        <xdr:cNvPr id="128919" name="Picture 1" descr="logo sma warna">
          <a:extLst>
            <a:ext uri="{FF2B5EF4-FFF2-40B4-BE49-F238E27FC236}">
              <a16:creationId xmlns:a16="http://schemas.microsoft.com/office/drawing/2014/main" id="{3998956E-AB0C-574F-B138-555543484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01077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161925</xdr:colOff>
      <xdr:row>102</xdr:row>
      <xdr:rowOff>66675</xdr:rowOff>
    </xdr:from>
    <xdr:to>
      <xdr:col>2</xdr:col>
      <xdr:colOff>504825</xdr:colOff>
      <xdr:row>105</xdr:row>
      <xdr:rowOff>123825</xdr:rowOff>
    </xdr:to>
    <xdr:pic>
      <xdr:nvPicPr>
        <xdr:cNvPr id="128920" name="Picture 1" descr="logo sma warna">
          <a:extLst>
            <a:ext uri="{FF2B5EF4-FFF2-40B4-BE49-F238E27FC236}">
              <a16:creationId xmlns:a16="http://schemas.microsoft.com/office/drawing/2014/main" id="{F7B2EDB1-5DBA-45C6-6BB7-6A98A3BF9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735800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133350</xdr:colOff>
      <xdr:row>152</xdr:row>
      <xdr:rowOff>66675</xdr:rowOff>
    </xdr:from>
    <xdr:to>
      <xdr:col>2</xdr:col>
      <xdr:colOff>476250</xdr:colOff>
      <xdr:row>155</xdr:row>
      <xdr:rowOff>123825</xdr:rowOff>
    </xdr:to>
    <xdr:pic>
      <xdr:nvPicPr>
        <xdr:cNvPr id="128921" name="Picture 1" descr="logo sma warna">
          <a:extLst>
            <a:ext uri="{FF2B5EF4-FFF2-40B4-BE49-F238E27FC236}">
              <a16:creationId xmlns:a16="http://schemas.microsoft.com/office/drawing/2014/main" id="{300809A5-C5A1-6769-B9F1-628E8E7A3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946082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66675</xdr:colOff>
      <xdr:row>202</xdr:row>
      <xdr:rowOff>57150</xdr:rowOff>
    </xdr:from>
    <xdr:to>
      <xdr:col>2</xdr:col>
      <xdr:colOff>409575</xdr:colOff>
      <xdr:row>205</xdr:row>
      <xdr:rowOff>114300</xdr:rowOff>
    </xdr:to>
    <xdr:pic>
      <xdr:nvPicPr>
        <xdr:cNvPr id="128922" name="Picture 1" descr="logo sma warna">
          <a:extLst>
            <a:ext uri="{FF2B5EF4-FFF2-40B4-BE49-F238E27FC236}">
              <a16:creationId xmlns:a16="http://schemas.microsoft.com/office/drawing/2014/main" id="{8D6724DD-1784-A8AA-3128-ECD58A73D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39185850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180975</xdr:colOff>
      <xdr:row>252</xdr:row>
      <xdr:rowOff>76200</xdr:rowOff>
    </xdr:from>
    <xdr:to>
      <xdr:col>2</xdr:col>
      <xdr:colOff>523875</xdr:colOff>
      <xdr:row>255</xdr:row>
      <xdr:rowOff>133350</xdr:rowOff>
    </xdr:to>
    <xdr:pic>
      <xdr:nvPicPr>
        <xdr:cNvPr id="128923" name="Picture 1" descr="logo sma warna">
          <a:extLst>
            <a:ext uri="{FF2B5EF4-FFF2-40B4-BE49-F238E27FC236}">
              <a16:creationId xmlns:a16="http://schemas.microsoft.com/office/drawing/2014/main" id="{203D1F6B-18EC-487C-5B61-AE6F6B468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4870132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171450</xdr:colOff>
      <xdr:row>299</xdr:row>
      <xdr:rowOff>57150</xdr:rowOff>
    </xdr:from>
    <xdr:to>
      <xdr:col>2</xdr:col>
      <xdr:colOff>514350</xdr:colOff>
      <xdr:row>302</xdr:row>
      <xdr:rowOff>114300</xdr:rowOff>
    </xdr:to>
    <xdr:pic>
      <xdr:nvPicPr>
        <xdr:cNvPr id="128924" name="Picture 1" descr="logo sma warna">
          <a:extLst>
            <a:ext uri="{FF2B5EF4-FFF2-40B4-BE49-F238E27FC236}">
              <a16:creationId xmlns:a16="http://schemas.microsoft.com/office/drawing/2014/main" id="{3ECF484B-B88C-1027-334C-DC6098C55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7988200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152400</xdr:colOff>
      <xdr:row>347</xdr:row>
      <xdr:rowOff>95250</xdr:rowOff>
    </xdr:from>
    <xdr:to>
      <xdr:col>2</xdr:col>
      <xdr:colOff>495300</xdr:colOff>
      <xdr:row>350</xdr:row>
      <xdr:rowOff>152400</xdr:rowOff>
    </xdr:to>
    <xdr:pic>
      <xdr:nvPicPr>
        <xdr:cNvPr id="128925" name="Picture 1" descr="logo sma warna">
          <a:extLst>
            <a:ext uri="{FF2B5EF4-FFF2-40B4-BE49-F238E27FC236}">
              <a16:creationId xmlns:a16="http://schemas.microsoft.com/office/drawing/2014/main" id="{7D5F86EF-AC2A-F809-3686-21E4C13B4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797992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152400</xdr:colOff>
      <xdr:row>395</xdr:row>
      <xdr:rowOff>95250</xdr:rowOff>
    </xdr:from>
    <xdr:to>
      <xdr:col>2</xdr:col>
      <xdr:colOff>495300</xdr:colOff>
      <xdr:row>398</xdr:row>
      <xdr:rowOff>152400</xdr:rowOff>
    </xdr:to>
    <xdr:pic>
      <xdr:nvPicPr>
        <xdr:cNvPr id="10" name="Picture 1" descr="logo sma warna">
          <a:extLst>
            <a:ext uri="{FF2B5EF4-FFF2-40B4-BE49-F238E27FC236}">
              <a16:creationId xmlns:a16="http://schemas.microsoft.com/office/drawing/2014/main" id="{F136457C-3E7D-4CD6-BE12-722D9CFC7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342822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57150</xdr:rowOff>
    </xdr:from>
    <xdr:to>
      <xdr:col>2</xdr:col>
      <xdr:colOff>466725</xdr:colOff>
      <xdr:row>3</xdr:row>
      <xdr:rowOff>228600</xdr:rowOff>
    </xdr:to>
    <xdr:pic>
      <xdr:nvPicPr>
        <xdr:cNvPr id="2" name="Picture 1" descr="logo sma warna">
          <a:extLst>
            <a:ext uri="{FF2B5EF4-FFF2-40B4-BE49-F238E27FC236}">
              <a16:creationId xmlns:a16="http://schemas.microsoft.com/office/drawing/2014/main" id="{2A8828D0-1790-4C35-A31D-5AF77D8A5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104775</xdr:colOff>
      <xdr:row>45</xdr:row>
      <xdr:rowOff>66675</xdr:rowOff>
    </xdr:from>
    <xdr:to>
      <xdr:col>2</xdr:col>
      <xdr:colOff>552450</xdr:colOff>
      <xdr:row>47</xdr:row>
      <xdr:rowOff>238125</xdr:rowOff>
    </xdr:to>
    <xdr:pic>
      <xdr:nvPicPr>
        <xdr:cNvPr id="3" name="Picture 1" descr="logo sma warna">
          <a:extLst>
            <a:ext uri="{FF2B5EF4-FFF2-40B4-BE49-F238E27FC236}">
              <a16:creationId xmlns:a16="http://schemas.microsoft.com/office/drawing/2014/main" id="{940D64F6-7DA7-499F-93D7-D00CD330C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3992225"/>
          <a:ext cx="8763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90</xdr:row>
      <xdr:rowOff>47625</xdr:rowOff>
    </xdr:from>
    <xdr:to>
      <xdr:col>2</xdr:col>
      <xdr:colOff>466725</xdr:colOff>
      <xdr:row>92</xdr:row>
      <xdr:rowOff>219075</xdr:rowOff>
    </xdr:to>
    <xdr:pic>
      <xdr:nvPicPr>
        <xdr:cNvPr id="4" name="Picture 1" descr="logo sma warna">
          <a:extLst>
            <a:ext uri="{FF2B5EF4-FFF2-40B4-BE49-F238E27FC236}">
              <a16:creationId xmlns:a16="http://schemas.microsoft.com/office/drawing/2014/main" id="{194BA044-AE4C-487B-88B2-D38DBA92F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7793950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136</xdr:row>
      <xdr:rowOff>47625</xdr:rowOff>
    </xdr:from>
    <xdr:to>
      <xdr:col>2</xdr:col>
      <xdr:colOff>466725</xdr:colOff>
      <xdr:row>138</xdr:row>
      <xdr:rowOff>219075</xdr:rowOff>
    </xdr:to>
    <xdr:pic>
      <xdr:nvPicPr>
        <xdr:cNvPr id="5" name="Picture 1" descr="logo sma warna">
          <a:extLst>
            <a:ext uri="{FF2B5EF4-FFF2-40B4-BE49-F238E27FC236}">
              <a16:creationId xmlns:a16="http://schemas.microsoft.com/office/drawing/2014/main" id="{0DB2685A-6A9E-4195-881B-5C98D08FD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1709975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180</xdr:row>
      <xdr:rowOff>47625</xdr:rowOff>
    </xdr:from>
    <xdr:to>
      <xdr:col>2</xdr:col>
      <xdr:colOff>466725</xdr:colOff>
      <xdr:row>182</xdr:row>
      <xdr:rowOff>219075</xdr:rowOff>
    </xdr:to>
    <xdr:pic>
      <xdr:nvPicPr>
        <xdr:cNvPr id="6" name="Picture 1" descr="logo sma warna">
          <a:extLst>
            <a:ext uri="{FF2B5EF4-FFF2-40B4-BE49-F238E27FC236}">
              <a16:creationId xmlns:a16="http://schemas.microsoft.com/office/drawing/2014/main" id="{09363B6B-41C6-410C-9FBE-D79AB4A18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5245000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226</xdr:row>
      <xdr:rowOff>47625</xdr:rowOff>
    </xdr:from>
    <xdr:to>
      <xdr:col>2</xdr:col>
      <xdr:colOff>466725</xdr:colOff>
      <xdr:row>228</xdr:row>
      <xdr:rowOff>219075</xdr:rowOff>
    </xdr:to>
    <xdr:pic>
      <xdr:nvPicPr>
        <xdr:cNvPr id="7" name="Picture 1" descr="logo sma warna">
          <a:extLst>
            <a:ext uri="{FF2B5EF4-FFF2-40B4-BE49-F238E27FC236}">
              <a16:creationId xmlns:a16="http://schemas.microsoft.com/office/drawing/2014/main" id="{4A706FFF-19F5-4631-B250-F62091295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9094350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272</xdr:row>
      <xdr:rowOff>47625</xdr:rowOff>
    </xdr:from>
    <xdr:to>
      <xdr:col>2</xdr:col>
      <xdr:colOff>466725</xdr:colOff>
      <xdr:row>274</xdr:row>
      <xdr:rowOff>219075</xdr:rowOff>
    </xdr:to>
    <xdr:pic>
      <xdr:nvPicPr>
        <xdr:cNvPr id="8" name="Picture 1" descr="logo sma warna">
          <a:extLst>
            <a:ext uri="{FF2B5EF4-FFF2-40B4-BE49-F238E27FC236}">
              <a16:creationId xmlns:a16="http://schemas.microsoft.com/office/drawing/2014/main" id="{8DD4401D-D8B1-422D-9D47-A3AF07418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82943700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318</xdr:row>
      <xdr:rowOff>47625</xdr:rowOff>
    </xdr:from>
    <xdr:to>
      <xdr:col>2</xdr:col>
      <xdr:colOff>466725</xdr:colOff>
      <xdr:row>320</xdr:row>
      <xdr:rowOff>219075</xdr:rowOff>
    </xdr:to>
    <xdr:pic>
      <xdr:nvPicPr>
        <xdr:cNvPr id="9" name="Picture 1" descr="logo sma warna">
          <a:extLst>
            <a:ext uri="{FF2B5EF4-FFF2-40B4-BE49-F238E27FC236}">
              <a16:creationId xmlns:a16="http://schemas.microsoft.com/office/drawing/2014/main" id="{D157E89A-5A75-4D62-92C9-D44B61E2D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96793050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</xdr:row>
      <xdr:rowOff>104775</xdr:rowOff>
    </xdr:from>
    <xdr:to>
      <xdr:col>2</xdr:col>
      <xdr:colOff>504825</xdr:colOff>
      <xdr:row>4</xdr:row>
      <xdr:rowOff>161925</xdr:rowOff>
    </xdr:to>
    <xdr:pic>
      <xdr:nvPicPr>
        <xdr:cNvPr id="2" name="Picture 1" descr="logo sma warna">
          <a:extLst>
            <a:ext uri="{FF2B5EF4-FFF2-40B4-BE49-F238E27FC236}">
              <a16:creationId xmlns:a16="http://schemas.microsoft.com/office/drawing/2014/main" id="{16BCECC8-3748-4745-A340-F20A5A23F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1432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171450</xdr:colOff>
      <xdr:row>48</xdr:row>
      <xdr:rowOff>57150</xdr:rowOff>
    </xdr:from>
    <xdr:to>
      <xdr:col>2</xdr:col>
      <xdr:colOff>514350</xdr:colOff>
      <xdr:row>51</xdr:row>
      <xdr:rowOff>114300</xdr:rowOff>
    </xdr:to>
    <xdr:pic>
      <xdr:nvPicPr>
        <xdr:cNvPr id="3" name="Picture 1" descr="logo sma warna">
          <a:extLst>
            <a:ext uri="{FF2B5EF4-FFF2-40B4-BE49-F238E27FC236}">
              <a16:creationId xmlns:a16="http://schemas.microsoft.com/office/drawing/2014/main" id="{07F52F12-4B70-43DC-9AD1-FA8C6EC35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22032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161925</xdr:colOff>
      <xdr:row>95</xdr:row>
      <xdr:rowOff>66675</xdr:rowOff>
    </xdr:from>
    <xdr:to>
      <xdr:col>2</xdr:col>
      <xdr:colOff>504825</xdr:colOff>
      <xdr:row>98</xdr:row>
      <xdr:rowOff>123825</xdr:rowOff>
    </xdr:to>
    <xdr:pic>
      <xdr:nvPicPr>
        <xdr:cNvPr id="4" name="Picture 1" descr="logo sma warna">
          <a:extLst>
            <a:ext uri="{FF2B5EF4-FFF2-40B4-BE49-F238E27FC236}">
              <a16:creationId xmlns:a16="http://schemas.microsoft.com/office/drawing/2014/main" id="{AC84E283-987E-4D2E-99EA-B1C0C54FE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0154900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133350</xdr:colOff>
      <xdr:row>142</xdr:row>
      <xdr:rowOff>66675</xdr:rowOff>
    </xdr:from>
    <xdr:to>
      <xdr:col>2</xdr:col>
      <xdr:colOff>476250</xdr:colOff>
      <xdr:row>145</xdr:row>
      <xdr:rowOff>123825</xdr:rowOff>
    </xdr:to>
    <xdr:pic>
      <xdr:nvPicPr>
        <xdr:cNvPr id="5" name="Picture 1" descr="logo sma warna">
          <a:extLst>
            <a:ext uri="{FF2B5EF4-FFF2-40B4-BE49-F238E27FC236}">
              <a16:creationId xmlns:a16="http://schemas.microsoft.com/office/drawing/2014/main" id="{230DA7C6-DB90-45D7-A9C7-BDF68261A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008947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66675</xdr:colOff>
      <xdr:row>189</xdr:row>
      <xdr:rowOff>57150</xdr:rowOff>
    </xdr:from>
    <xdr:to>
      <xdr:col>2</xdr:col>
      <xdr:colOff>409575</xdr:colOff>
      <xdr:row>192</xdr:row>
      <xdr:rowOff>114300</xdr:rowOff>
    </xdr:to>
    <xdr:pic>
      <xdr:nvPicPr>
        <xdr:cNvPr id="6" name="Picture 1" descr="logo sma warna">
          <a:extLst>
            <a:ext uri="{FF2B5EF4-FFF2-40B4-BE49-F238E27FC236}">
              <a16:creationId xmlns:a16="http://schemas.microsoft.com/office/drawing/2014/main" id="{863D42AC-99FA-40AE-83D2-F31A8C701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40024050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180975</xdr:colOff>
      <xdr:row>236</xdr:row>
      <xdr:rowOff>76200</xdr:rowOff>
    </xdr:from>
    <xdr:to>
      <xdr:col>2</xdr:col>
      <xdr:colOff>523875</xdr:colOff>
      <xdr:row>239</xdr:row>
      <xdr:rowOff>133350</xdr:rowOff>
    </xdr:to>
    <xdr:pic>
      <xdr:nvPicPr>
        <xdr:cNvPr id="7" name="Picture 1" descr="logo sma warna">
          <a:extLst>
            <a:ext uri="{FF2B5EF4-FFF2-40B4-BE49-F238E27FC236}">
              <a16:creationId xmlns:a16="http://schemas.microsoft.com/office/drawing/2014/main" id="{7B067FA2-4A72-4428-8A19-0FF3B0F78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4995862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171450</xdr:colOff>
      <xdr:row>280</xdr:row>
      <xdr:rowOff>57150</xdr:rowOff>
    </xdr:from>
    <xdr:to>
      <xdr:col>2</xdr:col>
      <xdr:colOff>514350</xdr:colOff>
      <xdr:row>283</xdr:row>
      <xdr:rowOff>114300</xdr:rowOff>
    </xdr:to>
    <xdr:pic>
      <xdr:nvPicPr>
        <xdr:cNvPr id="8" name="Picture 1" descr="logo sma warna">
          <a:extLst>
            <a:ext uri="{FF2B5EF4-FFF2-40B4-BE49-F238E27FC236}">
              <a16:creationId xmlns:a16="http://schemas.microsoft.com/office/drawing/2014/main" id="{EA93EB3C-6896-4D56-B2D4-4C7C940D7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9245500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152400</xdr:colOff>
      <xdr:row>327</xdr:row>
      <xdr:rowOff>95250</xdr:rowOff>
    </xdr:from>
    <xdr:to>
      <xdr:col>2</xdr:col>
      <xdr:colOff>495300</xdr:colOff>
      <xdr:row>330</xdr:row>
      <xdr:rowOff>152400</xdr:rowOff>
    </xdr:to>
    <xdr:pic>
      <xdr:nvPicPr>
        <xdr:cNvPr id="9" name="Picture 1" descr="logo sma warna">
          <a:extLst>
            <a:ext uri="{FF2B5EF4-FFF2-40B4-BE49-F238E27FC236}">
              <a16:creationId xmlns:a16="http://schemas.microsoft.com/office/drawing/2014/main" id="{797DC4DC-C432-4670-B0CC-788B424A9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9237225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D96C-70F1-4567-A7C7-B3FC6160C03D}">
  <dimension ref="A1:AE380"/>
  <sheetViews>
    <sheetView view="pageBreakPreview" topLeftCell="A358" zoomScale="71" zoomScaleNormal="100" zoomScaleSheetLayoutView="71" workbookViewId="0">
      <selection activeCell="C372" sqref="C372:D372"/>
    </sheetView>
  </sheetViews>
  <sheetFormatPr defaultRowHeight="18.95" customHeight="1" x14ac:dyDescent="0.2"/>
  <cols>
    <col min="1" max="1" width="5.42578125" style="50" customWidth="1"/>
    <col min="2" max="2" width="6.42578125" style="50" customWidth="1"/>
    <col min="3" max="3" width="9" style="50" customWidth="1"/>
    <col min="4" max="4" width="58.7109375" style="50" customWidth="1"/>
    <col min="5" max="5" width="4.42578125" style="50" customWidth="1"/>
    <col min="6" max="8" width="4.140625" style="50" customWidth="1"/>
    <col min="9" max="9" width="4.42578125" style="50" customWidth="1"/>
    <col min="10" max="10" width="4.85546875" style="50" customWidth="1"/>
    <col min="11" max="20" width="4.140625" style="50" customWidth="1"/>
    <col min="21" max="16384" width="9.140625" style="50"/>
  </cols>
  <sheetData>
    <row r="1" spans="1:22" ht="18.95" customHeight="1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95" customHeight="1" x14ac:dyDescent="0.2">
      <c r="A2" s="1"/>
      <c r="B2" s="255"/>
      <c r="C2" s="256"/>
      <c r="D2" s="259" t="s">
        <v>3</v>
      </c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1"/>
      <c r="U2" s="1"/>
      <c r="V2" s="1"/>
    </row>
    <row r="3" spans="1:22" ht="18.95" customHeight="1" x14ac:dyDescent="0.2">
      <c r="A3" s="1"/>
      <c r="B3" s="257"/>
      <c r="C3" s="258"/>
      <c r="D3" s="262" t="s">
        <v>4</v>
      </c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4"/>
      <c r="U3" s="1"/>
      <c r="V3" s="1"/>
    </row>
    <row r="4" spans="1:22" ht="18.95" customHeight="1" thickBot="1" x14ac:dyDescent="0.25">
      <c r="A4" s="1"/>
      <c r="B4" s="257"/>
      <c r="C4" s="258"/>
      <c r="D4" s="265" t="s">
        <v>547</v>
      </c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7"/>
      <c r="U4" s="1"/>
      <c r="V4" s="1"/>
    </row>
    <row r="5" spans="1:22" ht="18.95" customHeight="1" thickBot="1" x14ac:dyDescent="0.25">
      <c r="A5" s="1"/>
      <c r="B5" s="268"/>
      <c r="C5" s="269"/>
      <c r="D5" s="25" t="s">
        <v>560</v>
      </c>
      <c r="E5" s="26"/>
      <c r="F5" s="27" t="s">
        <v>792</v>
      </c>
      <c r="G5" s="27"/>
      <c r="H5" s="27"/>
      <c r="I5" s="28"/>
      <c r="J5" s="28"/>
      <c r="K5" s="27"/>
      <c r="L5" s="27"/>
      <c r="M5" s="27"/>
      <c r="N5" s="27"/>
      <c r="O5" s="27"/>
      <c r="P5" s="27"/>
      <c r="Q5" s="27"/>
      <c r="R5" s="27"/>
      <c r="S5" s="27"/>
      <c r="T5" s="123"/>
      <c r="U5" s="1"/>
      <c r="V5" s="1"/>
    </row>
    <row r="6" spans="1:22" ht="18.95" customHeight="1" thickBot="1" x14ac:dyDescent="0.25">
      <c r="A6" s="1"/>
      <c r="B6" s="271" t="s">
        <v>6</v>
      </c>
      <c r="C6" s="272"/>
      <c r="D6" s="270" t="s">
        <v>7</v>
      </c>
      <c r="E6" s="273" t="s">
        <v>12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1"/>
      <c r="V6" s="1"/>
    </row>
    <row r="7" spans="1:22" ht="23.25" customHeight="1" thickBot="1" x14ac:dyDescent="0.25">
      <c r="A7" s="1"/>
      <c r="B7" s="42" t="s">
        <v>10</v>
      </c>
      <c r="C7" s="29" t="s">
        <v>9</v>
      </c>
      <c r="D7" s="270"/>
      <c r="E7" s="274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1"/>
      <c r="V7" s="1"/>
    </row>
    <row r="8" spans="1:22" ht="24.95" customHeight="1" x14ac:dyDescent="0.2">
      <c r="A8" s="1"/>
      <c r="B8" s="30">
        <v>1</v>
      </c>
      <c r="C8" s="39">
        <v>16383</v>
      </c>
      <c r="D8" s="160" t="s">
        <v>568</v>
      </c>
      <c r="E8" s="169" t="s">
        <v>0</v>
      </c>
      <c r="F8" s="170"/>
      <c r="G8" s="79"/>
      <c r="H8" s="80"/>
      <c r="I8" s="80"/>
      <c r="J8" s="102"/>
      <c r="K8" s="170"/>
      <c r="L8" s="79"/>
      <c r="M8" s="80"/>
      <c r="N8" s="80"/>
      <c r="O8" s="102"/>
      <c r="P8" s="170"/>
      <c r="Q8" s="79"/>
      <c r="R8" s="80"/>
      <c r="S8" s="80"/>
      <c r="T8" s="125"/>
      <c r="U8" s="1"/>
      <c r="V8" s="1"/>
    </row>
    <row r="9" spans="1:22" ht="24.95" customHeight="1" x14ac:dyDescent="0.2">
      <c r="A9" s="1"/>
      <c r="B9" s="30">
        <v>2</v>
      </c>
      <c r="C9" s="39">
        <v>16384</v>
      </c>
      <c r="D9" s="49" t="s">
        <v>569</v>
      </c>
      <c r="E9" s="169" t="s">
        <v>0</v>
      </c>
      <c r="F9" s="170"/>
      <c r="G9" s="60"/>
      <c r="H9" s="2"/>
      <c r="I9" s="2"/>
      <c r="J9" s="102"/>
      <c r="K9" s="170"/>
      <c r="L9" s="60"/>
      <c r="M9" s="2"/>
      <c r="N9" s="2"/>
      <c r="O9" s="102"/>
      <c r="P9" s="170"/>
      <c r="Q9" s="60"/>
      <c r="R9" s="2"/>
      <c r="S9" s="2"/>
      <c r="T9" s="125"/>
      <c r="U9" s="1"/>
      <c r="V9" s="1"/>
    </row>
    <row r="10" spans="1:22" ht="24.95" customHeight="1" x14ac:dyDescent="0.2">
      <c r="A10" s="1"/>
      <c r="B10" s="30">
        <v>3</v>
      </c>
      <c r="C10" s="39">
        <v>16385</v>
      </c>
      <c r="D10" s="49" t="s">
        <v>570</v>
      </c>
      <c r="E10" s="169" t="s">
        <v>0</v>
      </c>
      <c r="F10" s="170"/>
      <c r="G10" s="60"/>
      <c r="H10" s="2"/>
      <c r="I10" s="2"/>
      <c r="J10" s="102"/>
      <c r="K10" s="170"/>
      <c r="L10" s="60"/>
      <c r="M10" s="2"/>
      <c r="N10" s="2"/>
      <c r="O10" s="102"/>
      <c r="P10" s="170"/>
      <c r="Q10" s="60"/>
      <c r="R10" s="2"/>
      <c r="S10" s="2"/>
      <c r="T10" s="125"/>
      <c r="U10" s="1"/>
      <c r="V10" s="1"/>
    </row>
    <row r="11" spans="1:22" ht="24.95" customHeight="1" x14ac:dyDescent="0.2">
      <c r="A11" s="1"/>
      <c r="B11" s="30">
        <v>4</v>
      </c>
      <c r="C11" s="39">
        <v>16386</v>
      </c>
      <c r="D11" s="49" t="s">
        <v>571</v>
      </c>
      <c r="E11" s="169" t="s">
        <v>0</v>
      </c>
      <c r="F11" s="170"/>
      <c r="G11" s="60"/>
      <c r="H11" s="2"/>
      <c r="I11" s="2"/>
      <c r="J11" s="102"/>
      <c r="K11" s="170"/>
      <c r="L11" s="60"/>
      <c r="M11" s="2"/>
      <c r="N11" s="2"/>
      <c r="O11" s="102"/>
      <c r="P11" s="170"/>
      <c r="Q11" s="60"/>
      <c r="R11" s="2"/>
      <c r="S11" s="2"/>
      <c r="T11" s="125"/>
      <c r="U11" s="1"/>
      <c r="V11" s="1"/>
    </row>
    <row r="12" spans="1:22" ht="24.95" customHeight="1" x14ac:dyDescent="0.2">
      <c r="A12" s="1"/>
      <c r="B12" s="30">
        <v>5</v>
      </c>
      <c r="C12" s="39">
        <v>16387</v>
      </c>
      <c r="D12" s="49" t="s">
        <v>572</v>
      </c>
      <c r="E12" s="169" t="s">
        <v>0</v>
      </c>
      <c r="F12" s="170"/>
      <c r="G12" s="60"/>
      <c r="H12" s="2"/>
      <c r="I12" s="2"/>
      <c r="J12" s="102"/>
      <c r="K12" s="170"/>
      <c r="L12" s="60"/>
      <c r="M12" s="2"/>
      <c r="N12" s="2"/>
      <c r="O12" s="102"/>
      <c r="P12" s="170"/>
      <c r="Q12" s="60"/>
      <c r="R12" s="2"/>
      <c r="S12" s="2"/>
      <c r="T12" s="125"/>
      <c r="U12" s="1"/>
      <c r="V12" s="1"/>
    </row>
    <row r="13" spans="1:22" ht="24.95" customHeight="1" x14ac:dyDescent="0.2">
      <c r="A13" s="1"/>
      <c r="B13" s="30">
        <v>6</v>
      </c>
      <c r="C13" s="39">
        <v>16388</v>
      </c>
      <c r="D13" s="49" t="s">
        <v>573</v>
      </c>
      <c r="E13" s="169" t="s">
        <v>0</v>
      </c>
      <c r="F13" s="170"/>
      <c r="G13" s="60"/>
      <c r="H13" s="2"/>
      <c r="I13" s="2"/>
      <c r="J13" s="102"/>
      <c r="K13" s="170"/>
      <c r="L13" s="60"/>
      <c r="M13" s="2"/>
      <c r="N13" s="2"/>
      <c r="O13" s="102"/>
      <c r="P13" s="170"/>
      <c r="Q13" s="60"/>
      <c r="R13" s="2"/>
      <c r="S13" s="2"/>
      <c r="T13" s="125"/>
      <c r="U13" s="1"/>
      <c r="V13" s="1"/>
    </row>
    <row r="14" spans="1:22" ht="24.95" customHeight="1" x14ac:dyDescent="0.2">
      <c r="A14" s="1"/>
      <c r="B14" s="30">
        <v>7</v>
      </c>
      <c r="C14" s="39">
        <v>16389</v>
      </c>
      <c r="D14" s="49" t="s">
        <v>574</v>
      </c>
      <c r="E14" s="169" t="s">
        <v>0</v>
      </c>
      <c r="F14" s="170"/>
      <c r="G14" s="60"/>
      <c r="H14" s="2"/>
      <c r="I14" s="2"/>
      <c r="J14" s="102"/>
      <c r="K14" s="170"/>
      <c r="L14" s="60"/>
      <c r="M14" s="2"/>
      <c r="N14" s="2"/>
      <c r="O14" s="102"/>
      <c r="P14" s="170"/>
      <c r="Q14" s="60"/>
      <c r="R14" s="2"/>
      <c r="S14" s="2"/>
      <c r="T14" s="125"/>
      <c r="U14" s="1"/>
      <c r="V14" s="1"/>
    </row>
    <row r="15" spans="1:22" ht="24.95" customHeight="1" x14ac:dyDescent="0.2">
      <c r="A15" s="1"/>
      <c r="B15" s="30">
        <v>8</v>
      </c>
      <c r="C15" s="39">
        <v>16390</v>
      </c>
      <c r="D15" s="49" t="s">
        <v>575</v>
      </c>
      <c r="E15" s="169" t="s">
        <v>0</v>
      </c>
      <c r="F15" s="170"/>
      <c r="G15" s="60"/>
      <c r="H15" s="2"/>
      <c r="I15" s="2"/>
      <c r="J15" s="102"/>
      <c r="K15" s="170"/>
      <c r="L15" s="60"/>
      <c r="M15" s="2"/>
      <c r="N15" s="2"/>
      <c r="O15" s="102"/>
      <c r="P15" s="170"/>
      <c r="Q15" s="60"/>
      <c r="R15" s="2"/>
      <c r="S15" s="2"/>
      <c r="T15" s="125"/>
      <c r="U15" s="1"/>
      <c r="V15" s="1"/>
    </row>
    <row r="16" spans="1:22" ht="24.95" customHeight="1" x14ac:dyDescent="0.2">
      <c r="A16" s="1"/>
      <c r="B16" s="30">
        <v>9</v>
      </c>
      <c r="C16" s="39">
        <v>16391</v>
      </c>
      <c r="D16" s="49" t="s">
        <v>576</v>
      </c>
      <c r="E16" s="169" t="s">
        <v>0</v>
      </c>
      <c r="F16" s="170"/>
      <c r="G16" s="60"/>
      <c r="H16" s="2"/>
      <c r="I16" s="2"/>
      <c r="J16" s="102"/>
      <c r="K16" s="170"/>
      <c r="L16" s="60"/>
      <c r="M16" s="2"/>
      <c r="N16" s="2"/>
      <c r="O16" s="102"/>
      <c r="P16" s="170"/>
      <c r="Q16" s="60"/>
      <c r="R16" s="2"/>
      <c r="S16" s="2"/>
      <c r="T16" s="125"/>
      <c r="U16" s="1"/>
      <c r="V16" s="1"/>
    </row>
    <row r="17" spans="1:22" ht="24.95" customHeight="1" x14ac:dyDescent="0.2">
      <c r="A17" s="1"/>
      <c r="B17" s="30">
        <v>10</v>
      </c>
      <c r="C17" s="39">
        <v>16392</v>
      </c>
      <c r="D17" s="49" t="s">
        <v>577</v>
      </c>
      <c r="E17" s="169" t="s">
        <v>0</v>
      </c>
      <c r="F17" s="170"/>
      <c r="G17" s="60"/>
      <c r="H17" s="2"/>
      <c r="I17" s="2"/>
      <c r="J17" s="102"/>
      <c r="K17" s="170"/>
      <c r="L17" s="60"/>
      <c r="M17" s="2"/>
      <c r="N17" s="2"/>
      <c r="O17" s="102"/>
      <c r="P17" s="170"/>
      <c r="Q17" s="60"/>
      <c r="R17" s="2"/>
      <c r="S17" s="2"/>
      <c r="T17" s="125"/>
      <c r="U17" s="1"/>
      <c r="V17" s="1"/>
    </row>
    <row r="18" spans="1:22" ht="24.95" customHeight="1" x14ac:dyDescent="0.2">
      <c r="A18" s="1"/>
      <c r="B18" s="30">
        <v>11</v>
      </c>
      <c r="C18" s="39">
        <v>16393</v>
      </c>
      <c r="D18" s="49" t="s">
        <v>578</v>
      </c>
      <c r="E18" s="169" t="s">
        <v>0</v>
      </c>
      <c r="F18" s="170"/>
      <c r="G18" s="60"/>
      <c r="H18" s="2"/>
      <c r="I18" s="2"/>
      <c r="J18" s="102"/>
      <c r="K18" s="170"/>
      <c r="L18" s="60"/>
      <c r="M18" s="2"/>
      <c r="N18" s="2"/>
      <c r="O18" s="102"/>
      <c r="P18" s="170"/>
      <c r="Q18" s="60"/>
      <c r="R18" s="2"/>
      <c r="S18" s="2"/>
      <c r="T18" s="125"/>
      <c r="U18" s="1"/>
      <c r="V18" s="1"/>
    </row>
    <row r="19" spans="1:22" ht="24.95" customHeight="1" x14ac:dyDescent="0.2">
      <c r="A19" s="1"/>
      <c r="B19" s="30">
        <v>12</v>
      </c>
      <c r="C19" s="39">
        <v>16394</v>
      </c>
      <c r="D19" s="49" t="s">
        <v>579</v>
      </c>
      <c r="E19" s="169" t="s">
        <v>0</v>
      </c>
      <c r="F19" s="170"/>
      <c r="G19" s="60"/>
      <c r="H19" s="2"/>
      <c r="I19" s="2"/>
      <c r="J19" s="102"/>
      <c r="K19" s="170"/>
      <c r="L19" s="60"/>
      <c r="M19" s="2"/>
      <c r="N19" s="2"/>
      <c r="O19" s="102"/>
      <c r="P19" s="170"/>
      <c r="Q19" s="60"/>
      <c r="R19" s="2"/>
      <c r="S19" s="2"/>
      <c r="T19" s="125"/>
      <c r="U19" s="1"/>
      <c r="V19" s="1"/>
    </row>
    <row r="20" spans="1:22" ht="24.95" customHeight="1" x14ac:dyDescent="0.2">
      <c r="A20" s="1"/>
      <c r="B20" s="30">
        <v>13</v>
      </c>
      <c r="C20" s="39">
        <v>16395</v>
      </c>
      <c r="D20" s="49" t="s">
        <v>580</v>
      </c>
      <c r="E20" s="169" t="s">
        <v>0</v>
      </c>
      <c r="F20" s="170"/>
      <c r="G20" s="60"/>
      <c r="H20" s="2"/>
      <c r="I20" s="2"/>
      <c r="J20" s="102"/>
      <c r="K20" s="170"/>
      <c r="L20" s="60"/>
      <c r="M20" s="2"/>
      <c r="N20" s="2"/>
      <c r="O20" s="102"/>
      <c r="P20" s="170"/>
      <c r="Q20" s="60"/>
      <c r="R20" s="2"/>
      <c r="S20" s="2"/>
      <c r="T20" s="125"/>
      <c r="U20" s="1"/>
      <c r="V20" s="1"/>
    </row>
    <row r="21" spans="1:22" ht="24.95" customHeight="1" x14ac:dyDescent="0.2">
      <c r="A21" s="1"/>
      <c r="B21" s="30">
        <v>14</v>
      </c>
      <c r="C21" s="39">
        <v>16396</v>
      </c>
      <c r="D21" s="49" t="s">
        <v>581</v>
      </c>
      <c r="E21" s="169" t="s">
        <v>0</v>
      </c>
      <c r="F21" s="170"/>
      <c r="G21" s="60"/>
      <c r="H21" s="2"/>
      <c r="I21" s="2"/>
      <c r="J21" s="102"/>
      <c r="K21" s="170"/>
      <c r="L21" s="60"/>
      <c r="M21" s="2"/>
      <c r="N21" s="2"/>
      <c r="O21" s="102"/>
      <c r="P21" s="170"/>
      <c r="Q21" s="60"/>
      <c r="R21" s="2"/>
      <c r="S21" s="2"/>
      <c r="T21" s="125"/>
      <c r="U21" s="1"/>
      <c r="V21" s="1"/>
    </row>
    <row r="22" spans="1:22" ht="24.95" customHeight="1" x14ac:dyDescent="0.2">
      <c r="A22" s="1"/>
      <c r="B22" s="30">
        <v>15</v>
      </c>
      <c r="C22" s="39">
        <v>16397</v>
      </c>
      <c r="D22" s="49" t="s">
        <v>582</v>
      </c>
      <c r="E22" s="169" t="s">
        <v>0</v>
      </c>
      <c r="F22" s="170"/>
      <c r="G22" s="60"/>
      <c r="H22" s="2"/>
      <c r="I22" s="2"/>
      <c r="J22" s="102"/>
      <c r="K22" s="170"/>
      <c r="L22" s="60"/>
      <c r="M22" s="2"/>
      <c r="N22" s="2"/>
      <c r="O22" s="102"/>
      <c r="P22" s="170"/>
      <c r="Q22" s="60"/>
      <c r="R22" s="2"/>
      <c r="S22" s="2"/>
      <c r="T22" s="125"/>
      <c r="U22" s="1"/>
      <c r="V22" s="1"/>
    </row>
    <row r="23" spans="1:22" ht="24.95" customHeight="1" x14ac:dyDescent="0.2">
      <c r="A23" s="1"/>
      <c r="B23" s="30">
        <v>16</v>
      </c>
      <c r="C23" s="39">
        <v>16398</v>
      </c>
      <c r="D23" s="49" t="s">
        <v>583</v>
      </c>
      <c r="E23" s="169" t="s">
        <v>0</v>
      </c>
      <c r="F23" s="170"/>
      <c r="G23" s="60"/>
      <c r="H23" s="2"/>
      <c r="I23" s="2"/>
      <c r="J23" s="102"/>
      <c r="K23" s="170"/>
      <c r="L23" s="60"/>
      <c r="M23" s="2"/>
      <c r="N23" s="2"/>
      <c r="O23" s="102"/>
      <c r="P23" s="170"/>
      <c r="Q23" s="60"/>
      <c r="R23" s="2"/>
      <c r="S23" s="2"/>
      <c r="T23" s="125"/>
      <c r="U23" s="1"/>
      <c r="V23" s="1"/>
    </row>
    <row r="24" spans="1:22" ht="24.95" customHeight="1" x14ac:dyDescent="0.2">
      <c r="A24" s="1"/>
      <c r="B24" s="30">
        <v>17</v>
      </c>
      <c r="C24" s="39">
        <v>16399</v>
      </c>
      <c r="D24" s="49" t="s">
        <v>584</v>
      </c>
      <c r="E24" s="169" t="s">
        <v>0</v>
      </c>
      <c r="F24" s="170"/>
      <c r="G24" s="60"/>
      <c r="H24" s="2"/>
      <c r="I24" s="2"/>
      <c r="J24" s="102"/>
      <c r="K24" s="170"/>
      <c r="L24" s="60"/>
      <c r="M24" s="2"/>
      <c r="N24" s="2"/>
      <c r="O24" s="102"/>
      <c r="P24" s="170"/>
      <c r="Q24" s="60"/>
      <c r="R24" s="2"/>
      <c r="S24" s="2"/>
      <c r="T24" s="125"/>
      <c r="U24" s="1"/>
      <c r="V24" s="1"/>
    </row>
    <row r="25" spans="1:22" ht="24.95" customHeight="1" x14ac:dyDescent="0.2">
      <c r="A25" s="1"/>
      <c r="B25" s="30">
        <v>18</v>
      </c>
      <c r="C25" s="39">
        <v>16400</v>
      </c>
      <c r="D25" s="49" t="s">
        <v>585</v>
      </c>
      <c r="E25" s="169" t="s">
        <v>0</v>
      </c>
      <c r="F25" s="170"/>
      <c r="G25" s="60"/>
      <c r="H25" s="2"/>
      <c r="I25" s="2"/>
      <c r="J25" s="102"/>
      <c r="K25" s="170"/>
      <c r="L25" s="60"/>
      <c r="M25" s="2"/>
      <c r="N25" s="2"/>
      <c r="O25" s="102"/>
      <c r="P25" s="170"/>
      <c r="Q25" s="60"/>
      <c r="R25" s="2"/>
      <c r="S25" s="2"/>
      <c r="T25" s="125"/>
      <c r="U25" s="1"/>
      <c r="V25" s="1"/>
    </row>
    <row r="26" spans="1:22" ht="24.95" customHeight="1" x14ac:dyDescent="0.2">
      <c r="A26" s="1"/>
      <c r="B26" s="30">
        <v>19</v>
      </c>
      <c r="C26" s="39">
        <v>16401</v>
      </c>
      <c r="D26" s="49" t="s">
        <v>586</v>
      </c>
      <c r="E26" s="169" t="s">
        <v>0</v>
      </c>
      <c r="F26" s="170"/>
      <c r="G26" s="60"/>
      <c r="H26" s="2"/>
      <c r="I26" s="2"/>
      <c r="J26" s="102"/>
      <c r="K26" s="170"/>
      <c r="L26" s="60"/>
      <c r="M26" s="2"/>
      <c r="N26" s="2"/>
      <c r="O26" s="102"/>
      <c r="P26" s="170"/>
      <c r="Q26" s="60"/>
      <c r="R26" s="2"/>
      <c r="S26" s="2"/>
      <c r="T26" s="125"/>
      <c r="U26" s="1"/>
      <c r="V26" s="1"/>
    </row>
    <row r="27" spans="1:22" ht="24.95" customHeight="1" x14ac:dyDescent="0.2">
      <c r="A27" s="1"/>
      <c r="B27" s="30">
        <v>20</v>
      </c>
      <c r="C27" s="39">
        <v>16402</v>
      </c>
      <c r="D27" s="49" t="s">
        <v>587</v>
      </c>
      <c r="E27" s="169" t="s">
        <v>0</v>
      </c>
      <c r="F27" s="170"/>
      <c r="G27" s="65"/>
      <c r="H27" s="2"/>
      <c r="I27" s="2"/>
      <c r="J27" s="102"/>
      <c r="K27" s="170"/>
      <c r="L27" s="65"/>
      <c r="M27" s="2"/>
      <c r="N27" s="2"/>
      <c r="O27" s="102"/>
      <c r="P27" s="170"/>
      <c r="Q27" s="65"/>
      <c r="R27" s="2"/>
      <c r="S27" s="2"/>
      <c r="T27" s="125"/>
      <c r="U27" s="1"/>
      <c r="V27" s="1"/>
    </row>
    <row r="28" spans="1:22" ht="24.95" customHeight="1" x14ac:dyDescent="0.2">
      <c r="A28" s="1"/>
      <c r="B28" s="30">
        <v>21</v>
      </c>
      <c r="C28" s="39">
        <v>16403</v>
      </c>
      <c r="D28" s="49" t="s">
        <v>588</v>
      </c>
      <c r="E28" s="169" t="s">
        <v>0</v>
      </c>
      <c r="F28" s="170"/>
      <c r="G28" s="65"/>
      <c r="H28" s="2"/>
      <c r="I28" s="2"/>
      <c r="J28" s="102"/>
      <c r="K28" s="170"/>
      <c r="L28" s="65"/>
      <c r="M28" s="2"/>
      <c r="N28" s="2"/>
      <c r="O28" s="102"/>
      <c r="P28" s="170"/>
      <c r="Q28" s="65"/>
      <c r="R28" s="2"/>
      <c r="S28" s="2"/>
      <c r="T28" s="125"/>
      <c r="U28" s="1"/>
      <c r="V28" s="1"/>
    </row>
    <row r="29" spans="1:22" ht="24.95" customHeight="1" x14ac:dyDescent="0.2">
      <c r="A29" s="1"/>
      <c r="B29" s="30">
        <v>22</v>
      </c>
      <c r="C29" s="39">
        <v>16404</v>
      </c>
      <c r="D29" s="49" t="s">
        <v>589</v>
      </c>
      <c r="E29" s="169" t="s">
        <v>0</v>
      </c>
      <c r="F29" s="170"/>
      <c r="G29" s="65"/>
      <c r="H29" s="2"/>
      <c r="I29" s="2"/>
      <c r="J29" s="102"/>
      <c r="K29" s="170"/>
      <c r="L29" s="65"/>
      <c r="M29" s="2"/>
      <c r="N29" s="2"/>
      <c r="O29" s="102"/>
      <c r="P29" s="170"/>
      <c r="Q29" s="65"/>
      <c r="R29" s="2"/>
      <c r="S29" s="2"/>
      <c r="T29" s="125"/>
      <c r="U29" s="1"/>
      <c r="V29" s="1"/>
    </row>
    <row r="30" spans="1:22" ht="24.95" customHeight="1" x14ac:dyDescent="0.2">
      <c r="A30" s="1"/>
      <c r="B30" s="30">
        <v>23</v>
      </c>
      <c r="C30" s="39">
        <v>16405</v>
      </c>
      <c r="D30" s="49" t="s">
        <v>590</v>
      </c>
      <c r="E30" s="169" t="s">
        <v>0</v>
      </c>
      <c r="F30" s="170"/>
      <c r="G30" s="60"/>
      <c r="H30" s="2"/>
      <c r="I30" s="2"/>
      <c r="J30" s="102"/>
      <c r="K30" s="170"/>
      <c r="L30" s="60"/>
      <c r="M30" s="2"/>
      <c r="N30" s="2"/>
      <c r="O30" s="102"/>
      <c r="P30" s="170"/>
      <c r="Q30" s="60"/>
      <c r="R30" s="2"/>
      <c r="S30" s="2"/>
      <c r="T30" s="125"/>
      <c r="U30" s="1"/>
      <c r="V30" s="1"/>
    </row>
    <row r="31" spans="1:22" ht="24.95" customHeight="1" x14ac:dyDescent="0.2">
      <c r="A31" s="1"/>
      <c r="B31" s="30">
        <v>24</v>
      </c>
      <c r="C31" s="39">
        <v>16406</v>
      </c>
      <c r="D31" s="49" t="s">
        <v>591</v>
      </c>
      <c r="E31" s="169" t="s">
        <v>0</v>
      </c>
      <c r="F31" s="170"/>
      <c r="G31" s="65"/>
      <c r="H31" s="2"/>
      <c r="I31" s="2"/>
      <c r="J31" s="102"/>
      <c r="K31" s="170"/>
      <c r="L31" s="65"/>
      <c r="M31" s="2"/>
      <c r="N31" s="2"/>
      <c r="O31" s="102"/>
      <c r="P31" s="170"/>
      <c r="Q31" s="65"/>
      <c r="R31" s="2"/>
      <c r="S31" s="2"/>
      <c r="T31" s="125"/>
      <c r="U31" s="1"/>
      <c r="V31" s="1"/>
    </row>
    <row r="32" spans="1:22" ht="24.95" customHeight="1" x14ac:dyDescent="0.2">
      <c r="A32" s="1"/>
      <c r="B32" s="30">
        <v>25</v>
      </c>
      <c r="C32" s="39">
        <v>16407</v>
      </c>
      <c r="D32" s="49" t="s">
        <v>592</v>
      </c>
      <c r="E32" s="169" t="s">
        <v>0</v>
      </c>
      <c r="F32" s="170"/>
      <c r="G32" s="66"/>
      <c r="H32" s="67"/>
      <c r="I32" s="2"/>
      <c r="J32" s="103"/>
      <c r="K32" s="170"/>
      <c r="L32" s="66"/>
      <c r="M32" s="67"/>
      <c r="N32" s="67"/>
      <c r="O32" s="103"/>
      <c r="P32" s="170"/>
      <c r="Q32" s="66"/>
      <c r="R32" s="67"/>
      <c r="S32" s="67"/>
      <c r="T32" s="126"/>
      <c r="U32" s="1"/>
      <c r="V32" s="1"/>
    </row>
    <row r="33" spans="1:22" ht="24.95" customHeight="1" x14ac:dyDescent="0.2">
      <c r="A33" s="1"/>
      <c r="B33" s="30">
        <v>26</v>
      </c>
      <c r="C33" s="39">
        <v>16408</v>
      </c>
      <c r="D33" s="49" t="s">
        <v>593</v>
      </c>
      <c r="E33" s="169" t="s">
        <v>0</v>
      </c>
      <c r="F33" s="170"/>
      <c r="G33" s="66"/>
      <c r="H33" s="67"/>
      <c r="I33" s="2"/>
      <c r="J33" s="103"/>
      <c r="K33" s="170"/>
      <c r="L33" s="66"/>
      <c r="M33" s="67"/>
      <c r="N33" s="67"/>
      <c r="O33" s="103"/>
      <c r="P33" s="170"/>
      <c r="Q33" s="66"/>
      <c r="R33" s="67"/>
      <c r="S33" s="67"/>
      <c r="T33" s="126"/>
      <c r="U33" s="1"/>
      <c r="V33" s="1"/>
    </row>
    <row r="34" spans="1:22" ht="24.95" customHeight="1" x14ac:dyDescent="0.2">
      <c r="A34" s="1"/>
      <c r="B34" s="30">
        <v>27</v>
      </c>
      <c r="C34" s="39">
        <v>16409</v>
      </c>
      <c r="D34" s="49" t="s">
        <v>594</v>
      </c>
      <c r="E34" s="169" t="s">
        <v>0</v>
      </c>
      <c r="F34" s="170"/>
      <c r="G34" s="66"/>
      <c r="H34" s="67"/>
      <c r="I34" s="2"/>
      <c r="J34" s="103"/>
      <c r="K34" s="170"/>
      <c r="L34" s="66"/>
      <c r="M34" s="67"/>
      <c r="N34" s="67"/>
      <c r="O34" s="103"/>
      <c r="P34" s="170"/>
      <c r="Q34" s="66"/>
      <c r="R34" s="67"/>
      <c r="S34" s="67"/>
      <c r="T34" s="126"/>
      <c r="U34" s="1"/>
      <c r="V34" s="1"/>
    </row>
    <row r="35" spans="1:22" ht="24.95" customHeight="1" x14ac:dyDescent="0.2">
      <c r="A35" s="1"/>
      <c r="B35" s="30">
        <v>28</v>
      </c>
      <c r="C35" s="39"/>
      <c r="D35" s="49"/>
      <c r="E35" s="169" t="s">
        <v>0</v>
      </c>
      <c r="F35" s="170"/>
      <c r="G35" s="66"/>
      <c r="H35" s="67"/>
      <c r="I35" s="2"/>
      <c r="J35" s="103"/>
      <c r="K35" s="170"/>
      <c r="L35" s="66"/>
      <c r="M35" s="67"/>
      <c r="N35" s="67"/>
      <c r="O35" s="103"/>
      <c r="P35" s="170"/>
      <c r="Q35" s="66"/>
      <c r="R35" s="67"/>
      <c r="S35" s="67"/>
      <c r="T35" s="126"/>
      <c r="U35" s="1"/>
      <c r="V35" s="1"/>
    </row>
    <row r="36" spans="1:22" ht="24.95" customHeight="1" x14ac:dyDescent="0.2">
      <c r="A36" s="1"/>
      <c r="B36" s="30">
        <v>29</v>
      </c>
      <c r="C36" s="39"/>
      <c r="D36" s="49"/>
      <c r="E36" s="169" t="s">
        <v>0</v>
      </c>
      <c r="F36" s="170"/>
      <c r="G36" s="66"/>
      <c r="H36" s="67"/>
      <c r="I36" s="2"/>
      <c r="J36" s="103"/>
      <c r="K36" s="170"/>
      <c r="L36" s="66"/>
      <c r="M36" s="67"/>
      <c r="N36" s="67"/>
      <c r="O36" s="103"/>
      <c r="P36" s="170"/>
      <c r="Q36" s="66"/>
      <c r="R36" s="67"/>
      <c r="S36" s="67"/>
      <c r="T36" s="126"/>
      <c r="U36" s="1"/>
      <c r="V36" s="1"/>
    </row>
    <row r="37" spans="1:22" ht="24.95" customHeight="1" x14ac:dyDescent="0.2">
      <c r="A37" s="1"/>
      <c r="B37" s="30">
        <v>30</v>
      </c>
      <c r="C37" s="39"/>
      <c r="D37" s="49"/>
      <c r="E37" s="169" t="s">
        <v>0</v>
      </c>
      <c r="F37" s="170"/>
      <c r="G37" s="66"/>
      <c r="H37" s="67"/>
      <c r="I37" s="2"/>
      <c r="J37" s="103"/>
      <c r="K37" s="170"/>
      <c r="L37" s="66"/>
      <c r="M37" s="67"/>
      <c r="N37" s="67"/>
      <c r="O37" s="103"/>
      <c r="P37" s="170"/>
      <c r="Q37" s="66"/>
      <c r="R37" s="67"/>
      <c r="S37" s="67"/>
      <c r="T37" s="126"/>
      <c r="U37" s="1"/>
      <c r="V37" s="1"/>
    </row>
    <row r="38" spans="1:22" ht="24.95" customHeight="1" x14ac:dyDescent="0.2">
      <c r="A38" s="1"/>
      <c r="B38" s="30">
        <v>31</v>
      </c>
      <c r="C38" s="39"/>
      <c r="D38" s="49"/>
      <c r="E38" s="169" t="s">
        <v>0</v>
      </c>
      <c r="F38" s="170"/>
      <c r="G38" s="66"/>
      <c r="H38" s="67"/>
      <c r="I38" s="2"/>
      <c r="J38" s="103"/>
      <c r="K38" s="170"/>
      <c r="L38" s="66"/>
      <c r="M38" s="67"/>
      <c r="N38" s="67"/>
      <c r="O38" s="103"/>
      <c r="P38" s="170"/>
      <c r="Q38" s="66"/>
      <c r="R38" s="67"/>
      <c r="S38" s="67"/>
      <c r="T38" s="126"/>
      <c r="U38" s="1"/>
      <c r="V38" s="1"/>
    </row>
    <row r="39" spans="1:22" ht="24.95" customHeight="1" x14ac:dyDescent="0.2">
      <c r="A39" s="1"/>
      <c r="B39" s="30">
        <v>32</v>
      </c>
      <c r="C39" s="39"/>
      <c r="D39" s="49"/>
      <c r="E39" s="169" t="s">
        <v>0</v>
      </c>
      <c r="F39" s="170"/>
      <c r="G39" s="66"/>
      <c r="H39" s="67"/>
      <c r="I39" s="2"/>
      <c r="J39" s="103"/>
      <c r="K39" s="170"/>
      <c r="L39" s="66"/>
      <c r="M39" s="67"/>
      <c r="N39" s="67"/>
      <c r="O39" s="103"/>
      <c r="P39" s="170"/>
      <c r="Q39" s="66"/>
      <c r="R39" s="67"/>
      <c r="S39" s="67"/>
      <c r="T39" s="126"/>
      <c r="U39" s="1"/>
      <c r="V39" s="1"/>
    </row>
    <row r="40" spans="1:22" ht="24.95" customHeight="1" x14ac:dyDescent="0.2">
      <c r="A40" s="1"/>
      <c r="B40" s="30">
        <v>33</v>
      </c>
      <c r="C40" s="39"/>
      <c r="D40" s="49"/>
      <c r="E40" s="169" t="s">
        <v>0</v>
      </c>
      <c r="F40" s="170"/>
      <c r="G40" s="66"/>
      <c r="H40" s="67"/>
      <c r="I40" s="2"/>
      <c r="J40" s="103"/>
      <c r="K40" s="170"/>
      <c r="L40" s="66"/>
      <c r="M40" s="67"/>
      <c r="N40" s="67"/>
      <c r="O40" s="103"/>
      <c r="P40" s="170"/>
      <c r="Q40" s="66"/>
      <c r="R40" s="67"/>
      <c r="S40" s="67"/>
      <c r="T40" s="126"/>
      <c r="U40" s="1"/>
      <c r="V40" s="1"/>
    </row>
    <row r="41" spans="1:22" ht="24.95" customHeight="1" x14ac:dyDescent="0.2">
      <c r="A41" s="1"/>
      <c r="B41" s="30">
        <v>34</v>
      </c>
      <c r="C41" s="39"/>
      <c r="D41" s="49"/>
      <c r="E41" s="169" t="s">
        <v>0</v>
      </c>
      <c r="F41" s="170"/>
      <c r="G41" s="66"/>
      <c r="H41" s="67"/>
      <c r="I41" s="2"/>
      <c r="J41" s="103"/>
      <c r="K41" s="170"/>
      <c r="L41" s="66"/>
      <c r="M41" s="67"/>
      <c r="N41" s="67"/>
      <c r="O41" s="103"/>
      <c r="P41" s="170"/>
      <c r="Q41" s="66"/>
      <c r="R41" s="67"/>
      <c r="S41" s="67"/>
      <c r="T41" s="126"/>
      <c r="U41" s="1"/>
      <c r="V41" s="1"/>
    </row>
    <row r="42" spans="1:22" ht="24.95" customHeight="1" x14ac:dyDescent="0.2">
      <c r="A42" s="1"/>
      <c r="B42" s="30">
        <v>35</v>
      </c>
      <c r="C42" s="39"/>
      <c r="D42" s="49"/>
      <c r="E42" s="169" t="s">
        <v>0</v>
      </c>
      <c r="F42" s="170"/>
      <c r="G42" s="66"/>
      <c r="H42" s="67"/>
      <c r="I42" s="2"/>
      <c r="J42" s="103"/>
      <c r="K42" s="170"/>
      <c r="L42" s="66"/>
      <c r="M42" s="67"/>
      <c r="N42" s="67"/>
      <c r="O42" s="103"/>
      <c r="P42" s="170"/>
      <c r="Q42" s="66"/>
      <c r="R42" s="67"/>
      <c r="S42" s="67"/>
      <c r="T42" s="126"/>
      <c r="U42" s="1"/>
      <c r="V42" s="1"/>
    </row>
    <row r="43" spans="1:22" ht="24.95" customHeight="1" x14ac:dyDescent="0.2">
      <c r="A43" s="1"/>
      <c r="B43" s="30">
        <v>36</v>
      </c>
      <c r="C43" s="39"/>
      <c r="D43" s="49"/>
      <c r="E43" s="169" t="s">
        <v>0</v>
      </c>
      <c r="F43" s="170"/>
      <c r="G43" s="66"/>
      <c r="H43" s="67"/>
      <c r="I43" s="2"/>
      <c r="J43" s="103"/>
      <c r="K43" s="170"/>
      <c r="L43" s="66"/>
      <c r="M43" s="67"/>
      <c r="N43" s="67"/>
      <c r="O43" s="103"/>
      <c r="P43" s="170"/>
      <c r="Q43" s="66"/>
      <c r="R43" s="67"/>
      <c r="S43" s="67"/>
      <c r="T43" s="126"/>
      <c r="U43" s="1"/>
      <c r="V43" s="1"/>
    </row>
    <row r="44" spans="1:22" ht="24.95" customHeight="1" x14ac:dyDescent="0.2">
      <c r="A44" s="1"/>
      <c r="B44" s="30">
        <v>37</v>
      </c>
      <c r="C44" s="39"/>
      <c r="D44" s="49"/>
      <c r="E44" s="169" t="s">
        <v>0</v>
      </c>
      <c r="F44" s="170"/>
      <c r="G44" s="66"/>
      <c r="H44" s="67"/>
      <c r="I44" s="2"/>
      <c r="J44" s="103"/>
      <c r="K44" s="170"/>
      <c r="L44" s="66"/>
      <c r="M44" s="67"/>
      <c r="N44" s="67"/>
      <c r="O44" s="103"/>
      <c r="P44" s="170"/>
      <c r="Q44" s="66"/>
      <c r="R44" s="67"/>
      <c r="S44" s="67"/>
      <c r="T44" s="126"/>
      <c r="U44" s="1"/>
      <c r="V44" s="1"/>
    </row>
    <row r="45" spans="1:22" ht="24.95" customHeight="1" x14ac:dyDescent="0.2">
      <c r="A45" s="1"/>
      <c r="B45" s="30">
        <v>38</v>
      </c>
      <c r="C45" s="39"/>
      <c r="D45" s="49"/>
      <c r="E45" s="169" t="s">
        <v>0</v>
      </c>
      <c r="F45" s="170"/>
      <c r="G45" s="66"/>
      <c r="H45" s="67"/>
      <c r="I45" s="67"/>
      <c r="J45" s="103"/>
      <c r="K45" s="170"/>
      <c r="L45" s="66"/>
      <c r="M45" s="67"/>
      <c r="N45" s="67"/>
      <c r="O45" s="103"/>
      <c r="P45" s="170"/>
      <c r="Q45" s="66"/>
      <c r="R45" s="67"/>
      <c r="S45" s="67"/>
      <c r="T45" s="126"/>
      <c r="U45" s="1"/>
      <c r="V45" s="1"/>
    </row>
    <row r="46" spans="1:22" ht="24.95" customHeight="1" x14ac:dyDescent="0.2">
      <c r="A46" s="1"/>
      <c r="B46" s="30">
        <v>39</v>
      </c>
      <c r="C46" s="39"/>
      <c r="D46" s="49"/>
      <c r="E46" s="169" t="s">
        <v>0</v>
      </c>
      <c r="F46" s="172"/>
      <c r="G46" s="65"/>
      <c r="H46" s="2"/>
      <c r="I46" s="2"/>
      <c r="J46" s="102"/>
      <c r="K46" s="172"/>
      <c r="L46" s="65"/>
      <c r="M46" s="2"/>
      <c r="N46" s="2"/>
      <c r="O46" s="102"/>
      <c r="P46" s="172"/>
      <c r="Q46" s="65"/>
      <c r="R46" s="2"/>
      <c r="S46" s="2"/>
      <c r="T46" s="125"/>
      <c r="U46" s="1"/>
      <c r="V46" s="1"/>
    </row>
    <row r="47" spans="1:22" ht="24.95" customHeight="1" x14ac:dyDescent="0.2">
      <c r="A47" s="1"/>
      <c r="B47" s="30">
        <v>40</v>
      </c>
      <c r="C47" s="39"/>
      <c r="D47" s="100"/>
      <c r="E47" s="169" t="s">
        <v>0</v>
      </c>
      <c r="F47" s="173"/>
      <c r="G47" s="65"/>
      <c r="H47" s="2"/>
      <c r="I47" s="2"/>
      <c r="J47" s="102"/>
      <c r="K47" s="173"/>
      <c r="L47" s="65"/>
      <c r="M47" s="2"/>
      <c r="N47" s="2"/>
      <c r="O47" s="102"/>
      <c r="P47" s="173"/>
      <c r="Q47" s="65"/>
      <c r="R47" s="2"/>
      <c r="S47" s="2"/>
      <c r="T47" s="125"/>
      <c r="U47" s="1"/>
      <c r="V47" s="1"/>
    </row>
    <row r="48" spans="1:22" ht="24.95" customHeight="1" thickBot="1" x14ac:dyDescent="0.25">
      <c r="A48" s="1"/>
      <c r="B48" s="41">
        <v>41</v>
      </c>
      <c r="C48" s="52"/>
      <c r="D48" s="210"/>
      <c r="E48" s="212" t="s">
        <v>0</v>
      </c>
      <c r="F48" s="101"/>
      <c r="G48" s="74"/>
      <c r="H48" s="75"/>
      <c r="I48" s="75"/>
      <c r="J48" s="104"/>
      <c r="K48" s="101"/>
      <c r="L48" s="74"/>
      <c r="M48" s="75"/>
      <c r="N48" s="75"/>
      <c r="O48" s="104"/>
      <c r="P48" s="101"/>
      <c r="Q48" s="74"/>
      <c r="R48" s="75"/>
      <c r="S48" s="75"/>
      <c r="T48" s="104"/>
      <c r="U48" s="1"/>
      <c r="V48" s="1"/>
    </row>
    <row r="49" spans="1:22" ht="23.1" customHeight="1" x14ac:dyDescent="0.2">
      <c r="A49" s="1"/>
      <c r="B49" s="37"/>
      <c r="C49" s="37"/>
      <c r="D49" s="1"/>
      <c r="E49" s="3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3.1" customHeight="1" thickBot="1" x14ac:dyDescent="0.25">
      <c r="V50" s="1"/>
    </row>
    <row r="51" spans="1:22" ht="23.1" customHeight="1" x14ac:dyDescent="0.2">
      <c r="A51" s="1"/>
      <c r="B51" s="255"/>
      <c r="C51" s="256"/>
      <c r="D51" s="259" t="s">
        <v>3</v>
      </c>
      <c r="E51" s="260"/>
      <c r="F51" s="260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60"/>
      <c r="R51" s="260"/>
      <c r="S51" s="260"/>
      <c r="T51" s="261"/>
      <c r="U51" s="1"/>
      <c r="V51" s="1"/>
    </row>
    <row r="52" spans="1:22" ht="23.1" customHeight="1" x14ac:dyDescent="0.2">
      <c r="A52" s="1"/>
      <c r="B52" s="257"/>
      <c r="C52" s="258"/>
      <c r="D52" s="262" t="s">
        <v>4</v>
      </c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4"/>
      <c r="U52" s="1"/>
      <c r="V52" s="1"/>
    </row>
    <row r="53" spans="1:22" ht="23.1" customHeight="1" thickBot="1" x14ac:dyDescent="0.25">
      <c r="A53" s="1"/>
      <c r="B53" s="257"/>
      <c r="C53" s="258"/>
      <c r="D53" s="262" t="s">
        <v>547</v>
      </c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4"/>
      <c r="U53" s="1"/>
      <c r="V53" s="1"/>
    </row>
    <row r="54" spans="1:22" ht="23.1" customHeight="1" thickBot="1" x14ac:dyDescent="0.25">
      <c r="A54" s="1"/>
      <c r="B54" s="270"/>
      <c r="C54" s="270"/>
      <c r="D54" s="54" t="s">
        <v>561</v>
      </c>
      <c r="E54" s="29"/>
      <c r="F54" s="54" t="s">
        <v>793</v>
      </c>
      <c r="G54" s="54"/>
      <c r="H54" s="54"/>
      <c r="I54" s="105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24"/>
      <c r="U54" s="1"/>
      <c r="V54" s="1"/>
    </row>
    <row r="55" spans="1:22" ht="23.1" customHeight="1" thickBot="1" x14ac:dyDescent="0.25">
      <c r="A55" s="1"/>
      <c r="B55" s="270" t="s">
        <v>6</v>
      </c>
      <c r="C55" s="270"/>
      <c r="D55" s="275" t="s">
        <v>7</v>
      </c>
      <c r="E55" s="273" t="s">
        <v>12</v>
      </c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1"/>
      <c r="V55" s="1"/>
    </row>
    <row r="56" spans="1:22" ht="23.1" customHeight="1" thickBot="1" x14ac:dyDescent="0.25">
      <c r="A56" s="1"/>
      <c r="B56" s="29" t="s">
        <v>10</v>
      </c>
      <c r="C56" s="29" t="s">
        <v>9</v>
      </c>
      <c r="D56" s="276"/>
      <c r="E56" s="274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1"/>
      <c r="V56" s="1"/>
    </row>
    <row r="57" spans="1:22" ht="24.95" customHeight="1" x14ac:dyDescent="0.2">
      <c r="A57" s="1"/>
      <c r="B57" s="31">
        <v>1</v>
      </c>
      <c r="C57" s="31">
        <v>16410</v>
      </c>
      <c r="D57" s="161" t="s">
        <v>595</v>
      </c>
      <c r="E57" s="175" t="s">
        <v>0</v>
      </c>
      <c r="F57" s="176"/>
      <c r="G57" s="55"/>
      <c r="H57" s="5"/>
      <c r="I57" s="5"/>
      <c r="J57" s="56"/>
      <c r="K57" s="57"/>
      <c r="L57" s="55"/>
      <c r="M57" s="5"/>
      <c r="N57" s="5"/>
      <c r="O57" s="56"/>
      <c r="P57" s="4"/>
      <c r="Q57" s="58"/>
      <c r="R57" s="93"/>
      <c r="S57" s="55"/>
      <c r="T57" s="59"/>
      <c r="U57" s="1"/>
      <c r="V57" s="1"/>
    </row>
    <row r="58" spans="1:22" ht="24.95" customHeight="1" x14ac:dyDescent="0.2">
      <c r="A58" s="1"/>
      <c r="B58" s="30">
        <v>2</v>
      </c>
      <c r="C58" s="30">
        <v>16411</v>
      </c>
      <c r="D58" s="162" t="s">
        <v>596</v>
      </c>
      <c r="E58" s="169" t="s">
        <v>0</v>
      </c>
      <c r="F58" s="177"/>
      <c r="G58" s="60"/>
      <c r="H58" s="2"/>
      <c r="I58" s="2"/>
      <c r="J58" s="56"/>
      <c r="K58" s="62"/>
      <c r="L58" s="60"/>
      <c r="M58" s="2"/>
      <c r="N58" s="2"/>
      <c r="O58" s="61"/>
      <c r="P58" s="3"/>
      <c r="Q58" s="63"/>
      <c r="R58" s="36"/>
      <c r="S58" s="60"/>
      <c r="T58" s="64"/>
      <c r="U58" s="1"/>
      <c r="V58" s="1"/>
    </row>
    <row r="59" spans="1:22" ht="24.95" customHeight="1" x14ac:dyDescent="0.2">
      <c r="A59" s="1"/>
      <c r="B59" s="31">
        <v>3</v>
      </c>
      <c r="C59" s="31">
        <v>16412</v>
      </c>
      <c r="D59" s="162" t="s">
        <v>597</v>
      </c>
      <c r="E59" s="169" t="s">
        <v>0</v>
      </c>
      <c r="F59" s="177"/>
      <c r="G59" s="60"/>
      <c r="H59" s="2"/>
      <c r="I59" s="2"/>
      <c r="J59" s="56"/>
      <c r="K59" s="62"/>
      <c r="L59" s="60"/>
      <c r="M59" s="2"/>
      <c r="N59" s="2"/>
      <c r="O59" s="61"/>
      <c r="P59" s="3"/>
      <c r="Q59" s="63"/>
      <c r="R59" s="36"/>
      <c r="S59" s="60"/>
      <c r="T59" s="64"/>
      <c r="U59" s="1"/>
      <c r="V59" s="1"/>
    </row>
    <row r="60" spans="1:22" ht="24.95" customHeight="1" x14ac:dyDescent="0.2">
      <c r="A60" s="1"/>
      <c r="B60" s="30">
        <v>4</v>
      </c>
      <c r="C60" s="31">
        <v>16413</v>
      </c>
      <c r="D60" s="162" t="s">
        <v>598</v>
      </c>
      <c r="E60" s="169" t="s">
        <v>0</v>
      </c>
      <c r="F60" s="177"/>
      <c r="G60" s="60"/>
      <c r="H60" s="2"/>
      <c r="I60" s="2"/>
      <c r="J60" s="56"/>
      <c r="K60" s="62"/>
      <c r="L60" s="60"/>
      <c r="M60" s="2"/>
      <c r="N60" s="2"/>
      <c r="O60" s="61"/>
      <c r="P60" s="3"/>
      <c r="Q60" s="63"/>
      <c r="R60" s="36"/>
      <c r="S60" s="60"/>
      <c r="T60" s="64"/>
      <c r="U60" s="1"/>
      <c r="V60" s="1"/>
    </row>
    <row r="61" spans="1:22" ht="24.95" customHeight="1" x14ac:dyDescent="0.2">
      <c r="A61" s="1"/>
      <c r="B61" s="31">
        <v>5</v>
      </c>
      <c r="C61" s="30">
        <v>16414</v>
      </c>
      <c r="D61" s="162" t="s">
        <v>599</v>
      </c>
      <c r="E61" s="169" t="s">
        <v>0</v>
      </c>
      <c r="F61" s="177"/>
      <c r="G61" s="60"/>
      <c r="H61" s="2"/>
      <c r="I61" s="2"/>
      <c r="J61" s="56"/>
      <c r="K61" s="62"/>
      <c r="L61" s="60"/>
      <c r="M61" s="2"/>
      <c r="N61" s="2"/>
      <c r="O61" s="61"/>
      <c r="P61" s="3"/>
      <c r="Q61" s="63"/>
      <c r="R61" s="36"/>
      <c r="S61" s="60"/>
      <c r="T61" s="64"/>
      <c r="U61" s="1"/>
      <c r="V61" s="1"/>
    </row>
    <row r="62" spans="1:22" ht="24.95" customHeight="1" x14ac:dyDescent="0.2">
      <c r="A62" s="1"/>
      <c r="B62" s="30">
        <v>6</v>
      </c>
      <c r="C62" s="31">
        <v>16415</v>
      </c>
      <c r="D62" s="162" t="s">
        <v>600</v>
      </c>
      <c r="E62" s="169" t="s">
        <v>0</v>
      </c>
      <c r="F62" s="177"/>
      <c r="G62" s="60"/>
      <c r="H62" s="2"/>
      <c r="I62" s="2"/>
      <c r="J62" s="56"/>
      <c r="K62" s="62"/>
      <c r="L62" s="60"/>
      <c r="M62" s="2"/>
      <c r="N62" s="2"/>
      <c r="O62" s="61"/>
      <c r="P62" s="3"/>
      <c r="Q62" s="63"/>
      <c r="R62" s="36"/>
      <c r="S62" s="60"/>
      <c r="T62" s="64"/>
      <c r="U62" s="1"/>
      <c r="V62" s="1"/>
    </row>
    <row r="63" spans="1:22" ht="24.95" customHeight="1" x14ac:dyDescent="0.2">
      <c r="A63" s="1"/>
      <c r="B63" s="31">
        <v>7</v>
      </c>
      <c r="C63" s="30">
        <v>16416</v>
      </c>
      <c r="D63" s="162" t="s">
        <v>601</v>
      </c>
      <c r="E63" s="169" t="s">
        <v>0</v>
      </c>
      <c r="F63" s="177"/>
      <c r="G63" s="60"/>
      <c r="H63" s="2"/>
      <c r="I63" s="2"/>
      <c r="J63" s="56"/>
      <c r="K63" s="62"/>
      <c r="L63" s="60"/>
      <c r="M63" s="2"/>
      <c r="N63" s="2"/>
      <c r="O63" s="61"/>
      <c r="P63" s="3"/>
      <c r="Q63" s="63"/>
      <c r="R63" s="36"/>
      <c r="S63" s="60"/>
      <c r="T63" s="64"/>
      <c r="U63" s="1"/>
      <c r="V63" s="1"/>
    </row>
    <row r="64" spans="1:22" ht="24.95" customHeight="1" x14ac:dyDescent="0.2">
      <c r="A64" s="1"/>
      <c r="B64" s="30">
        <v>8</v>
      </c>
      <c r="C64" s="31">
        <v>16417</v>
      </c>
      <c r="D64" s="162" t="s">
        <v>602</v>
      </c>
      <c r="E64" s="169" t="s">
        <v>0</v>
      </c>
      <c r="F64" s="177"/>
      <c r="G64" s="60"/>
      <c r="H64" s="2"/>
      <c r="I64" s="2"/>
      <c r="J64" s="56"/>
      <c r="K64" s="62"/>
      <c r="L64" s="60"/>
      <c r="M64" s="2"/>
      <c r="N64" s="2"/>
      <c r="O64" s="61"/>
      <c r="P64" s="3"/>
      <c r="Q64" s="63"/>
      <c r="R64" s="36"/>
      <c r="S64" s="60"/>
      <c r="T64" s="64"/>
      <c r="U64" s="1"/>
      <c r="V64" s="1"/>
    </row>
    <row r="65" spans="1:22" ht="24.95" customHeight="1" x14ac:dyDescent="0.2">
      <c r="A65" s="1"/>
      <c r="B65" s="31">
        <v>9</v>
      </c>
      <c r="C65" s="30">
        <v>16418</v>
      </c>
      <c r="D65" s="162" t="s">
        <v>603</v>
      </c>
      <c r="E65" s="169" t="s">
        <v>0</v>
      </c>
      <c r="F65" s="177"/>
      <c r="G65" s="60"/>
      <c r="H65" s="2"/>
      <c r="I65" s="2"/>
      <c r="J65" s="56"/>
      <c r="K65" s="62"/>
      <c r="L65" s="60"/>
      <c r="M65" s="2"/>
      <c r="N65" s="2"/>
      <c r="O65" s="61"/>
      <c r="P65" s="3"/>
      <c r="Q65" s="63"/>
      <c r="R65" s="36"/>
      <c r="S65" s="60"/>
      <c r="T65" s="64"/>
      <c r="U65" s="1"/>
      <c r="V65" s="1"/>
    </row>
    <row r="66" spans="1:22" ht="24.95" customHeight="1" x14ac:dyDescent="0.2">
      <c r="A66" s="1"/>
      <c r="B66" s="30">
        <v>10</v>
      </c>
      <c r="C66" s="31">
        <v>16419</v>
      </c>
      <c r="D66" s="162" t="s">
        <v>604</v>
      </c>
      <c r="E66" s="169" t="s">
        <v>0</v>
      </c>
      <c r="F66" s="177"/>
      <c r="G66" s="60"/>
      <c r="H66" s="2"/>
      <c r="I66" s="2"/>
      <c r="J66" s="56"/>
      <c r="K66" s="62"/>
      <c r="L66" s="60"/>
      <c r="M66" s="2"/>
      <c r="N66" s="2"/>
      <c r="O66" s="61"/>
      <c r="P66" s="3"/>
      <c r="Q66" s="63"/>
      <c r="R66" s="36"/>
      <c r="S66" s="60"/>
      <c r="T66" s="64"/>
      <c r="U66" s="1"/>
      <c r="V66" s="1"/>
    </row>
    <row r="67" spans="1:22" ht="24.95" customHeight="1" x14ac:dyDescent="0.2">
      <c r="A67" s="1"/>
      <c r="B67" s="31">
        <v>11</v>
      </c>
      <c r="C67" s="30">
        <v>16420</v>
      </c>
      <c r="D67" s="162" t="s">
        <v>605</v>
      </c>
      <c r="E67" s="169" t="s">
        <v>0</v>
      </c>
      <c r="F67" s="177"/>
      <c r="G67" s="60"/>
      <c r="H67" s="2"/>
      <c r="I67" s="2"/>
      <c r="J67" s="56"/>
      <c r="K67" s="62"/>
      <c r="L67" s="60"/>
      <c r="M67" s="2"/>
      <c r="N67" s="2"/>
      <c r="O67" s="61"/>
      <c r="P67" s="3"/>
      <c r="Q67" s="63"/>
      <c r="R67" s="36"/>
      <c r="S67" s="60"/>
      <c r="T67" s="64"/>
      <c r="U67" s="1"/>
      <c r="V67" s="1"/>
    </row>
    <row r="68" spans="1:22" ht="24.95" customHeight="1" x14ac:dyDescent="0.2">
      <c r="A68" s="1"/>
      <c r="B68" s="30">
        <v>12</v>
      </c>
      <c r="C68" s="31">
        <v>16421</v>
      </c>
      <c r="D68" s="162" t="s">
        <v>606</v>
      </c>
      <c r="E68" s="169" t="s">
        <v>0</v>
      </c>
      <c r="F68" s="177"/>
      <c r="G68" s="60"/>
      <c r="H68" s="2"/>
      <c r="I68" s="2"/>
      <c r="J68" s="56"/>
      <c r="K68" s="62"/>
      <c r="L68" s="60"/>
      <c r="M68" s="2"/>
      <c r="N68" s="2"/>
      <c r="O68" s="61"/>
      <c r="P68" s="3"/>
      <c r="Q68" s="63"/>
      <c r="R68" s="36"/>
      <c r="S68" s="60"/>
      <c r="T68" s="64"/>
      <c r="U68" s="1"/>
      <c r="V68" s="1"/>
    </row>
    <row r="69" spans="1:22" ht="24.95" customHeight="1" x14ac:dyDescent="0.2">
      <c r="A69" s="1"/>
      <c r="B69" s="31">
        <v>13</v>
      </c>
      <c r="C69" s="30">
        <v>16422</v>
      </c>
      <c r="D69" s="162" t="s">
        <v>607</v>
      </c>
      <c r="E69" s="169" t="s">
        <v>0</v>
      </c>
      <c r="F69" s="177"/>
      <c r="G69" s="60"/>
      <c r="H69" s="2"/>
      <c r="I69" s="2"/>
      <c r="J69" s="56"/>
      <c r="K69" s="62"/>
      <c r="L69" s="60"/>
      <c r="M69" s="2"/>
      <c r="N69" s="2"/>
      <c r="O69" s="61"/>
      <c r="P69" s="3"/>
      <c r="Q69" s="63"/>
      <c r="R69" s="93"/>
      <c r="S69" s="55"/>
      <c r="T69" s="64"/>
      <c r="U69" s="1"/>
      <c r="V69" s="1"/>
    </row>
    <row r="70" spans="1:22" ht="24.95" customHeight="1" x14ac:dyDescent="0.2">
      <c r="A70" s="1"/>
      <c r="B70" s="30">
        <v>14</v>
      </c>
      <c r="C70" s="31">
        <v>16423</v>
      </c>
      <c r="D70" s="162" t="s">
        <v>608</v>
      </c>
      <c r="E70" s="169" t="s">
        <v>0</v>
      </c>
      <c r="F70" s="177"/>
      <c r="G70" s="60"/>
      <c r="H70" s="2"/>
      <c r="I70" s="2"/>
      <c r="J70" s="56"/>
      <c r="K70" s="62"/>
      <c r="L70" s="60"/>
      <c r="M70" s="2"/>
      <c r="N70" s="2"/>
      <c r="O70" s="61"/>
      <c r="P70" s="3"/>
      <c r="Q70" s="63"/>
      <c r="R70" s="36"/>
      <c r="S70" s="60"/>
      <c r="T70" s="64"/>
      <c r="U70" s="1"/>
      <c r="V70" s="1"/>
    </row>
    <row r="71" spans="1:22" ht="24.95" customHeight="1" x14ac:dyDescent="0.2">
      <c r="A71" s="1"/>
      <c r="B71" s="31">
        <v>15</v>
      </c>
      <c r="C71" s="30">
        <v>16424</v>
      </c>
      <c r="D71" s="162" t="s">
        <v>609</v>
      </c>
      <c r="E71" s="169" t="s">
        <v>0</v>
      </c>
      <c r="F71" s="177"/>
      <c r="G71" s="60"/>
      <c r="H71" s="2"/>
      <c r="I71" s="2"/>
      <c r="J71" s="56"/>
      <c r="K71" s="62"/>
      <c r="L71" s="60"/>
      <c r="M71" s="2"/>
      <c r="N71" s="2"/>
      <c r="O71" s="61"/>
      <c r="P71" s="3"/>
      <c r="Q71" s="63"/>
      <c r="R71" s="36"/>
      <c r="S71" s="60"/>
      <c r="T71" s="64"/>
      <c r="U71" s="1"/>
      <c r="V71" s="1"/>
    </row>
    <row r="72" spans="1:22" ht="24.95" customHeight="1" x14ac:dyDescent="0.2">
      <c r="A72" s="1"/>
      <c r="B72" s="30">
        <v>16</v>
      </c>
      <c r="C72" s="31">
        <v>16425</v>
      </c>
      <c r="D72" s="162" t="s">
        <v>610</v>
      </c>
      <c r="E72" s="169" t="s">
        <v>0</v>
      </c>
      <c r="F72" s="177"/>
      <c r="G72" s="60"/>
      <c r="H72" s="2"/>
      <c r="I72" s="2"/>
      <c r="J72" s="56"/>
      <c r="K72" s="62"/>
      <c r="L72" s="60"/>
      <c r="M72" s="2"/>
      <c r="N72" s="2"/>
      <c r="O72" s="61"/>
      <c r="P72" s="3"/>
      <c r="Q72" s="63"/>
      <c r="R72" s="36"/>
      <c r="S72" s="60"/>
      <c r="T72" s="64"/>
      <c r="U72" s="1"/>
      <c r="V72" s="1"/>
    </row>
    <row r="73" spans="1:22" ht="24.95" customHeight="1" x14ac:dyDescent="0.2">
      <c r="A73" s="1"/>
      <c r="B73" s="31">
        <v>17</v>
      </c>
      <c r="C73" s="30">
        <v>16426</v>
      </c>
      <c r="D73" s="162" t="s">
        <v>611</v>
      </c>
      <c r="E73" s="169" t="s">
        <v>0</v>
      </c>
      <c r="F73" s="177"/>
      <c r="G73" s="60"/>
      <c r="H73" s="2"/>
      <c r="I73" s="2"/>
      <c r="J73" s="56"/>
      <c r="K73" s="62"/>
      <c r="L73" s="60"/>
      <c r="M73" s="2"/>
      <c r="N73" s="2"/>
      <c r="O73" s="61"/>
      <c r="P73" s="3"/>
      <c r="Q73" s="63"/>
      <c r="R73" s="36"/>
      <c r="S73" s="60"/>
      <c r="T73" s="64"/>
      <c r="U73" s="1"/>
      <c r="V73" s="1"/>
    </row>
    <row r="74" spans="1:22" ht="24.95" customHeight="1" x14ac:dyDescent="0.2">
      <c r="A74" s="1"/>
      <c r="B74" s="30">
        <v>18</v>
      </c>
      <c r="C74" s="31">
        <v>16427</v>
      </c>
      <c r="D74" s="162" t="s">
        <v>612</v>
      </c>
      <c r="E74" s="169" t="s">
        <v>0</v>
      </c>
      <c r="F74" s="177"/>
      <c r="G74" s="60"/>
      <c r="H74" s="2"/>
      <c r="I74" s="2"/>
      <c r="J74" s="56"/>
      <c r="K74" s="62"/>
      <c r="L74" s="60"/>
      <c r="M74" s="2"/>
      <c r="N74" s="2"/>
      <c r="O74" s="61"/>
      <c r="P74" s="3"/>
      <c r="Q74" s="63"/>
      <c r="R74" s="36"/>
      <c r="S74" s="60"/>
      <c r="T74" s="64"/>
      <c r="U74" s="1"/>
      <c r="V74" s="1"/>
    </row>
    <row r="75" spans="1:22" ht="24.95" customHeight="1" x14ac:dyDescent="0.2">
      <c r="A75" s="1"/>
      <c r="B75" s="31">
        <v>19</v>
      </c>
      <c r="C75" s="30">
        <v>16428</v>
      </c>
      <c r="D75" s="162" t="s">
        <v>613</v>
      </c>
      <c r="E75" s="169" t="s">
        <v>0</v>
      </c>
      <c r="F75" s="177"/>
      <c r="G75" s="60"/>
      <c r="H75" s="2"/>
      <c r="I75" s="2"/>
      <c r="J75" s="56"/>
      <c r="K75" s="62"/>
      <c r="L75" s="60"/>
      <c r="M75" s="2"/>
      <c r="N75" s="2"/>
      <c r="O75" s="61"/>
      <c r="P75" s="3"/>
      <c r="Q75" s="63"/>
      <c r="R75" s="36"/>
      <c r="S75" s="60"/>
      <c r="T75" s="64"/>
      <c r="U75" s="1"/>
      <c r="V75" s="1"/>
    </row>
    <row r="76" spans="1:22" ht="24.95" customHeight="1" x14ac:dyDescent="0.2">
      <c r="A76" s="1"/>
      <c r="B76" s="30">
        <v>20</v>
      </c>
      <c r="C76" s="31">
        <v>16429</v>
      </c>
      <c r="D76" s="162" t="s">
        <v>614</v>
      </c>
      <c r="E76" s="169" t="s">
        <v>0</v>
      </c>
      <c r="F76" s="177"/>
      <c r="G76" s="65"/>
      <c r="H76" s="2"/>
      <c r="I76" s="2"/>
      <c r="J76" s="56"/>
      <c r="K76" s="62"/>
      <c r="L76" s="60"/>
      <c r="M76" s="2"/>
      <c r="N76" s="2"/>
      <c r="O76" s="61"/>
      <c r="P76" s="3"/>
      <c r="Q76" s="63"/>
      <c r="R76" s="36"/>
      <c r="S76" s="60"/>
      <c r="T76" s="64"/>
      <c r="U76" s="1"/>
      <c r="V76" s="1"/>
    </row>
    <row r="77" spans="1:22" ht="24.95" customHeight="1" x14ac:dyDescent="0.2">
      <c r="A77" s="1"/>
      <c r="B77" s="31">
        <v>21</v>
      </c>
      <c r="C77" s="30">
        <v>16430</v>
      </c>
      <c r="D77" s="162" t="s">
        <v>615</v>
      </c>
      <c r="E77" s="169" t="s">
        <v>0</v>
      </c>
      <c r="F77" s="177"/>
      <c r="G77" s="65"/>
      <c r="H77" s="2"/>
      <c r="I77" s="2"/>
      <c r="J77" s="56"/>
      <c r="K77" s="62"/>
      <c r="L77" s="65"/>
      <c r="M77" s="2"/>
      <c r="N77" s="2"/>
      <c r="O77" s="61"/>
      <c r="P77" s="3"/>
      <c r="Q77" s="63"/>
      <c r="R77" s="93"/>
      <c r="S77" s="55"/>
      <c r="T77" s="64"/>
      <c r="U77" s="1"/>
      <c r="V77" s="1"/>
    </row>
    <row r="78" spans="1:22" ht="24.95" customHeight="1" x14ac:dyDescent="0.2">
      <c r="A78" s="1"/>
      <c r="B78" s="30">
        <v>22</v>
      </c>
      <c r="C78" s="31">
        <v>16431</v>
      </c>
      <c r="D78" s="162" t="s">
        <v>616</v>
      </c>
      <c r="E78" s="169" t="s">
        <v>0</v>
      </c>
      <c r="F78" s="177"/>
      <c r="G78" s="65"/>
      <c r="H78" s="2"/>
      <c r="I78" s="2"/>
      <c r="J78" s="56"/>
      <c r="K78" s="62"/>
      <c r="L78" s="65"/>
      <c r="M78" s="2"/>
      <c r="N78" s="2"/>
      <c r="O78" s="61"/>
      <c r="P78" s="3"/>
      <c r="Q78" s="63"/>
      <c r="R78" s="93"/>
      <c r="S78" s="55"/>
      <c r="T78" s="64"/>
      <c r="U78" s="1"/>
      <c r="V78" s="1"/>
    </row>
    <row r="79" spans="1:22" ht="24.95" customHeight="1" x14ac:dyDescent="0.2">
      <c r="A79" s="1"/>
      <c r="B79" s="31">
        <v>23</v>
      </c>
      <c r="C79" s="30">
        <v>16432</v>
      </c>
      <c r="D79" s="162" t="s">
        <v>617</v>
      </c>
      <c r="E79" s="169" t="s">
        <v>0</v>
      </c>
      <c r="F79" s="177"/>
      <c r="G79" s="60"/>
      <c r="H79" s="2"/>
      <c r="I79" s="2"/>
      <c r="J79" s="56"/>
      <c r="K79" s="62"/>
      <c r="L79" s="65"/>
      <c r="M79" s="2"/>
      <c r="N79" s="2"/>
      <c r="O79" s="61"/>
      <c r="P79" s="3"/>
      <c r="Q79" s="63"/>
      <c r="R79" s="36"/>
      <c r="S79" s="60"/>
      <c r="T79" s="64"/>
      <c r="U79" s="1"/>
      <c r="V79" s="1"/>
    </row>
    <row r="80" spans="1:22" ht="24.95" customHeight="1" x14ac:dyDescent="0.2">
      <c r="A80" s="1"/>
      <c r="B80" s="30">
        <v>24</v>
      </c>
      <c r="C80" s="31">
        <v>16433</v>
      </c>
      <c r="D80" s="162" t="s">
        <v>618</v>
      </c>
      <c r="E80" s="169" t="s">
        <v>0</v>
      </c>
      <c r="F80" s="177"/>
      <c r="G80" s="65"/>
      <c r="H80" s="2"/>
      <c r="I80" s="2"/>
      <c r="J80" s="56"/>
      <c r="K80" s="62"/>
      <c r="L80" s="60"/>
      <c r="M80" s="2"/>
      <c r="N80" s="2"/>
      <c r="O80" s="61"/>
      <c r="P80" s="3"/>
      <c r="Q80" s="63"/>
      <c r="R80" s="36"/>
      <c r="S80" s="60"/>
      <c r="T80" s="64"/>
      <c r="U80" s="1"/>
      <c r="V80" s="1"/>
    </row>
    <row r="81" spans="1:22" ht="24.95" customHeight="1" x14ac:dyDescent="0.2">
      <c r="A81" s="1"/>
      <c r="B81" s="31">
        <v>25</v>
      </c>
      <c r="C81" s="30">
        <v>16434</v>
      </c>
      <c r="D81" s="162" t="s">
        <v>619</v>
      </c>
      <c r="E81" s="169" t="s">
        <v>0</v>
      </c>
      <c r="F81" s="177"/>
      <c r="G81" s="66"/>
      <c r="H81" s="2"/>
      <c r="I81" s="2"/>
      <c r="J81" s="56"/>
      <c r="K81" s="62"/>
      <c r="L81" s="65"/>
      <c r="M81" s="2"/>
      <c r="N81" s="2"/>
      <c r="O81" s="61"/>
      <c r="P81" s="3"/>
      <c r="Q81" s="63"/>
      <c r="R81" s="36"/>
      <c r="S81" s="60"/>
      <c r="T81" s="64"/>
      <c r="U81" s="1"/>
      <c r="V81" s="1"/>
    </row>
    <row r="82" spans="1:22" ht="24.95" customHeight="1" x14ac:dyDescent="0.2">
      <c r="A82" s="1"/>
      <c r="B82" s="30">
        <v>26</v>
      </c>
      <c r="C82" s="31"/>
      <c r="D82" s="162"/>
      <c r="E82" s="169" t="s">
        <v>0</v>
      </c>
      <c r="F82" s="177"/>
      <c r="G82" s="66"/>
      <c r="H82" s="67"/>
      <c r="I82" s="67"/>
      <c r="J82" s="56"/>
      <c r="K82" s="62"/>
      <c r="L82" s="66"/>
      <c r="M82" s="67"/>
      <c r="N82" s="67"/>
      <c r="O82" s="68"/>
      <c r="P82" s="40"/>
      <c r="Q82" s="69"/>
      <c r="R82" s="178"/>
      <c r="S82" s="90"/>
      <c r="T82" s="70"/>
      <c r="U82" s="1"/>
      <c r="V82" s="1"/>
    </row>
    <row r="83" spans="1:22" ht="24.95" customHeight="1" x14ac:dyDescent="0.2">
      <c r="A83" s="1"/>
      <c r="B83" s="31">
        <v>27</v>
      </c>
      <c r="C83" s="30"/>
      <c r="D83" s="162"/>
      <c r="E83" s="169" t="s">
        <v>0</v>
      </c>
      <c r="F83" s="177"/>
      <c r="G83" s="66"/>
      <c r="H83" s="67"/>
      <c r="I83" s="67"/>
      <c r="J83" s="56"/>
      <c r="K83" s="62"/>
      <c r="L83" s="66"/>
      <c r="M83" s="67"/>
      <c r="N83" s="67"/>
      <c r="O83" s="68"/>
      <c r="P83" s="40"/>
      <c r="Q83" s="69"/>
      <c r="R83" s="178"/>
      <c r="S83" s="90"/>
      <c r="T83" s="70"/>
      <c r="U83" s="1"/>
      <c r="V83" s="1"/>
    </row>
    <row r="84" spans="1:22" ht="24.95" customHeight="1" x14ac:dyDescent="0.2">
      <c r="A84" s="1"/>
      <c r="B84" s="30">
        <v>28</v>
      </c>
      <c r="C84" s="31"/>
      <c r="D84" s="162"/>
      <c r="E84" s="169" t="s">
        <v>0</v>
      </c>
      <c r="F84" s="177"/>
      <c r="G84" s="66"/>
      <c r="H84" s="67"/>
      <c r="I84" s="67"/>
      <c r="J84" s="56"/>
      <c r="K84" s="62"/>
      <c r="L84" s="66"/>
      <c r="M84" s="67"/>
      <c r="N84" s="67"/>
      <c r="O84" s="68"/>
      <c r="P84" s="40"/>
      <c r="Q84" s="69"/>
      <c r="R84" s="178"/>
      <c r="S84" s="90"/>
      <c r="T84" s="70"/>
      <c r="U84" s="1"/>
      <c r="V84" s="1"/>
    </row>
    <row r="85" spans="1:22" ht="24.95" customHeight="1" x14ac:dyDescent="0.2">
      <c r="A85" s="1"/>
      <c r="B85" s="31">
        <v>29</v>
      </c>
      <c r="C85" s="30"/>
      <c r="D85" s="218"/>
      <c r="E85" s="169" t="s">
        <v>0</v>
      </c>
      <c r="F85" s="177"/>
      <c r="G85" s="66"/>
      <c r="H85" s="67"/>
      <c r="I85" s="67"/>
      <c r="J85" s="56"/>
      <c r="K85" s="62"/>
      <c r="L85" s="66"/>
      <c r="M85" s="67"/>
      <c r="N85" s="67"/>
      <c r="O85" s="68"/>
      <c r="P85" s="40"/>
      <c r="Q85" s="69"/>
      <c r="R85" s="178"/>
      <c r="S85" s="90"/>
      <c r="T85" s="70"/>
      <c r="U85" s="1"/>
      <c r="V85" s="1"/>
    </row>
    <row r="86" spans="1:22" ht="24.95" customHeight="1" x14ac:dyDescent="0.2">
      <c r="A86" s="1"/>
      <c r="B86" s="30">
        <v>30</v>
      </c>
      <c r="C86" s="31"/>
      <c r="D86" s="162"/>
      <c r="E86" s="169" t="s">
        <v>0</v>
      </c>
      <c r="F86" s="177"/>
      <c r="G86" s="66"/>
      <c r="H86" s="67"/>
      <c r="I86" s="67"/>
      <c r="J86" s="56"/>
      <c r="K86" s="62"/>
      <c r="L86" s="66"/>
      <c r="M86" s="67"/>
      <c r="N86" s="67"/>
      <c r="O86" s="68"/>
      <c r="P86" s="40"/>
      <c r="Q86" s="69"/>
      <c r="R86" s="178"/>
      <c r="S86" s="90"/>
      <c r="T86" s="70"/>
      <c r="U86" s="1"/>
      <c r="V86" s="1"/>
    </row>
    <row r="87" spans="1:22" ht="24.95" customHeight="1" x14ac:dyDescent="0.2">
      <c r="A87" s="1"/>
      <c r="B87" s="31">
        <v>31</v>
      </c>
      <c r="C87" s="30"/>
      <c r="D87" s="162"/>
      <c r="E87" s="169" t="s">
        <v>0</v>
      </c>
      <c r="F87" s="177"/>
      <c r="G87" s="66"/>
      <c r="H87" s="67"/>
      <c r="I87" s="67"/>
      <c r="J87" s="56"/>
      <c r="K87" s="62"/>
      <c r="L87" s="66"/>
      <c r="M87" s="67"/>
      <c r="N87" s="67"/>
      <c r="O87" s="68"/>
      <c r="P87" s="40"/>
      <c r="Q87" s="69"/>
      <c r="R87" s="178"/>
      <c r="S87" s="90"/>
      <c r="T87" s="70"/>
      <c r="U87" s="1"/>
      <c r="V87" s="1"/>
    </row>
    <row r="88" spans="1:22" ht="24.95" customHeight="1" x14ac:dyDescent="0.2">
      <c r="A88" s="1"/>
      <c r="B88" s="30">
        <v>32</v>
      </c>
      <c r="C88" s="31"/>
      <c r="D88" s="100"/>
      <c r="E88" s="169" t="s">
        <v>0</v>
      </c>
      <c r="F88" s="177"/>
      <c r="G88" s="66"/>
      <c r="H88" s="67"/>
      <c r="I88" s="67"/>
      <c r="J88" s="56"/>
      <c r="K88" s="62"/>
      <c r="L88" s="66"/>
      <c r="M88" s="67"/>
      <c r="N88" s="67"/>
      <c r="O88" s="68"/>
      <c r="P88" s="40"/>
      <c r="Q88" s="69"/>
      <c r="R88" s="178"/>
      <c r="S88" s="90"/>
      <c r="T88" s="70"/>
      <c r="U88" s="1"/>
      <c r="V88" s="1"/>
    </row>
    <row r="89" spans="1:22" ht="24.95" customHeight="1" x14ac:dyDescent="0.2">
      <c r="A89" s="1"/>
      <c r="B89" s="31">
        <v>33</v>
      </c>
      <c r="C89" s="246"/>
      <c r="D89" s="247"/>
      <c r="E89" s="169" t="s">
        <v>0</v>
      </c>
      <c r="F89" s="177"/>
      <c r="G89" s="66"/>
      <c r="H89" s="67"/>
      <c r="I89" s="67"/>
      <c r="J89" s="56"/>
      <c r="K89" s="62"/>
      <c r="L89" s="66"/>
      <c r="M89" s="67"/>
      <c r="N89" s="67"/>
      <c r="O89" s="68"/>
      <c r="P89" s="40"/>
      <c r="Q89" s="69"/>
      <c r="R89" s="178"/>
      <c r="S89" s="90"/>
      <c r="T89" s="70"/>
      <c r="U89" s="1"/>
      <c r="V89" s="1"/>
    </row>
    <row r="90" spans="1:22" ht="24.95" customHeight="1" x14ac:dyDescent="0.2">
      <c r="A90" s="1"/>
      <c r="B90" s="30">
        <v>34</v>
      </c>
      <c r="C90" s="31"/>
      <c r="D90" s="100"/>
      <c r="E90" s="169" t="s">
        <v>0</v>
      </c>
      <c r="F90" s="177"/>
      <c r="G90" s="227"/>
      <c r="H90" s="67"/>
      <c r="I90" s="67"/>
      <c r="J90" s="56"/>
      <c r="K90" s="62"/>
      <c r="L90" s="66"/>
      <c r="M90" s="67"/>
      <c r="N90" s="67"/>
      <c r="O90" s="68"/>
      <c r="P90" s="40"/>
      <c r="Q90" s="69"/>
      <c r="R90" s="178"/>
      <c r="S90" s="90"/>
      <c r="T90" s="70"/>
      <c r="U90" s="1"/>
      <c r="V90" s="1"/>
    </row>
    <row r="91" spans="1:22" ht="24.95" customHeight="1" x14ac:dyDescent="0.2">
      <c r="A91" s="1"/>
      <c r="B91" s="31">
        <v>35</v>
      </c>
      <c r="C91" s="31"/>
      <c r="D91" s="100"/>
      <c r="E91" s="248" t="s">
        <v>0</v>
      </c>
      <c r="F91" s="249"/>
      <c r="G91" s="66"/>
      <c r="H91" s="228"/>
      <c r="I91" s="228"/>
      <c r="J91" s="56"/>
      <c r="K91" s="235"/>
      <c r="L91" s="227"/>
      <c r="M91" s="228"/>
      <c r="N91" s="228"/>
      <c r="O91" s="229"/>
      <c r="P91" s="230"/>
      <c r="Q91" s="231"/>
      <c r="R91" s="232"/>
      <c r="S91" s="233"/>
      <c r="T91" s="234"/>
      <c r="U91" s="1"/>
      <c r="V91" s="1"/>
    </row>
    <row r="92" spans="1:22" ht="24.95" customHeight="1" x14ac:dyDescent="0.2">
      <c r="A92" s="1"/>
      <c r="B92" s="30">
        <v>36</v>
      </c>
      <c r="C92" s="31"/>
      <c r="D92" s="100"/>
      <c r="E92" s="169" t="s">
        <v>0</v>
      </c>
      <c r="F92" s="177"/>
      <c r="G92" s="66"/>
      <c r="H92" s="67"/>
      <c r="I92" s="67"/>
      <c r="J92" s="56"/>
      <c r="K92" s="62"/>
      <c r="L92" s="66"/>
      <c r="M92" s="67"/>
      <c r="N92" s="67"/>
      <c r="O92" s="68"/>
      <c r="P92" s="40"/>
      <c r="Q92" s="69"/>
      <c r="R92" s="178"/>
      <c r="S92" s="90"/>
      <c r="T92" s="70"/>
      <c r="U92" s="1"/>
      <c r="V92" s="1"/>
    </row>
    <row r="93" spans="1:22" ht="24.95" customHeight="1" x14ac:dyDescent="0.2">
      <c r="A93" s="1"/>
      <c r="B93" s="31">
        <v>37</v>
      </c>
      <c r="C93" s="31"/>
      <c r="D93" s="100"/>
      <c r="E93" s="169" t="s">
        <v>0</v>
      </c>
      <c r="F93" s="177"/>
      <c r="G93" s="66"/>
      <c r="H93" s="67"/>
      <c r="I93" s="67"/>
      <c r="J93" s="56"/>
      <c r="K93" s="62"/>
      <c r="L93" s="66"/>
      <c r="M93" s="67"/>
      <c r="N93" s="67"/>
      <c r="O93" s="68"/>
      <c r="P93" s="40"/>
      <c r="Q93" s="69"/>
      <c r="R93" s="178"/>
      <c r="S93" s="90"/>
      <c r="T93" s="70"/>
      <c r="U93" s="1"/>
      <c r="V93" s="1"/>
    </row>
    <row r="94" spans="1:22" ht="24.95" customHeight="1" x14ac:dyDescent="0.2">
      <c r="A94" s="1"/>
      <c r="B94" s="30">
        <v>38</v>
      </c>
      <c r="C94" s="199"/>
      <c r="D94" s="100"/>
      <c r="E94" s="169" t="s">
        <v>0</v>
      </c>
      <c r="F94" s="201"/>
      <c r="G94" s="202"/>
      <c r="H94" s="67"/>
      <c r="I94" s="67"/>
      <c r="J94" s="68"/>
      <c r="K94" s="71"/>
      <c r="L94" s="66"/>
      <c r="M94" s="67"/>
      <c r="N94" s="67"/>
      <c r="O94" s="68"/>
      <c r="P94" s="40"/>
      <c r="Q94" s="69"/>
      <c r="R94" s="178"/>
      <c r="S94" s="90"/>
      <c r="T94" s="70"/>
      <c r="U94" s="1"/>
      <c r="V94" s="1"/>
    </row>
    <row r="95" spans="1:22" ht="24.95" customHeight="1" x14ac:dyDescent="0.2">
      <c r="A95" s="1"/>
      <c r="B95" s="31">
        <v>39</v>
      </c>
      <c r="C95" s="30"/>
      <c r="D95" s="100"/>
      <c r="E95" s="169" t="s">
        <v>0</v>
      </c>
      <c r="F95" s="204"/>
      <c r="G95" s="65"/>
      <c r="H95" s="2"/>
      <c r="I95" s="2"/>
      <c r="J95" s="61"/>
      <c r="K95" s="62"/>
      <c r="L95" s="65"/>
      <c r="M95" s="2"/>
      <c r="N95" s="2"/>
      <c r="O95" s="61"/>
      <c r="P95" s="3"/>
      <c r="Q95" s="63"/>
      <c r="R95" s="36"/>
      <c r="S95" s="60"/>
      <c r="T95" s="64"/>
      <c r="U95" s="1"/>
      <c r="V95" s="1"/>
    </row>
    <row r="96" spans="1:22" ht="24.95" customHeight="1" thickBot="1" x14ac:dyDescent="0.25">
      <c r="A96" s="1"/>
      <c r="B96" s="41">
        <v>40</v>
      </c>
      <c r="C96" s="53"/>
      <c r="D96" s="219"/>
      <c r="E96" s="174" t="s">
        <v>0</v>
      </c>
      <c r="F96" s="73"/>
      <c r="G96" s="74"/>
      <c r="H96" s="75"/>
      <c r="I96" s="75"/>
      <c r="J96" s="76"/>
      <c r="K96" s="77"/>
      <c r="L96" s="74"/>
      <c r="M96" s="75"/>
      <c r="N96" s="75"/>
      <c r="O96" s="76"/>
      <c r="P96" s="75"/>
      <c r="Q96" s="78"/>
      <c r="R96" s="78"/>
      <c r="S96" s="78"/>
      <c r="T96" s="76"/>
      <c r="U96" s="1"/>
      <c r="V96" s="1"/>
    </row>
    <row r="97" spans="1:22" ht="18.95" customHeight="1" x14ac:dyDescent="0.2">
      <c r="A97" s="1"/>
      <c r="B97" s="37"/>
      <c r="C97" s="37"/>
      <c r="D97" s="1"/>
      <c r="E97" s="3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.95" customHeight="1" thickBot="1" x14ac:dyDescent="0.25">
      <c r="A98" s="1"/>
      <c r="B98" s="37"/>
      <c r="C98" s="37"/>
      <c r="D98" s="1"/>
      <c r="E98" s="3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8.95" customHeight="1" x14ac:dyDescent="0.2">
      <c r="A99" s="1"/>
      <c r="B99" s="255"/>
      <c r="C99" s="256"/>
      <c r="D99" s="259" t="s">
        <v>3</v>
      </c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1"/>
      <c r="U99" s="1"/>
      <c r="V99" s="1"/>
    </row>
    <row r="100" spans="1:22" ht="18.95" customHeight="1" x14ac:dyDescent="0.2">
      <c r="A100" s="1"/>
      <c r="B100" s="257"/>
      <c r="C100" s="258"/>
      <c r="D100" s="262" t="s">
        <v>4</v>
      </c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  <c r="S100" s="263"/>
      <c r="T100" s="264"/>
      <c r="U100" s="1"/>
      <c r="V100" s="1"/>
    </row>
    <row r="101" spans="1:22" ht="18.95" customHeight="1" thickBot="1" x14ac:dyDescent="0.25">
      <c r="A101" s="1"/>
      <c r="B101" s="257"/>
      <c r="C101" s="258"/>
      <c r="D101" s="265" t="s">
        <v>547</v>
      </c>
      <c r="E101" s="266"/>
      <c r="F101" s="266"/>
      <c r="G101" s="266"/>
      <c r="H101" s="266"/>
      <c r="I101" s="266"/>
      <c r="J101" s="266"/>
      <c r="K101" s="266"/>
      <c r="L101" s="266"/>
      <c r="M101" s="266"/>
      <c r="N101" s="266"/>
      <c r="O101" s="266"/>
      <c r="P101" s="266"/>
      <c r="Q101" s="266"/>
      <c r="R101" s="266"/>
      <c r="S101" s="266"/>
      <c r="T101" s="267"/>
      <c r="U101" s="1"/>
      <c r="V101" s="1"/>
    </row>
    <row r="102" spans="1:22" ht="18.95" customHeight="1" thickBot="1" x14ac:dyDescent="0.25">
      <c r="A102" s="1"/>
      <c r="B102" s="268"/>
      <c r="C102" s="269"/>
      <c r="D102" s="25" t="s">
        <v>562</v>
      </c>
      <c r="E102" s="26"/>
      <c r="F102" s="27" t="s">
        <v>820</v>
      </c>
      <c r="G102" s="27"/>
      <c r="H102" s="27"/>
      <c r="I102" s="28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24"/>
      <c r="U102" s="1"/>
      <c r="V102" s="1"/>
    </row>
    <row r="103" spans="1:22" ht="18.95" customHeight="1" thickBot="1" x14ac:dyDescent="0.25">
      <c r="A103" s="1"/>
      <c r="B103" s="271" t="s">
        <v>6</v>
      </c>
      <c r="C103" s="272"/>
      <c r="D103" s="270" t="s">
        <v>7</v>
      </c>
      <c r="E103" s="273" t="s">
        <v>12</v>
      </c>
      <c r="F103" s="268"/>
      <c r="G103" s="277"/>
      <c r="H103" s="277"/>
      <c r="I103" s="277"/>
      <c r="J103" s="269"/>
      <c r="K103" s="268"/>
      <c r="L103" s="277"/>
      <c r="M103" s="277"/>
      <c r="N103" s="277"/>
      <c r="O103" s="269"/>
      <c r="P103" s="272"/>
      <c r="Q103" s="277"/>
      <c r="R103" s="277"/>
      <c r="S103" s="277"/>
      <c r="T103" s="269"/>
      <c r="U103" s="1"/>
      <c r="V103" s="1"/>
    </row>
    <row r="104" spans="1:22" ht="24" customHeight="1" thickBot="1" x14ac:dyDescent="0.25">
      <c r="A104" s="1"/>
      <c r="B104" s="51" t="s">
        <v>10</v>
      </c>
      <c r="C104" s="43" t="s">
        <v>9</v>
      </c>
      <c r="D104" s="270"/>
      <c r="E104" s="274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1"/>
      <c r="V104" s="1"/>
    </row>
    <row r="105" spans="1:22" ht="24.95" customHeight="1" x14ac:dyDescent="0.2">
      <c r="A105" s="1"/>
      <c r="B105" s="38">
        <v>1</v>
      </c>
      <c r="C105" s="32">
        <v>16435</v>
      </c>
      <c r="D105" s="221" t="s">
        <v>620</v>
      </c>
      <c r="E105" s="206" t="s">
        <v>0</v>
      </c>
      <c r="F105" s="177"/>
      <c r="G105" s="79"/>
      <c r="H105" s="80"/>
      <c r="I105" s="2"/>
      <c r="J105" s="61"/>
      <c r="K105" s="62"/>
      <c r="L105" s="79"/>
      <c r="M105" s="80"/>
      <c r="N105" s="2"/>
      <c r="O105" s="61"/>
      <c r="P105" s="81"/>
      <c r="Q105" s="82"/>
      <c r="R105" s="36"/>
      <c r="S105" s="60"/>
      <c r="T105" s="83"/>
      <c r="U105" s="1"/>
      <c r="V105" s="1"/>
    </row>
    <row r="106" spans="1:22" ht="24.95" customHeight="1" x14ac:dyDescent="0.2">
      <c r="A106" s="1"/>
      <c r="B106" s="39">
        <f t="shared" ref="B106:B143" si="0">B105+1</f>
        <v>2</v>
      </c>
      <c r="C106" s="30">
        <v>16436</v>
      </c>
      <c r="D106" s="180" t="s">
        <v>621</v>
      </c>
      <c r="E106" s="207" t="s">
        <v>0</v>
      </c>
      <c r="F106" s="177"/>
      <c r="G106" s="60"/>
      <c r="H106" s="2"/>
      <c r="I106" s="2"/>
      <c r="J106" s="61"/>
      <c r="K106" s="62"/>
      <c r="L106" s="60"/>
      <c r="M106" s="2"/>
      <c r="N106" s="2"/>
      <c r="O106" s="61"/>
      <c r="P106" s="3"/>
      <c r="Q106" s="63"/>
      <c r="R106" s="36"/>
      <c r="S106" s="60"/>
      <c r="T106" s="64"/>
      <c r="U106" s="1"/>
      <c r="V106" s="1"/>
    </row>
    <row r="107" spans="1:22" ht="24.95" customHeight="1" x14ac:dyDescent="0.2">
      <c r="A107" s="1"/>
      <c r="B107" s="39">
        <f t="shared" si="0"/>
        <v>3</v>
      </c>
      <c r="C107" s="30">
        <v>16437</v>
      </c>
      <c r="D107" s="180" t="s">
        <v>622</v>
      </c>
      <c r="E107" s="207" t="s">
        <v>0</v>
      </c>
      <c r="F107" s="177"/>
      <c r="G107" s="60"/>
      <c r="H107" s="2"/>
      <c r="I107" s="2"/>
      <c r="J107" s="61"/>
      <c r="K107" s="62"/>
      <c r="L107" s="60"/>
      <c r="M107" s="2"/>
      <c r="N107" s="2"/>
      <c r="O107" s="61"/>
      <c r="P107" s="3"/>
      <c r="Q107" s="63"/>
      <c r="R107" s="36"/>
      <c r="S107" s="60"/>
      <c r="T107" s="64"/>
      <c r="U107" s="1"/>
      <c r="V107" s="1"/>
    </row>
    <row r="108" spans="1:22" ht="24.95" customHeight="1" x14ac:dyDescent="0.2">
      <c r="A108" s="1"/>
      <c r="B108" s="39">
        <f t="shared" si="0"/>
        <v>4</v>
      </c>
      <c r="C108" s="30">
        <v>16438</v>
      </c>
      <c r="D108" s="180" t="s">
        <v>623</v>
      </c>
      <c r="E108" s="207" t="s">
        <v>0</v>
      </c>
      <c r="F108" s="177"/>
      <c r="G108" s="60"/>
      <c r="H108" s="2"/>
      <c r="I108" s="2"/>
      <c r="J108" s="61"/>
      <c r="K108" s="62"/>
      <c r="L108" s="60"/>
      <c r="M108" s="2"/>
      <c r="N108" s="2"/>
      <c r="O108" s="61"/>
      <c r="P108" s="3"/>
      <c r="Q108" s="63"/>
      <c r="R108" s="36"/>
      <c r="S108" s="60"/>
      <c r="T108" s="64"/>
      <c r="U108" s="1"/>
      <c r="V108" s="1"/>
    </row>
    <row r="109" spans="1:22" ht="24.95" customHeight="1" x14ac:dyDescent="0.2">
      <c r="A109" s="1"/>
      <c r="B109" s="39">
        <f t="shared" si="0"/>
        <v>5</v>
      </c>
      <c r="C109" s="30">
        <v>16439</v>
      </c>
      <c r="D109" s="180" t="s">
        <v>624</v>
      </c>
      <c r="E109" s="207" t="s">
        <v>0</v>
      </c>
      <c r="F109" s="177"/>
      <c r="G109" s="60"/>
      <c r="H109" s="2"/>
      <c r="I109" s="2"/>
      <c r="J109" s="61"/>
      <c r="K109" s="62"/>
      <c r="L109" s="60"/>
      <c r="M109" s="2"/>
      <c r="N109" s="2"/>
      <c r="O109" s="61"/>
      <c r="P109" s="3"/>
      <c r="Q109" s="63"/>
      <c r="R109" s="36"/>
      <c r="S109" s="60"/>
      <c r="T109" s="64"/>
      <c r="U109" s="1"/>
      <c r="V109" s="1"/>
    </row>
    <row r="110" spans="1:22" ht="24.95" customHeight="1" x14ac:dyDescent="0.2">
      <c r="A110" s="1"/>
      <c r="B110" s="39">
        <f t="shared" si="0"/>
        <v>6</v>
      </c>
      <c r="C110" s="30">
        <v>16440</v>
      </c>
      <c r="D110" s="180" t="s">
        <v>625</v>
      </c>
      <c r="E110" s="207" t="s">
        <v>0</v>
      </c>
      <c r="F110" s="177"/>
      <c r="G110" s="60"/>
      <c r="H110" s="2"/>
      <c r="I110" s="2"/>
      <c r="J110" s="61"/>
      <c r="K110" s="62"/>
      <c r="L110" s="60"/>
      <c r="M110" s="2"/>
      <c r="N110" s="2"/>
      <c r="O110" s="61"/>
      <c r="P110" s="3"/>
      <c r="Q110" s="63"/>
      <c r="R110" s="36"/>
      <c r="S110" s="60"/>
      <c r="T110" s="64"/>
      <c r="U110" s="1"/>
      <c r="V110" s="1"/>
    </row>
    <row r="111" spans="1:22" ht="24.95" customHeight="1" x14ac:dyDescent="0.2">
      <c r="A111" s="1"/>
      <c r="B111" s="39">
        <f t="shared" si="0"/>
        <v>7</v>
      </c>
      <c r="C111" s="30">
        <v>16441</v>
      </c>
      <c r="D111" s="180" t="s">
        <v>626</v>
      </c>
      <c r="E111" s="207" t="s">
        <v>0</v>
      </c>
      <c r="F111" s="177"/>
      <c r="G111" s="60"/>
      <c r="H111" s="2"/>
      <c r="I111" s="2"/>
      <c r="J111" s="61"/>
      <c r="K111" s="62"/>
      <c r="L111" s="60"/>
      <c r="M111" s="2"/>
      <c r="N111" s="2"/>
      <c r="O111" s="61"/>
      <c r="P111" s="3"/>
      <c r="Q111" s="63"/>
      <c r="R111" s="36"/>
      <c r="S111" s="60"/>
      <c r="T111" s="64"/>
      <c r="U111" s="1"/>
      <c r="V111" s="1"/>
    </row>
    <row r="112" spans="1:22" ht="24.95" customHeight="1" x14ac:dyDescent="0.2">
      <c r="A112" s="1"/>
      <c r="B112" s="39">
        <f t="shared" si="0"/>
        <v>8</v>
      </c>
      <c r="C112" s="30">
        <v>16442</v>
      </c>
      <c r="D112" s="180" t="s">
        <v>627</v>
      </c>
      <c r="E112" s="207" t="s">
        <v>0</v>
      </c>
      <c r="F112" s="177"/>
      <c r="G112" s="60"/>
      <c r="H112" s="2"/>
      <c r="I112" s="2"/>
      <c r="J112" s="61"/>
      <c r="K112" s="62"/>
      <c r="L112" s="60"/>
      <c r="M112" s="2"/>
      <c r="N112" s="2"/>
      <c r="O112" s="61"/>
      <c r="P112" s="3"/>
      <c r="Q112" s="63"/>
      <c r="R112" s="36"/>
      <c r="S112" s="60"/>
      <c r="T112" s="64"/>
      <c r="U112" s="1"/>
      <c r="V112" s="1"/>
    </row>
    <row r="113" spans="1:22" ht="24.95" customHeight="1" x14ac:dyDescent="0.2">
      <c r="A113" s="1"/>
      <c r="B113" s="39">
        <f t="shared" si="0"/>
        <v>9</v>
      </c>
      <c r="C113" s="30">
        <v>16443</v>
      </c>
      <c r="D113" s="180" t="s">
        <v>628</v>
      </c>
      <c r="E113" s="207" t="s">
        <v>0</v>
      </c>
      <c r="F113" s="177"/>
      <c r="G113" s="60"/>
      <c r="H113" s="2"/>
      <c r="I113" s="2"/>
      <c r="J113" s="61"/>
      <c r="K113" s="62"/>
      <c r="L113" s="60"/>
      <c r="M113" s="2"/>
      <c r="N113" s="2"/>
      <c r="O113" s="61"/>
      <c r="P113" s="3"/>
      <c r="Q113" s="63"/>
      <c r="R113" s="36"/>
      <c r="S113" s="60"/>
      <c r="T113" s="64"/>
      <c r="U113" s="1"/>
      <c r="V113" s="1"/>
    </row>
    <row r="114" spans="1:22" ht="24.95" customHeight="1" x14ac:dyDescent="0.2">
      <c r="A114" s="1"/>
      <c r="B114" s="39">
        <f t="shared" si="0"/>
        <v>10</v>
      </c>
      <c r="C114" s="30">
        <v>16444</v>
      </c>
      <c r="D114" s="180" t="s">
        <v>629</v>
      </c>
      <c r="E114" s="207" t="s">
        <v>0</v>
      </c>
      <c r="F114" s="177"/>
      <c r="G114" s="60"/>
      <c r="H114" s="2"/>
      <c r="I114" s="2"/>
      <c r="J114" s="61"/>
      <c r="K114" s="62"/>
      <c r="L114" s="60"/>
      <c r="M114" s="2"/>
      <c r="N114" s="2"/>
      <c r="O114" s="61"/>
      <c r="P114" s="3"/>
      <c r="Q114" s="63"/>
      <c r="R114" s="36"/>
      <c r="S114" s="60"/>
      <c r="T114" s="64"/>
      <c r="U114" s="1"/>
      <c r="V114" s="1"/>
    </row>
    <row r="115" spans="1:22" ht="24.95" customHeight="1" x14ac:dyDescent="0.2">
      <c r="A115" s="1"/>
      <c r="B115" s="39">
        <f t="shared" si="0"/>
        <v>11</v>
      </c>
      <c r="C115" s="30">
        <v>16445</v>
      </c>
      <c r="D115" s="180" t="s">
        <v>630</v>
      </c>
      <c r="E115" s="207" t="s">
        <v>0</v>
      </c>
      <c r="F115" s="177"/>
      <c r="G115" s="60"/>
      <c r="H115" s="2"/>
      <c r="I115" s="2"/>
      <c r="J115" s="61"/>
      <c r="K115" s="62"/>
      <c r="L115" s="60"/>
      <c r="M115" s="2"/>
      <c r="N115" s="2"/>
      <c r="O115" s="61"/>
      <c r="P115" s="3"/>
      <c r="Q115" s="63"/>
      <c r="R115" s="36"/>
      <c r="S115" s="60"/>
      <c r="T115" s="64"/>
      <c r="U115" s="1"/>
      <c r="V115" s="1"/>
    </row>
    <row r="116" spans="1:22" ht="24.95" customHeight="1" x14ac:dyDescent="0.2">
      <c r="A116" s="1"/>
      <c r="B116" s="39">
        <f t="shared" si="0"/>
        <v>12</v>
      </c>
      <c r="C116" s="30">
        <v>16446</v>
      </c>
      <c r="D116" s="180" t="s">
        <v>631</v>
      </c>
      <c r="E116" s="207" t="s">
        <v>0</v>
      </c>
      <c r="F116" s="177"/>
      <c r="G116" s="60"/>
      <c r="H116" s="2"/>
      <c r="I116" s="2"/>
      <c r="J116" s="61"/>
      <c r="K116" s="62"/>
      <c r="L116" s="60"/>
      <c r="M116" s="2"/>
      <c r="N116" s="2"/>
      <c r="O116" s="61"/>
      <c r="P116" s="3"/>
      <c r="Q116" s="63"/>
      <c r="R116" s="36"/>
      <c r="S116" s="60"/>
      <c r="T116" s="64"/>
      <c r="U116" s="1"/>
      <c r="V116" s="1"/>
    </row>
    <row r="117" spans="1:22" ht="24.95" customHeight="1" x14ac:dyDescent="0.2">
      <c r="A117" s="1"/>
      <c r="B117" s="39">
        <f t="shared" si="0"/>
        <v>13</v>
      </c>
      <c r="C117" s="30">
        <v>16447</v>
      </c>
      <c r="D117" s="180" t="s">
        <v>632</v>
      </c>
      <c r="E117" s="207" t="s">
        <v>0</v>
      </c>
      <c r="F117" s="177"/>
      <c r="G117" s="60"/>
      <c r="H117" s="2"/>
      <c r="I117" s="2"/>
      <c r="J117" s="61"/>
      <c r="K117" s="62"/>
      <c r="L117" s="60"/>
      <c r="M117" s="2"/>
      <c r="N117" s="2"/>
      <c r="O117" s="61"/>
      <c r="P117" s="3"/>
      <c r="Q117" s="63"/>
      <c r="R117" s="93"/>
      <c r="S117" s="55"/>
      <c r="T117" s="64"/>
      <c r="U117" s="1"/>
      <c r="V117" s="1"/>
    </row>
    <row r="118" spans="1:22" ht="24.95" customHeight="1" x14ac:dyDescent="0.2">
      <c r="A118" s="1"/>
      <c r="B118" s="39">
        <f t="shared" si="0"/>
        <v>14</v>
      </c>
      <c r="C118" s="30">
        <v>16448</v>
      </c>
      <c r="D118" s="180" t="s">
        <v>633</v>
      </c>
      <c r="E118" s="207" t="s">
        <v>0</v>
      </c>
      <c r="F118" s="177"/>
      <c r="G118" s="60"/>
      <c r="H118" s="2"/>
      <c r="I118" s="2"/>
      <c r="J118" s="61"/>
      <c r="K118" s="62"/>
      <c r="L118" s="60"/>
      <c r="M118" s="2"/>
      <c r="N118" s="2"/>
      <c r="O118" s="61"/>
      <c r="P118" s="3"/>
      <c r="Q118" s="63"/>
      <c r="R118" s="36"/>
      <c r="S118" s="60"/>
      <c r="T118" s="64"/>
      <c r="U118" s="1"/>
      <c r="V118" s="1"/>
    </row>
    <row r="119" spans="1:22" ht="24.95" customHeight="1" x14ac:dyDescent="0.2">
      <c r="A119" s="1"/>
      <c r="B119" s="39">
        <f t="shared" si="0"/>
        <v>15</v>
      </c>
      <c r="C119" s="30">
        <v>16449</v>
      </c>
      <c r="D119" s="180" t="s">
        <v>634</v>
      </c>
      <c r="E119" s="207" t="s">
        <v>0</v>
      </c>
      <c r="F119" s="177"/>
      <c r="G119" s="60"/>
      <c r="H119" s="2"/>
      <c r="I119" s="2"/>
      <c r="J119" s="61"/>
      <c r="K119" s="62"/>
      <c r="L119" s="60"/>
      <c r="M119" s="2"/>
      <c r="N119" s="2"/>
      <c r="O119" s="61"/>
      <c r="P119" s="3"/>
      <c r="Q119" s="63"/>
      <c r="R119" s="36"/>
      <c r="S119" s="60"/>
      <c r="T119" s="64"/>
      <c r="U119" s="1"/>
      <c r="V119" s="1"/>
    </row>
    <row r="120" spans="1:22" ht="24.95" customHeight="1" x14ac:dyDescent="0.2">
      <c r="A120" s="1"/>
      <c r="B120" s="39">
        <f t="shared" si="0"/>
        <v>16</v>
      </c>
      <c r="C120" s="30">
        <v>16450</v>
      </c>
      <c r="D120" s="180" t="s">
        <v>635</v>
      </c>
      <c r="E120" s="207" t="s">
        <v>0</v>
      </c>
      <c r="F120" s="177"/>
      <c r="G120" s="60"/>
      <c r="H120" s="2"/>
      <c r="I120" s="2"/>
      <c r="J120" s="61"/>
      <c r="K120" s="62"/>
      <c r="L120" s="60"/>
      <c r="M120" s="2"/>
      <c r="N120" s="2"/>
      <c r="O120" s="61"/>
      <c r="P120" s="3"/>
      <c r="Q120" s="63"/>
      <c r="R120" s="36"/>
      <c r="S120" s="60"/>
      <c r="T120" s="64"/>
      <c r="U120" s="1"/>
      <c r="V120" s="1"/>
    </row>
    <row r="121" spans="1:22" ht="24.95" customHeight="1" x14ac:dyDescent="0.2">
      <c r="A121" s="1"/>
      <c r="B121" s="39">
        <f t="shared" si="0"/>
        <v>17</v>
      </c>
      <c r="C121" s="30">
        <v>16451</v>
      </c>
      <c r="D121" s="180" t="s">
        <v>636</v>
      </c>
      <c r="E121" s="207" t="s">
        <v>0</v>
      </c>
      <c r="F121" s="177"/>
      <c r="G121" s="60"/>
      <c r="H121" s="2"/>
      <c r="I121" s="2"/>
      <c r="J121" s="61"/>
      <c r="K121" s="62"/>
      <c r="L121" s="60"/>
      <c r="M121" s="2"/>
      <c r="N121" s="2"/>
      <c r="O121" s="61"/>
      <c r="P121" s="3"/>
      <c r="Q121" s="63"/>
      <c r="R121" s="36"/>
      <c r="S121" s="60"/>
      <c r="T121" s="64"/>
      <c r="U121" s="1"/>
      <c r="V121" s="1"/>
    </row>
    <row r="122" spans="1:22" ht="24.95" customHeight="1" x14ac:dyDescent="0.2">
      <c r="A122" s="1"/>
      <c r="B122" s="39">
        <f t="shared" si="0"/>
        <v>18</v>
      </c>
      <c r="C122" s="30">
        <v>16452</v>
      </c>
      <c r="D122" s="180" t="s">
        <v>637</v>
      </c>
      <c r="E122" s="207" t="s">
        <v>0</v>
      </c>
      <c r="F122" s="177"/>
      <c r="G122" s="60"/>
      <c r="H122" s="2"/>
      <c r="I122" s="2"/>
      <c r="J122" s="61"/>
      <c r="K122" s="62"/>
      <c r="L122" s="60"/>
      <c r="M122" s="2"/>
      <c r="N122" s="2"/>
      <c r="O122" s="61"/>
      <c r="P122" s="3"/>
      <c r="Q122" s="63"/>
      <c r="R122" s="36"/>
      <c r="S122" s="60"/>
      <c r="T122" s="64"/>
      <c r="U122" s="1"/>
      <c r="V122" s="1"/>
    </row>
    <row r="123" spans="1:22" ht="24.95" customHeight="1" x14ac:dyDescent="0.2">
      <c r="A123" s="1"/>
      <c r="B123" s="39">
        <f t="shared" si="0"/>
        <v>19</v>
      </c>
      <c r="C123" s="30">
        <v>16453</v>
      </c>
      <c r="D123" s="180" t="s">
        <v>638</v>
      </c>
      <c r="E123" s="207" t="s">
        <v>0</v>
      </c>
      <c r="F123" s="177"/>
      <c r="G123" s="60"/>
      <c r="H123" s="2"/>
      <c r="I123" s="2"/>
      <c r="J123" s="61"/>
      <c r="K123" s="62"/>
      <c r="L123" s="60"/>
      <c r="M123" s="2"/>
      <c r="N123" s="2"/>
      <c r="O123" s="61"/>
      <c r="P123" s="3"/>
      <c r="Q123" s="63"/>
      <c r="R123" s="36"/>
      <c r="S123" s="60"/>
      <c r="T123" s="64"/>
      <c r="U123" s="1"/>
      <c r="V123" s="1"/>
    </row>
    <row r="124" spans="1:22" ht="24.95" customHeight="1" x14ac:dyDescent="0.2">
      <c r="A124" s="1"/>
      <c r="B124" s="39">
        <f t="shared" si="0"/>
        <v>20</v>
      </c>
      <c r="C124" s="30">
        <v>16454</v>
      </c>
      <c r="D124" s="180" t="s">
        <v>639</v>
      </c>
      <c r="E124" s="207" t="s">
        <v>0</v>
      </c>
      <c r="F124" s="177"/>
      <c r="G124" s="60"/>
      <c r="H124" s="2"/>
      <c r="I124" s="2"/>
      <c r="J124" s="61"/>
      <c r="K124" s="62"/>
      <c r="L124" s="60"/>
      <c r="M124" s="2"/>
      <c r="N124" s="2"/>
      <c r="O124" s="61"/>
      <c r="P124" s="3"/>
      <c r="Q124" s="63"/>
      <c r="R124" s="36"/>
      <c r="S124" s="60"/>
      <c r="T124" s="64"/>
      <c r="U124" s="1"/>
      <c r="V124" s="1"/>
    </row>
    <row r="125" spans="1:22" ht="24.95" customHeight="1" x14ac:dyDescent="0.2">
      <c r="A125" s="1"/>
      <c r="B125" s="39">
        <f t="shared" si="0"/>
        <v>21</v>
      </c>
      <c r="C125" s="30">
        <v>16455</v>
      </c>
      <c r="D125" s="180" t="s">
        <v>640</v>
      </c>
      <c r="E125" s="207" t="s">
        <v>0</v>
      </c>
      <c r="F125" s="177"/>
      <c r="G125" s="65"/>
      <c r="H125" s="2"/>
      <c r="I125" s="2"/>
      <c r="J125" s="61"/>
      <c r="K125" s="62"/>
      <c r="L125" s="65"/>
      <c r="M125" s="2"/>
      <c r="N125" s="2"/>
      <c r="O125" s="61"/>
      <c r="P125" s="3"/>
      <c r="Q125" s="63"/>
      <c r="R125" s="93"/>
      <c r="S125" s="55"/>
      <c r="T125" s="64"/>
      <c r="U125" s="1"/>
      <c r="V125" s="1"/>
    </row>
    <row r="126" spans="1:22" ht="24.95" customHeight="1" x14ac:dyDescent="0.2">
      <c r="A126" s="1"/>
      <c r="B126" s="39">
        <f t="shared" si="0"/>
        <v>22</v>
      </c>
      <c r="C126" s="30">
        <v>16456</v>
      </c>
      <c r="D126" s="180" t="s">
        <v>641</v>
      </c>
      <c r="E126" s="207" t="s">
        <v>0</v>
      </c>
      <c r="F126" s="177"/>
      <c r="G126" s="65"/>
      <c r="H126" s="2"/>
      <c r="I126" s="2"/>
      <c r="J126" s="61"/>
      <c r="K126" s="62"/>
      <c r="L126" s="65"/>
      <c r="M126" s="2"/>
      <c r="N126" s="2"/>
      <c r="O126" s="61"/>
      <c r="P126" s="3"/>
      <c r="Q126" s="63"/>
      <c r="R126" s="93"/>
      <c r="S126" s="55"/>
      <c r="T126" s="64"/>
      <c r="U126" s="1"/>
      <c r="V126" s="1"/>
    </row>
    <row r="127" spans="1:22" ht="24.95" customHeight="1" x14ac:dyDescent="0.2">
      <c r="A127" s="1"/>
      <c r="B127" s="39">
        <f t="shared" si="0"/>
        <v>23</v>
      </c>
      <c r="C127" s="30">
        <v>16457</v>
      </c>
      <c r="D127" s="180" t="s">
        <v>642</v>
      </c>
      <c r="E127" s="207" t="s">
        <v>0</v>
      </c>
      <c r="F127" s="177"/>
      <c r="G127" s="65"/>
      <c r="H127" s="2"/>
      <c r="I127" s="2"/>
      <c r="J127" s="61"/>
      <c r="K127" s="62"/>
      <c r="L127" s="65"/>
      <c r="M127" s="2"/>
      <c r="N127" s="2"/>
      <c r="O127" s="61"/>
      <c r="P127" s="3"/>
      <c r="Q127" s="63"/>
      <c r="R127" s="36"/>
      <c r="S127" s="60"/>
      <c r="T127" s="64"/>
      <c r="U127" s="1"/>
      <c r="V127" s="1"/>
    </row>
    <row r="128" spans="1:22" ht="24.95" customHeight="1" x14ac:dyDescent="0.2">
      <c r="A128" s="1"/>
      <c r="B128" s="39">
        <f t="shared" si="0"/>
        <v>24</v>
      </c>
      <c r="C128" s="30">
        <v>16458</v>
      </c>
      <c r="D128" s="180" t="s">
        <v>643</v>
      </c>
      <c r="E128" s="207" t="s">
        <v>0</v>
      </c>
      <c r="F128" s="177"/>
      <c r="G128" s="60"/>
      <c r="H128" s="2"/>
      <c r="I128" s="2"/>
      <c r="J128" s="61"/>
      <c r="K128" s="62"/>
      <c r="L128" s="60"/>
      <c r="M128" s="2"/>
      <c r="N128" s="2"/>
      <c r="O128" s="61"/>
      <c r="P128" s="3"/>
      <c r="Q128" s="63"/>
      <c r="R128" s="36"/>
      <c r="S128" s="60"/>
      <c r="T128" s="64"/>
      <c r="U128" s="1"/>
      <c r="V128" s="1"/>
    </row>
    <row r="129" spans="1:22" ht="24.95" customHeight="1" x14ac:dyDescent="0.2">
      <c r="A129" s="1"/>
      <c r="B129" s="39">
        <f t="shared" si="0"/>
        <v>25</v>
      </c>
      <c r="C129" s="30">
        <v>16459</v>
      </c>
      <c r="D129" s="180" t="s">
        <v>644</v>
      </c>
      <c r="E129" s="207" t="s">
        <v>0</v>
      </c>
      <c r="F129" s="177"/>
      <c r="G129" s="65"/>
      <c r="H129" s="2"/>
      <c r="I129" s="2"/>
      <c r="J129" s="61"/>
      <c r="K129" s="62"/>
      <c r="L129" s="65"/>
      <c r="M129" s="2"/>
      <c r="N129" s="2"/>
      <c r="O129" s="61"/>
      <c r="P129" s="3"/>
      <c r="Q129" s="63"/>
      <c r="R129" s="36"/>
      <c r="S129" s="60"/>
      <c r="T129" s="64"/>
      <c r="U129" s="1"/>
      <c r="V129" s="1"/>
    </row>
    <row r="130" spans="1:22" ht="24.95" customHeight="1" x14ac:dyDescent="0.2">
      <c r="A130" s="1"/>
      <c r="B130" s="39">
        <f t="shared" si="0"/>
        <v>26</v>
      </c>
      <c r="C130" s="30"/>
      <c r="D130" s="180"/>
      <c r="E130" s="207" t="s">
        <v>0</v>
      </c>
      <c r="F130" s="177"/>
      <c r="G130" s="66"/>
      <c r="H130" s="67"/>
      <c r="I130" s="67"/>
      <c r="J130" s="68"/>
      <c r="K130" s="62"/>
      <c r="L130" s="66"/>
      <c r="M130" s="67"/>
      <c r="N130" s="67"/>
      <c r="O130" s="68"/>
      <c r="P130" s="40"/>
      <c r="Q130" s="69"/>
      <c r="R130" s="178"/>
      <c r="S130" s="90"/>
      <c r="T130" s="70"/>
      <c r="U130" s="1"/>
      <c r="V130" s="1"/>
    </row>
    <row r="131" spans="1:22" ht="24.95" customHeight="1" x14ac:dyDescent="0.2">
      <c r="A131" s="1"/>
      <c r="B131" s="39">
        <f t="shared" si="0"/>
        <v>27</v>
      </c>
      <c r="C131" s="30"/>
      <c r="D131" s="180"/>
      <c r="E131" s="207" t="s">
        <v>0</v>
      </c>
      <c r="F131" s="177"/>
      <c r="G131" s="66"/>
      <c r="H131" s="67"/>
      <c r="I131" s="67"/>
      <c r="J131" s="68"/>
      <c r="K131" s="62"/>
      <c r="L131" s="66"/>
      <c r="M131" s="67"/>
      <c r="N131" s="67"/>
      <c r="O131" s="68"/>
      <c r="P131" s="40"/>
      <c r="Q131" s="69"/>
      <c r="R131" s="178"/>
      <c r="S131" s="90"/>
      <c r="T131" s="70"/>
      <c r="U131" s="1"/>
      <c r="V131" s="1"/>
    </row>
    <row r="132" spans="1:22" ht="24.95" customHeight="1" x14ac:dyDescent="0.2">
      <c r="A132" s="1"/>
      <c r="B132" s="39">
        <f t="shared" si="0"/>
        <v>28</v>
      </c>
      <c r="C132" s="30"/>
      <c r="D132" s="180"/>
      <c r="E132" s="207" t="s">
        <v>0</v>
      </c>
      <c r="F132" s="177"/>
      <c r="G132" s="66"/>
      <c r="H132" s="67"/>
      <c r="I132" s="67"/>
      <c r="J132" s="68"/>
      <c r="K132" s="62"/>
      <c r="L132" s="66"/>
      <c r="M132" s="67"/>
      <c r="N132" s="67"/>
      <c r="O132" s="68"/>
      <c r="P132" s="40"/>
      <c r="Q132" s="69"/>
      <c r="R132" s="178"/>
      <c r="S132" s="90"/>
      <c r="T132" s="70"/>
      <c r="U132" s="1"/>
      <c r="V132" s="1"/>
    </row>
    <row r="133" spans="1:22" ht="24.95" customHeight="1" x14ac:dyDescent="0.2">
      <c r="A133" s="1"/>
      <c r="B133" s="39">
        <f t="shared" si="0"/>
        <v>29</v>
      </c>
      <c r="C133" s="30"/>
      <c r="D133" s="180"/>
      <c r="E133" s="207" t="s">
        <v>0</v>
      </c>
      <c r="F133" s="177"/>
      <c r="G133" s="66"/>
      <c r="H133" s="67"/>
      <c r="I133" s="67"/>
      <c r="J133" s="68"/>
      <c r="K133" s="62"/>
      <c r="L133" s="66"/>
      <c r="M133" s="67"/>
      <c r="N133" s="67"/>
      <c r="O133" s="68"/>
      <c r="P133" s="40"/>
      <c r="Q133" s="69"/>
      <c r="R133" s="178"/>
      <c r="S133" s="90"/>
      <c r="T133" s="70"/>
      <c r="U133" s="1"/>
      <c r="V133" s="1"/>
    </row>
    <row r="134" spans="1:22" ht="24.95" customHeight="1" x14ac:dyDescent="0.2">
      <c r="A134" s="1"/>
      <c r="B134" s="39">
        <f t="shared" si="0"/>
        <v>30</v>
      </c>
      <c r="C134" s="30"/>
      <c r="D134" s="180"/>
      <c r="E134" s="207" t="s">
        <v>0</v>
      </c>
      <c r="F134" s="177"/>
      <c r="G134" s="66"/>
      <c r="H134" s="67"/>
      <c r="I134" s="67"/>
      <c r="J134" s="68"/>
      <c r="K134" s="62"/>
      <c r="L134" s="66"/>
      <c r="M134" s="67"/>
      <c r="N134" s="67"/>
      <c r="O134" s="68"/>
      <c r="P134" s="40"/>
      <c r="Q134" s="69"/>
      <c r="R134" s="178"/>
      <c r="S134" s="90"/>
      <c r="T134" s="70"/>
      <c r="U134" s="1"/>
      <c r="V134" s="1"/>
    </row>
    <row r="135" spans="1:22" ht="24.95" customHeight="1" x14ac:dyDescent="0.2">
      <c r="A135" s="1"/>
      <c r="B135" s="39">
        <f t="shared" si="0"/>
        <v>31</v>
      </c>
      <c r="C135" s="30"/>
      <c r="D135" s="180"/>
      <c r="E135" s="207" t="s">
        <v>0</v>
      </c>
      <c r="F135" s="177"/>
      <c r="G135" s="66"/>
      <c r="H135" s="67"/>
      <c r="I135" s="67"/>
      <c r="J135" s="68"/>
      <c r="K135" s="62"/>
      <c r="L135" s="66"/>
      <c r="M135" s="67"/>
      <c r="N135" s="67"/>
      <c r="O135" s="68"/>
      <c r="P135" s="40"/>
      <c r="Q135" s="69"/>
      <c r="R135" s="178"/>
      <c r="S135" s="90"/>
      <c r="T135" s="70"/>
      <c r="U135" s="1"/>
      <c r="V135" s="1"/>
    </row>
    <row r="136" spans="1:22" ht="24.95" customHeight="1" x14ac:dyDescent="0.2">
      <c r="A136" s="1"/>
      <c r="B136" s="39">
        <f t="shared" si="0"/>
        <v>32</v>
      </c>
      <c r="C136" s="30"/>
      <c r="D136" s="180"/>
      <c r="E136" s="207" t="s">
        <v>0</v>
      </c>
      <c r="F136" s="177"/>
      <c r="G136" s="66"/>
      <c r="H136" s="67"/>
      <c r="I136" s="67"/>
      <c r="J136" s="68"/>
      <c r="K136" s="62"/>
      <c r="L136" s="66"/>
      <c r="M136" s="67"/>
      <c r="N136" s="67"/>
      <c r="O136" s="68"/>
      <c r="P136" s="40"/>
      <c r="Q136" s="69"/>
      <c r="R136" s="178"/>
      <c r="S136" s="90"/>
      <c r="T136" s="70"/>
      <c r="U136" s="1"/>
      <c r="V136" s="1"/>
    </row>
    <row r="137" spans="1:22" ht="24.95" customHeight="1" x14ac:dyDescent="0.2">
      <c r="A137" s="1"/>
      <c r="B137" s="39">
        <f t="shared" si="0"/>
        <v>33</v>
      </c>
      <c r="C137" s="30"/>
      <c r="D137" s="180"/>
      <c r="E137" s="207" t="s">
        <v>0</v>
      </c>
      <c r="F137" s="177"/>
      <c r="G137" s="66"/>
      <c r="H137" s="67"/>
      <c r="I137" s="67"/>
      <c r="J137" s="68"/>
      <c r="K137" s="62"/>
      <c r="L137" s="66"/>
      <c r="M137" s="67"/>
      <c r="N137" s="67"/>
      <c r="O137" s="68"/>
      <c r="P137" s="40"/>
      <c r="Q137" s="69"/>
      <c r="R137" s="178"/>
      <c r="S137" s="90"/>
      <c r="T137" s="70"/>
      <c r="U137" s="1"/>
      <c r="V137" s="1"/>
    </row>
    <row r="138" spans="1:22" ht="24.95" customHeight="1" x14ac:dyDescent="0.2">
      <c r="A138" s="1"/>
      <c r="B138" s="39">
        <f t="shared" si="0"/>
        <v>34</v>
      </c>
      <c r="C138" s="30"/>
      <c r="D138" s="180"/>
      <c r="E138" s="207" t="s">
        <v>0</v>
      </c>
      <c r="F138" s="177"/>
      <c r="G138" s="66"/>
      <c r="H138" s="67"/>
      <c r="I138" s="67"/>
      <c r="J138" s="68"/>
      <c r="K138" s="62"/>
      <c r="L138" s="66"/>
      <c r="M138" s="67"/>
      <c r="N138" s="67"/>
      <c r="O138" s="68"/>
      <c r="P138" s="40"/>
      <c r="Q138" s="69"/>
      <c r="R138" s="178"/>
      <c r="S138" s="90"/>
      <c r="T138" s="70"/>
      <c r="U138" s="1"/>
      <c r="V138" s="1"/>
    </row>
    <row r="139" spans="1:22" ht="24.95" customHeight="1" x14ac:dyDescent="0.2">
      <c r="A139" s="1"/>
      <c r="B139" s="39">
        <f t="shared" si="0"/>
        <v>35</v>
      </c>
      <c r="C139" s="30"/>
      <c r="D139" s="180"/>
      <c r="E139" s="207" t="s">
        <v>0</v>
      </c>
      <c r="F139" s="177"/>
      <c r="G139" s="66"/>
      <c r="H139" s="67"/>
      <c r="I139" s="67"/>
      <c r="J139" s="68"/>
      <c r="K139" s="62"/>
      <c r="L139" s="66"/>
      <c r="M139" s="67"/>
      <c r="N139" s="67"/>
      <c r="O139" s="68"/>
      <c r="P139" s="40"/>
      <c r="Q139" s="69"/>
      <c r="R139" s="178"/>
      <c r="S139" s="90"/>
      <c r="T139" s="70"/>
      <c r="U139" s="1"/>
      <c r="V139" s="1"/>
    </row>
    <row r="140" spans="1:22" ht="24.95" customHeight="1" x14ac:dyDescent="0.2">
      <c r="A140" s="1"/>
      <c r="B140" s="39">
        <f t="shared" si="0"/>
        <v>36</v>
      </c>
      <c r="C140" s="30"/>
      <c r="D140" s="180"/>
      <c r="E140" s="207" t="s">
        <v>0</v>
      </c>
      <c r="F140" s="177"/>
      <c r="G140" s="66"/>
      <c r="H140" s="67"/>
      <c r="I140" s="67"/>
      <c r="J140" s="68"/>
      <c r="K140" s="62"/>
      <c r="L140" s="66"/>
      <c r="M140" s="67"/>
      <c r="N140" s="67"/>
      <c r="O140" s="68"/>
      <c r="P140" s="40"/>
      <c r="Q140" s="69"/>
      <c r="R140" s="178"/>
      <c r="S140" s="90"/>
      <c r="T140" s="70"/>
      <c r="U140" s="1"/>
      <c r="V140" s="1"/>
    </row>
    <row r="141" spans="1:22" ht="24.95" customHeight="1" x14ac:dyDescent="0.2">
      <c r="A141" s="1"/>
      <c r="B141" s="39">
        <f t="shared" si="0"/>
        <v>37</v>
      </c>
      <c r="C141" s="30"/>
      <c r="D141" s="180"/>
      <c r="E141" s="207" t="s">
        <v>0</v>
      </c>
      <c r="F141" s="177"/>
      <c r="G141" s="66"/>
      <c r="H141" s="67"/>
      <c r="I141" s="67"/>
      <c r="J141" s="68"/>
      <c r="K141" s="62"/>
      <c r="L141" s="66"/>
      <c r="M141" s="67"/>
      <c r="N141" s="67"/>
      <c r="O141" s="68"/>
      <c r="P141" s="40"/>
      <c r="Q141" s="69"/>
      <c r="R141" s="178"/>
      <c r="S141" s="90"/>
      <c r="T141" s="70"/>
      <c r="U141" s="1"/>
      <c r="V141" s="1"/>
    </row>
    <row r="142" spans="1:22" ht="24.95" customHeight="1" x14ac:dyDescent="0.2">
      <c r="A142" s="1"/>
      <c r="B142" s="39">
        <f t="shared" si="0"/>
        <v>38</v>
      </c>
      <c r="C142" s="30"/>
      <c r="D142" s="180"/>
      <c r="E142" s="207" t="s">
        <v>0</v>
      </c>
      <c r="F142" s="177"/>
      <c r="G142" s="66"/>
      <c r="H142" s="67"/>
      <c r="I142" s="67"/>
      <c r="J142" s="68"/>
      <c r="K142" s="62"/>
      <c r="L142" s="66"/>
      <c r="M142" s="67"/>
      <c r="N142" s="67"/>
      <c r="O142" s="68"/>
      <c r="P142" s="40"/>
      <c r="Q142" s="69"/>
      <c r="R142" s="178"/>
      <c r="S142" s="90"/>
      <c r="T142" s="70"/>
      <c r="U142" s="1"/>
      <c r="V142" s="1"/>
    </row>
    <row r="143" spans="1:22" ht="24.95" customHeight="1" x14ac:dyDescent="0.2">
      <c r="A143" s="1"/>
      <c r="B143" s="39">
        <f t="shared" si="0"/>
        <v>39</v>
      </c>
      <c r="C143" s="30"/>
      <c r="D143" s="100"/>
      <c r="E143" s="214" t="s">
        <v>0</v>
      </c>
      <c r="F143" s="215"/>
      <c r="G143" s="65"/>
      <c r="H143" s="2"/>
      <c r="I143" s="2"/>
      <c r="J143" s="61"/>
      <c r="K143" s="62"/>
      <c r="L143" s="65"/>
      <c r="M143" s="2"/>
      <c r="N143" s="2"/>
      <c r="O143" s="61"/>
      <c r="P143" s="3"/>
      <c r="Q143" s="63"/>
      <c r="R143" s="36"/>
      <c r="S143" s="60"/>
      <c r="T143" s="64"/>
      <c r="U143" s="1"/>
      <c r="V143" s="1"/>
    </row>
    <row r="144" spans="1:22" ht="24.95" customHeight="1" thickBot="1" x14ac:dyDescent="0.25">
      <c r="A144" s="1"/>
      <c r="B144" s="52">
        <v>40</v>
      </c>
      <c r="C144" s="53"/>
      <c r="D144" s="217"/>
      <c r="E144" s="174"/>
      <c r="F144" s="73"/>
      <c r="G144" s="74"/>
      <c r="H144" s="75"/>
      <c r="I144" s="75"/>
      <c r="J144" s="76"/>
      <c r="K144" s="77"/>
      <c r="L144" s="74"/>
      <c r="M144" s="75"/>
      <c r="N144" s="75"/>
      <c r="O144" s="76"/>
      <c r="P144" s="75"/>
      <c r="Q144" s="78"/>
      <c r="R144" s="78"/>
      <c r="S144" s="78"/>
      <c r="T144" s="76"/>
      <c r="U144" s="1"/>
      <c r="V144" s="1"/>
    </row>
    <row r="145" spans="1:22" ht="18.95" customHeight="1" x14ac:dyDescent="0.2">
      <c r="V145" s="1"/>
    </row>
    <row r="146" spans="1:22" ht="18.95" customHeight="1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8.95" customHeight="1" x14ac:dyDescent="0.2">
      <c r="A147" s="1"/>
      <c r="B147" s="255"/>
      <c r="C147" s="256"/>
      <c r="D147" s="259" t="s">
        <v>3</v>
      </c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1"/>
      <c r="U147" s="1"/>
      <c r="V147" s="1"/>
    </row>
    <row r="148" spans="1:22" ht="18.95" customHeight="1" x14ac:dyDescent="0.2">
      <c r="A148" s="1"/>
      <c r="B148" s="257"/>
      <c r="C148" s="258"/>
      <c r="D148" s="262" t="s">
        <v>4</v>
      </c>
      <c r="E148" s="263"/>
      <c r="F148" s="263"/>
      <c r="G148" s="263"/>
      <c r="H148" s="263"/>
      <c r="I148" s="263"/>
      <c r="J148" s="263"/>
      <c r="K148" s="263"/>
      <c r="L148" s="263"/>
      <c r="M148" s="263"/>
      <c r="N148" s="263"/>
      <c r="O148" s="263"/>
      <c r="P148" s="263"/>
      <c r="Q148" s="263"/>
      <c r="R148" s="263"/>
      <c r="S148" s="263"/>
      <c r="T148" s="264"/>
      <c r="U148" s="1"/>
      <c r="V148" s="1"/>
    </row>
    <row r="149" spans="1:22" ht="18.95" customHeight="1" thickBot="1" x14ac:dyDescent="0.25">
      <c r="A149" s="1"/>
      <c r="B149" s="257"/>
      <c r="C149" s="258"/>
      <c r="D149" s="265" t="s">
        <v>547</v>
      </c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/>
      <c r="T149" s="267"/>
      <c r="U149" s="1"/>
      <c r="V149" s="1"/>
    </row>
    <row r="150" spans="1:22" ht="18.95" customHeight="1" thickBot="1" x14ac:dyDescent="0.25">
      <c r="A150" s="1"/>
      <c r="B150" s="268"/>
      <c r="C150" s="269"/>
      <c r="D150" s="25" t="s">
        <v>563</v>
      </c>
      <c r="E150" s="26"/>
      <c r="F150" s="27" t="s">
        <v>794</v>
      </c>
      <c r="G150" s="27"/>
      <c r="H150" s="27"/>
      <c r="I150" s="28"/>
      <c r="J150" s="28"/>
      <c r="K150" s="27"/>
      <c r="L150" s="27"/>
      <c r="M150" s="27"/>
      <c r="N150" s="27"/>
      <c r="O150" s="27"/>
      <c r="P150" s="27"/>
      <c r="Q150" s="27"/>
      <c r="R150" s="27"/>
      <c r="S150" s="27"/>
      <c r="T150" s="123"/>
      <c r="U150" s="1"/>
      <c r="V150" s="1"/>
    </row>
    <row r="151" spans="1:22" ht="18.95" customHeight="1" thickBot="1" x14ac:dyDescent="0.25">
      <c r="A151" s="1"/>
      <c r="B151" s="270" t="s">
        <v>6</v>
      </c>
      <c r="C151" s="270"/>
      <c r="D151" s="270" t="s">
        <v>7</v>
      </c>
      <c r="E151" s="273" t="s">
        <v>12</v>
      </c>
      <c r="F151" s="270"/>
      <c r="G151" s="270"/>
      <c r="H151" s="270"/>
      <c r="I151" s="270"/>
      <c r="J151" s="270"/>
      <c r="K151" s="270"/>
      <c r="L151" s="270"/>
      <c r="M151" s="270"/>
      <c r="N151" s="270"/>
      <c r="O151" s="270"/>
      <c r="P151" s="270"/>
      <c r="Q151" s="270"/>
      <c r="R151" s="270"/>
      <c r="S151" s="270"/>
      <c r="T151" s="270"/>
      <c r="U151" s="1"/>
      <c r="V151" s="1"/>
    </row>
    <row r="152" spans="1:22" ht="18.95" customHeight="1" thickBot="1" x14ac:dyDescent="0.25">
      <c r="A152" s="1"/>
      <c r="B152" s="29" t="s">
        <v>10</v>
      </c>
      <c r="C152" s="29" t="s">
        <v>9</v>
      </c>
      <c r="D152" s="270"/>
      <c r="E152" s="274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1"/>
      <c r="V152" s="1"/>
    </row>
    <row r="153" spans="1:22" ht="24.95" customHeight="1" x14ac:dyDescent="0.2">
      <c r="A153" s="1"/>
      <c r="B153" s="38">
        <v>1</v>
      </c>
      <c r="C153" s="32">
        <v>16460</v>
      </c>
      <c r="D153" s="164" t="s">
        <v>645</v>
      </c>
      <c r="E153" s="208" t="s">
        <v>0</v>
      </c>
      <c r="F153" s="183"/>
      <c r="G153" s="55"/>
      <c r="H153" s="5"/>
      <c r="I153" s="5"/>
      <c r="J153" s="56"/>
      <c r="K153" s="57"/>
      <c r="L153" s="55"/>
      <c r="M153" s="5"/>
      <c r="N153" s="5"/>
      <c r="O153" s="56"/>
      <c r="P153" s="4"/>
      <c r="Q153" s="58"/>
      <c r="R153" s="93"/>
      <c r="S153" s="55"/>
      <c r="T153" s="59"/>
      <c r="U153" s="1"/>
      <c r="V153" s="1"/>
    </row>
    <row r="154" spans="1:22" ht="24.95" customHeight="1" x14ac:dyDescent="0.2">
      <c r="A154" s="1"/>
      <c r="B154" s="39">
        <v>2</v>
      </c>
      <c r="C154" s="30">
        <v>16461</v>
      </c>
      <c r="D154" s="49" t="s">
        <v>646</v>
      </c>
      <c r="E154" s="209" t="s">
        <v>0</v>
      </c>
      <c r="F154" s="184"/>
      <c r="G154" s="60"/>
      <c r="H154" s="2"/>
      <c r="I154" s="2"/>
      <c r="J154" s="61"/>
      <c r="K154" s="62"/>
      <c r="L154" s="60"/>
      <c r="M154" s="2"/>
      <c r="N154" s="2"/>
      <c r="O154" s="61"/>
      <c r="P154" s="3"/>
      <c r="Q154" s="63"/>
      <c r="R154" s="36"/>
      <c r="S154" s="60"/>
      <c r="T154" s="64"/>
      <c r="U154" s="1"/>
      <c r="V154" s="1"/>
    </row>
    <row r="155" spans="1:22" ht="24.95" customHeight="1" x14ac:dyDescent="0.2">
      <c r="A155" s="1"/>
      <c r="B155" s="39">
        <f t="shared" ref="B155:B191" si="1">B154+1</f>
        <v>3</v>
      </c>
      <c r="C155" s="30">
        <v>16462</v>
      </c>
      <c r="D155" s="49" t="s">
        <v>647</v>
      </c>
      <c r="E155" s="209" t="s">
        <v>0</v>
      </c>
      <c r="F155" s="184"/>
      <c r="G155" s="60"/>
      <c r="H155" s="2"/>
      <c r="I155" s="2"/>
      <c r="J155" s="61"/>
      <c r="K155" s="62"/>
      <c r="L155" s="60"/>
      <c r="M155" s="2"/>
      <c r="N155" s="2"/>
      <c r="O155" s="61"/>
      <c r="P155" s="3"/>
      <c r="Q155" s="63"/>
      <c r="R155" s="36"/>
      <c r="S155" s="60"/>
      <c r="T155" s="64"/>
      <c r="U155" s="1"/>
      <c r="V155" s="1"/>
    </row>
    <row r="156" spans="1:22" ht="24.95" customHeight="1" x14ac:dyDescent="0.2">
      <c r="A156" s="1"/>
      <c r="B156" s="39">
        <f t="shared" si="1"/>
        <v>4</v>
      </c>
      <c r="C156" s="30">
        <v>16463</v>
      </c>
      <c r="D156" s="49" t="s">
        <v>648</v>
      </c>
      <c r="E156" s="209" t="s">
        <v>0</v>
      </c>
      <c r="F156" s="184"/>
      <c r="G156" s="60"/>
      <c r="H156" s="2"/>
      <c r="I156" s="2"/>
      <c r="J156" s="61"/>
      <c r="K156" s="62"/>
      <c r="L156" s="60"/>
      <c r="M156" s="2" t="s">
        <v>532</v>
      </c>
      <c r="N156" s="2"/>
      <c r="O156" s="61"/>
      <c r="P156" s="3"/>
      <c r="Q156" s="63"/>
      <c r="R156" s="36"/>
      <c r="S156" s="60"/>
      <c r="T156" s="64"/>
      <c r="U156" s="1"/>
      <c r="V156" s="1"/>
    </row>
    <row r="157" spans="1:22" ht="24.95" customHeight="1" x14ac:dyDescent="0.2">
      <c r="A157" s="1"/>
      <c r="B157" s="39">
        <f t="shared" si="1"/>
        <v>5</v>
      </c>
      <c r="C157" s="30">
        <v>16464</v>
      </c>
      <c r="D157" s="49" t="s">
        <v>649</v>
      </c>
      <c r="E157" s="209" t="s">
        <v>0</v>
      </c>
      <c r="F157" s="184"/>
      <c r="G157" s="60"/>
      <c r="H157" s="2"/>
      <c r="I157" s="2"/>
      <c r="J157" s="61"/>
      <c r="K157" s="62"/>
      <c r="L157" s="60"/>
      <c r="M157" s="2"/>
      <c r="N157" s="2"/>
      <c r="O157" s="61"/>
      <c r="P157" s="3"/>
      <c r="Q157" s="63"/>
      <c r="R157" s="36"/>
      <c r="S157" s="60"/>
      <c r="T157" s="64"/>
      <c r="U157" s="1"/>
      <c r="V157" s="1"/>
    </row>
    <row r="158" spans="1:22" ht="24.95" customHeight="1" x14ac:dyDescent="0.2">
      <c r="A158" s="1"/>
      <c r="B158" s="39">
        <f t="shared" si="1"/>
        <v>6</v>
      </c>
      <c r="C158" s="30">
        <v>16465</v>
      </c>
      <c r="D158" s="49" t="s">
        <v>650</v>
      </c>
      <c r="E158" s="209" t="s">
        <v>0</v>
      </c>
      <c r="F158" s="184"/>
      <c r="G158" s="60"/>
      <c r="H158" s="2"/>
      <c r="I158" s="2"/>
      <c r="J158" s="61"/>
      <c r="K158" s="62"/>
      <c r="L158" s="60"/>
      <c r="M158" s="2"/>
      <c r="N158" s="2"/>
      <c r="O158" s="61"/>
      <c r="P158" s="3"/>
      <c r="Q158" s="63"/>
      <c r="R158" s="36"/>
      <c r="S158" s="60"/>
      <c r="T158" s="64"/>
      <c r="U158" s="1"/>
      <c r="V158" s="1"/>
    </row>
    <row r="159" spans="1:22" ht="24.95" customHeight="1" x14ac:dyDescent="0.2">
      <c r="A159" s="1"/>
      <c r="B159" s="39">
        <f t="shared" si="1"/>
        <v>7</v>
      </c>
      <c r="C159" s="30">
        <v>16466</v>
      </c>
      <c r="D159" s="49" t="s">
        <v>651</v>
      </c>
      <c r="E159" s="209" t="s">
        <v>0</v>
      </c>
      <c r="F159" s="184"/>
      <c r="G159" s="60"/>
      <c r="H159" s="2"/>
      <c r="I159" s="2"/>
      <c r="J159" s="61"/>
      <c r="K159" s="62"/>
      <c r="L159" s="60"/>
      <c r="M159" s="2"/>
      <c r="N159" s="2"/>
      <c r="O159" s="61"/>
      <c r="P159" s="3"/>
      <c r="Q159" s="63"/>
      <c r="R159" s="36"/>
      <c r="S159" s="60"/>
      <c r="T159" s="64"/>
      <c r="U159" s="1"/>
      <c r="V159" s="1"/>
    </row>
    <row r="160" spans="1:22" ht="24.95" customHeight="1" x14ac:dyDescent="0.2">
      <c r="A160" s="1"/>
      <c r="B160" s="39">
        <f t="shared" si="1"/>
        <v>8</v>
      </c>
      <c r="C160" s="30">
        <v>16467</v>
      </c>
      <c r="D160" s="49" t="s">
        <v>652</v>
      </c>
      <c r="E160" s="209" t="s">
        <v>0</v>
      </c>
      <c r="F160" s="184"/>
      <c r="G160" s="60"/>
      <c r="H160" s="2"/>
      <c r="I160" s="2"/>
      <c r="J160" s="61"/>
      <c r="K160" s="62"/>
      <c r="L160" s="60"/>
      <c r="M160" s="2"/>
      <c r="N160" s="2"/>
      <c r="O160" s="61"/>
      <c r="P160" s="3"/>
      <c r="Q160" s="63"/>
      <c r="R160" s="36"/>
      <c r="S160" s="60"/>
      <c r="T160" s="64"/>
      <c r="U160" s="1"/>
      <c r="V160" s="1"/>
    </row>
    <row r="161" spans="1:22" ht="24.95" customHeight="1" x14ac:dyDescent="0.2">
      <c r="A161" s="1"/>
      <c r="B161" s="39">
        <f t="shared" si="1"/>
        <v>9</v>
      </c>
      <c r="C161" s="30">
        <v>16468</v>
      </c>
      <c r="D161" s="49" t="s">
        <v>653</v>
      </c>
      <c r="E161" s="209" t="s">
        <v>0</v>
      </c>
      <c r="F161" s="184"/>
      <c r="G161" s="60"/>
      <c r="H161" s="2"/>
      <c r="I161" s="2"/>
      <c r="J161" s="61"/>
      <c r="K161" s="62"/>
      <c r="L161" s="60"/>
      <c r="M161" s="2"/>
      <c r="N161" s="2"/>
      <c r="O161" s="61"/>
      <c r="P161" s="3"/>
      <c r="Q161" s="63"/>
      <c r="R161" s="36"/>
      <c r="S161" s="60"/>
      <c r="T161" s="64"/>
      <c r="U161" s="1"/>
      <c r="V161" s="1"/>
    </row>
    <row r="162" spans="1:22" ht="24.95" customHeight="1" x14ac:dyDescent="0.2">
      <c r="A162" s="1"/>
      <c r="B162" s="39">
        <f t="shared" si="1"/>
        <v>10</v>
      </c>
      <c r="C162" s="30">
        <v>16469</v>
      </c>
      <c r="D162" s="49" t="s">
        <v>654</v>
      </c>
      <c r="E162" s="209" t="s">
        <v>0</v>
      </c>
      <c r="F162" s="184"/>
      <c r="G162" s="60"/>
      <c r="H162" s="2"/>
      <c r="I162" s="2"/>
      <c r="J162" s="61"/>
      <c r="K162" s="62"/>
      <c r="L162" s="60"/>
      <c r="M162" s="2"/>
      <c r="N162" s="2"/>
      <c r="O162" s="61"/>
      <c r="P162" s="3"/>
      <c r="Q162" s="63"/>
      <c r="R162" s="36"/>
      <c r="S162" s="60"/>
      <c r="T162" s="64"/>
      <c r="U162" s="1"/>
      <c r="V162" s="1"/>
    </row>
    <row r="163" spans="1:22" ht="24.95" customHeight="1" x14ac:dyDescent="0.2">
      <c r="A163" s="1"/>
      <c r="B163" s="39">
        <f t="shared" si="1"/>
        <v>11</v>
      </c>
      <c r="C163" s="30">
        <v>16470</v>
      </c>
      <c r="D163" s="49" t="s">
        <v>655</v>
      </c>
      <c r="E163" s="209" t="s">
        <v>0</v>
      </c>
      <c r="F163" s="184"/>
      <c r="G163" s="60"/>
      <c r="H163" s="2"/>
      <c r="I163" s="2"/>
      <c r="J163" s="61"/>
      <c r="K163" s="62"/>
      <c r="L163" s="60"/>
      <c r="M163" s="2"/>
      <c r="N163" s="2"/>
      <c r="O163" s="61"/>
      <c r="P163" s="3"/>
      <c r="Q163" s="63"/>
      <c r="R163" s="36"/>
      <c r="S163" s="60"/>
      <c r="T163" s="64"/>
      <c r="U163" s="1"/>
      <c r="V163" s="1"/>
    </row>
    <row r="164" spans="1:22" ht="24.95" customHeight="1" x14ac:dyDescent="0.2">
      <c r="A164" s="1"/>
      <c r="B164" s="39">
        <f t="shared" si="1"/>
        <v>12</v>
      </c>
      <c r="C164" s="30">
        <v>16471</v>
      </c>
      <c r="D164" s="49" t="s">
        <v>656</v>
      </c>
      <c r="E164" s="209" t="s">
        <v>0</v>
      </c>
      <c r="F164" s="184"/>
      <c r="G164" s="60"/>
      <c r="H164" s="2"/>
      <c r="I164" s="2"/>
      <c r="J164" s="61"/>
      <c r="K164" s="62"/>
      <c r="L164" s="60"/>
      <c r="M164" s="2"/>
      <c r="N164" s="2"/>
      <c r="O164" s="61"/>
      <c r="P164" s="3"/>
      <c r="Q164" s="63"/>
      <c r="R164" s="93"/>
      <c r="S164" s="55"/>
      <c r="T164" s="64"/>
      <c r="U164" s="1"/>
      <c r="V164" s="1"/>
    </row>
    <row r="165" spans="1:22" ht="24.95" customHeight="1" x14ac:dyDescent="0.2">
      <c r="A165" s="1"/>
      <c r="B165" s="39">
        <f t="shared" si="1"/>
        <v>13</v>
      </c>
      <c r="C165" s="30">
        <v>16472</v>
      </c>
      <c r="D165" s="49" t="s">
        <v>657</v>
      </c>
      <c r="E165" s="209" t="s">
        <v>0</v>
      </c>
      <c r="F165" s="184"/>
      <c r="G165" s="60"/>
      <c r="H165" s="2"/>
      <c r="I165" s="2"/>
      <c r="J165" s="61"/>
      <c r="K165" s="62"/>
      <c r="L165" s="60"/>
      <c r="M165" s="2"/>
      <c r="N165" s="2"/>
      <c r="O165" s="61"/>
      <c r="P165" s="3"/>
      <c r="Q165" s="63"/>
      <c r="R165" s="36"/>
      <c r="S165" s="60"/>
      <c r="T165" s="64"/>
      <c r="U165" s="1"/>
      <c r="V165" s="1"/>
    </row>
    <row r="166" spans="1:22" ht="24.95" customHeight="1" x14ac:dyDescent="0.2">
      <c r="A166" s="1"/>
      <c r="B166" s="39">
        <f t="shared" si="1"/>
        <v>14</v>
      </c>
      <c r="C166" s="30">
        <v>16473</v>
      </c>
      <c r="D166" s="49" t="s">
        <v>658</v>
      </c>
      <c r="E166" s="209" t="s">
        <v>0</v>
      </c>
      <c r="F166" s="184"/>
      <c r="G166" s="60"/>
      <c r="H166" s="2"/>
      <c r="I166" s="2"/>
      <c r="J166" s="61"/>
      <c r="K166" s="62"/>
      <c r="L166" s="60"/>
      <c r="M166" s="2"/>
      <c r="N166" s="2"/>
      <c r="O166" s="61"/>
      <c r="P166" s="3"/>
      <c r="Q166" s="63"/>
      <c r="R166" s="36"/>
      <c r="S166" s="60"/>
      <c r="T166" s="64"/>
      <c r="U166" s="1"/>
      <c r="V166" s="1"/>
    </row>
    <row r="167" spans="1:22" ht="24.95" customHeight="1" x14ac:dyDescent="0.2">
      <c r="A167" s="1"/>
      <c r="B167" s="39">
        <f t="shared" si="1"/>
        <v>15</v>
      </c>
      <c r="C167" s="30">
        <v>16474</v>
      </c>
      <c r="D167" s="49" t="s">
        <v>659</v>
      </c>
      <c r="E167" s="209" t="s">
        <v>0</v>
      </c>
      <c r="F167" s="184"/>
      <c r="G167" s="60"/>
      <c r="H167" s="2"/>
      <c r="I167" s="2"/>
      <c r="J167" s="61"/>
      <c r="K167" s="62"/>
      <c r="L167" s="60"/>
      <c r="M167" s="2"/>
      <c r="N167" s="2"/>
      <c r="O167" s="61"/>
      <c r="P167" s="3"/>
      <c r="Q167" s="63"/>
      <c r="R167" s="36"/>
      <c r="S167" s="60"/>
      <c r="T167" s="64"/>
      <c r="U167" s="1"/>
      <c r="V167" s="1"/>
    </row>
    <row r="168" spans="1:22" ht="24.95" customHeight="1" x14ac:dyDescent="0.2">
      <c r="A168" s="1"/>
      <c r="B168" s="39">
        <f t="shared" si="1"/>
        <v>16</v>
      </c>
      <c r="C168" s="30">
        <v>16475</v>
      </c>
      <c r="D168" s="49" t="s">
        <v>660</v>
      </c>
      <c r="E168" s="209" t="s">
        <v>0</v>
      </c>
      <c r="F168" s="184"/>
      <c r="G168" s="60"/>
      <c r="H168" s="2"/>
      <c r="I168" s="2"/>
      <c r="J168" s="61"/>
      <c r="K168" s="62"/>
      <c r="L168" s="60"/>
      <c r="M168" s="2"/>
      <c r="N168" s="2"/>
      <c r="O168" s="61"/>
      <c r="P168" s="3"/>
      <c r="Q168" s="63"/>
      <c r="R168" s="36"/>
      <c r="S168" s="60"/>
      <c r="T168" s="64"/>
      <c r="U168" s="1"/>
      <c r="V168" s="1"/>
    </row>
    <row r="169" spans="1:22" ht="24.95" customHeight="1" x14ac:dyDescent="0.2">
      <c r="A169" s="1"/>
      <c r="B169" s="39">
        <f t="shared" si="1"/>
        <v>17</v>
      </c>
      <c r="C169" s="30">
        <v>16476</v>
      </c>
      <c r="D169" s="49" t="s">
        <v>661</v>
      </c>
      <c r="E169" s="209" t="s">
        <v>0</v>
      </c>
      <c r="F169" s="184"/>
      <c r="G169" s="60"/>
      <c r="H169" s="2"/>
      <c r="I169" s="2"/>
      <c r="J169" s="61"/>
      <c r="K169" s="62"/>
      <c r="L169" s="60"/>
      <c r="M169" s="2"/>
      <c r="N169" s="2"/>
      <c r="O169" s="61"/>
      <c r="P169" s="3"/>
      <c r="Q169" s="63"/>
      <c r="R169" s="36"/>
      <c r="S169" s="60"/>
      <c r="T169" s="64"/>
      <c r="U169" s="1"/>
      <c r="V169" s="1"/>
    </row>
    <row r="170" spans="1:22" ht="24.95" customHeight="1" x14ac:dyDescent="0.2">
      <c r="A170" s="1"/>
      <c r="B170" s="39">
        <f t="shared" si="1"/>
        <v>18</v>
      </c>
      <c r="C170" s="30">
        <v>16477</v>
      </c>
      <c r="D170" s="49" t="s">
        <v>662</v>
      </c>
      <c r="E170" s="209" t="s">
        <v>0</v>
      </c>
      <c r="F170" s="184"/>
      <c r="G170" s="60"/>
      <c r="H170" s="2"/>
      <c r="I170" s="2"/>
      <c r="J170" s="61"/>
      <c r="K170" s="62"/>
      <c r="L170" s="60"/>
      <c r="M170" s="2"/>
      <c r="N170" s="2"/>
      <c r="O170" s="61"/>
      <c r="P170" s="3"/>
      <c r="Q170" s="63"/>
      <c r="R170" s="36"/>
      <c r="S170" s="60"/>
      <c r="T170" s="64"/>
      <c r="U170" s="1"/>
      <c r="V170" s="1"/>
    </row>
    <row r="171" spans="1:22" ht="24.95" customHeight="1" x14ac:dyDescent="0.2">
      <c r="A171" s="1"/>
      <c r="B171" s="39">
        <f t="shared" si="1"/>
        <v>19</v>
      </c>
      <c r="C171" s="30">
        <v>16478</v>
      </c>
      <c r="D171" s="49" t="s">
        <v>663</v>
      </c>
      <c r="E171" s="209" t="s">
        <v>0</v>
      </c>
      <c r="F171" s="184"/>
      <c r="G171" s="65"/>
      <c r="H171" s="2"/>
      <c r="I171" s="2"/>
      <c r="J171" s="61"/>
      <c r="K171" s="62"/>
      <c r="L171" s="65"/>
      <c r="M171" s="2"/>
      <c r="N171" s="2"/>
      <c r="O171" s="61"/>
      <c r="P171" s="3"/>
      <c r="Q171" s="63"/>
      <c r="R171" s="93"/>
      <c r="S171" s="55"/>
      <c r="T171" s="64"/>
      <c r="U171" s="1"/>
      <c r="V171" s="1"/>
    </row>
    <row r="172" spans="1:22" ht="24.95" customHeight="1" x14ac:dyDescent="0.2">
      <c r="A172" s="1"/>
      <c r="B172" s="39">
        <f t="shared" si="1"/>
        <v>20</v>
      </c>
      <c r="C172" s="30">
        <v>16479</v>
      </c>
      <c r="D172" s="49" t="s">
        <v>664</v>
      </c>
      <c r="E172" s="209" t="s">
        <v>0</v>
      </c>
      <c r="F172" s="184"/>
      <c r="G172" s="65"/>
      <c r="H172" s="2"/>
      <c r="I172" s="2"/>
      <c r="J172" s="61"/>
      <c r="K172" s="62"/>
      <c r="L172" s="65"/>
      <c r="M172" s="2"/>
      <c r="N172" s="2"/>
      <c r="O172" s="61"/>
      <c r="P172" s="3"/>
      <c r="Q172" s="63"/>
      <c r="R172" s="93"/>
      <c r="S172" s="55"/>
      <c r="T172" s="64"/>
      <c r="U172" s="1"/>
      <c r="V172" s="1"/>
    </row>
    <row r="173" spans="1:22" ht="24.95" customHeight="1" x14ac:dyDescent="0.2">
      <c r="A173" s="1"/>
      <c r="B173" s="39">
        <f t="shared" si="1"/>
        <v>21</v>
      </c>
      <c r="C173" s="30">
        <v>16480</v>
      </c>
      <c r="D173" s="49" t="s">
        <v>665</v>
      </c>
      <c r="E173" s="209" t="s">
        <v>0</v>
      </c>
      <c r="F173" s="184"/>
      <c r="G173" s="65"/>
      <c r="H173" s="2"/>
      <c r="I173" s="2"/>
      <c r="J173" s="61"/>
      <c r="K173" s="62"/>
      <c r="L173" s="65"/>
      <c r="M173" s="2"/>
      <c r="N173" s="2"/>
      <c r="O173" s="61"/>
      <c r="P173" s="3"/>
      <c r="Q173" s="63"/>
      <c r="R173" s="36"/>
      <c r="S173" s="60"/>
      <c r="T173" s="64"/>
      <c r="U173" s="1"/>
      <c r="V173" s="1"/>
    </row>
    <row r="174" spans="1:22" ht="24.95" customHeight="1" x14ac:dyDescent="0.2">
      <c r="A174" s="1"/>
      <c r="B174" s="39">
        <f t="shared" si="1"/>
        <v>22</v>
      </c>
      <c r="C174" s="30">
        <v>16481</v>
      </c>
      <c r="D174" s="49" t="s">
        <v>666</v>
      </c>
      <c r="E174" s="209" t="s">
        <v>0</v>
      </c>
      <c r="F174" s="184"/>
      <c r="G174" s="60"/>
      <c r="H174" s="2"/>
      <c r="I174" s="2"/>
      <c r="J174" s="61"/>
      <c r="K174" s="62"/>
      <c r="L174" s="60"/>
      <c r="M174" s="2"/>
      <c r="N174" s="2"/>
      <c r="O174" s="61"/>
      <c r="P174" s="3"/>
      <c r="Q174" s="63"/>
      <c r="R174" s="36"/>
      <c r="S174" s="60"/>
      <c r="T174" s="64"/>
      <c r="U174" s="1"/>
      <c r="V174" s="1"/>
    </row>
    <row r="175" spans="1:22" ht="24.95" customHeight="1" x14ac:dyDescent="0.2">
      <c r="A175" s="1"/>
      <c r="B175" s="39">
        <f t="shared" si="1"/>
        <v>23</v>
      </c>
      <c r="C175" s="30">
        <v>16482</v>
      </c>
      <c r="D175" s="49" t="s">
        <v>667</v>
      </c>
      <c r="E175" s="209" t="s">
        <v>0</v>
      </c>
      <c r="F175" s="184"/>
      <c r="G175" s="65"/>
      <c r="H175" s="2"/>
      <c r="I175" s="2"/>
      <c r="J175" s="61"/>
      <c r="K175" s="62"/>
      <c r="L175" s="65"/>
      <c r="M175" s="2"/>
      <c r="N175" s="2"/>
      <c r="O175" s="61"/>
      <c r="P175" s="3"/>
      <c r="Q175" s="63"/>
      <c r="R175" s="36"/>
      <c r="S175" s="60"/>
      <c r="T175" s="64"/>
      <c r="U175" s="1"/>
      <c r="V175" s="1"/>
    </row>
    <row r="176" spans="1:22" ht="24.95" customHeight="1" x14ac:dyDescent="0.2">
      <c r="A176" s="1"/>
      <c r="B176" s="39">
        <f t="shared" si="1"/>
        <v>24</v>
      </c>
      <c r="C176" s="30">
        <v>16483</v>
      </c>
      <c r="D176" s="49" t="s">
        <v>668</v>
      </c>
      <c r="E176" s="209" t="s">
        <v>0</v>
      </c>
      <c r="F176" s="184"/>
      <c r="G176" s="66"/>
      <c r="H176" s="67"/>
      <c r="I176" s="67"/>
      <c r="J176" s="68"/>
      <c r="K176" s="62"/>
      <c r="L176" s="66"/>
      <c r="M176" s="67"/>
      <c r="N176" s="67"/>
      <c r="O176" s="68"/>
      <c r="P176" s="40"/>
      <c r="Q176" s="69"/>
      <c r="R176" s="178"/>
      <c r="S176" s="90"/>
      <c r="T176" s="70"/>
      <c r="U176" s="1"/>
      <c r="V176" s="1"/>
    </row>
    <row r="177" spans="1:22" ht="24.95" customHeight="1" x14ac:dyDescent="0.2">
      <c r="A177" s="1"/>
      <c r="B177" s="39">
        <f t="shared" si="1"/>
        <v>25</v>
      </c>
      <c r="C177" s="30">
        <v>16484</v>
      </c>
      <c r="D177" s="49" t="s">
        <v>619</v>
      </c>
      <c r="E177" s="209" t="s">
        <v>0</v>
      </c>
      <c r="F177" s="184"/>
      <c r="G177" s="66"/>
      <c r="H177" s="67"/>
      <c r="I177" s="67"/>
      <c r="J177" s="68"/>
      <c r="K177" s="62"/>
      <c r="L177" s="66"/>
      <c r="M177" s="67"/>
      <c r="N177" s="67"/>
      <c r="O177" s="68"/>
      <c r="P177" s="40"/>
      <c r="Q177" s="69"/>
      <c r="R177" s="178"/>
      <c r="S177" s="90"/>
      <c r="T177" s="70"/>
      <c r="U177" s="1"/>
      <c r="V177" s="1"/>
    </row>
    <row r="178" spans="1:22" ht="24.95" customHeight="1" x14ac:dyDescent="0.2">
      <c r="A178" s="1"/>
      <c r="B178" s="39">
        <f t="shared" si="1"/>
        <v>26</v>
      </c>
      <c r="C178" s="30">
        <v>16485</v>
      </c>
      <c r="D178" s="49" t="s">
        <v>669</v>
      </c>
      <c r="E178" s="209" t="s">
        <v>0</v>
      </c>
      <c r="F178" s="184"/>
      <c r="G178" s="66"/>
      <c r="H178" s="67"/>
      <c r="I178" s="67"/>
      <c r="J178" s="68"/>
      <c r="K178" s="62"/>
      <c r="L178" s="66"/>
      <c r="M178" s="67"/>
      <c r="N178" s="67"/>
      <c r="O178" s="68"/>
      <c r="P178" s="40"/>
      <c r="Q178" s="69"/>
      <c r="R178" s="178"/>
      <c r="S178" s="90"/>
      <c r="T178" s="70"/>
      <c r="U178" s="1"/>
      <c r="V178" s="1"/>
    </row>
    <row r="179" spans="1:22" ht="24.95" customHeight="1" x14ac:dyDescent="0.2">
      <c r="A179" s="1"/>
      <c r="B179" s="39">
        <f t="shared" si="1"/>
        <v>27</v>
      </c>
      <c r="C179" s="30">
        <v>16486</v>
      </c>
      <c r="D179" s="49" t="s">
        <v>670</v>
      </c>
      <c r="E179" s="209" t="s">
        <v>0</v>
      </c>
      <c r="F179" s="184"/>
      <c r="G179" s="66"/>
      <c r="H179" s="67"/>
      <c r="I179" s="67"/>
      <c r="J179" s="68"/>
      <c r="K179" s="62"/>
      <c r="L179" s="66"/>
      <c r="M179" s="67"/>
      <c r="N179" s="67"/>
      <c r="O179" s="68"/>
      <c r="P179" s="40"/>
      <c r="Q179" s="69"/>
      <c r="R179" s="178"/>
      <c r="S179" s="90"/>
      <c r="T179" s="70"/>
      <c r="U179" s="1"/>
      <c r="V179" s="1"/>
    </row>
    <row r="180" spans="1:22" ht="24.95" customHeight="1" x14ac:dyDescent="0.2">
      <c r="A180" s="1"/>
      <c r="B180" s="39">
        <f t="shared" si="1"/>
        <v>28</v>
      </c>
      <c r="C180" s="30"/>
      <c r="D180" s="49"/>
      <c r="E180" s="209" t="s">
        <v>0</v>
      </c>
      <c r="F180" s="184"/>
      <c r="G180" s="66"/>
      <c r="H180" s="67"/>
      <c r="I180" s="67"/>
      <c r="J180" s="68"/>
      <c r="K180" s="62"/>
      <c r="L180" s="66"/>
      <c r="M180" s="67"/>
      <c r="N180" s="67"/>
      <c r="O180" s="68"/>
      <c r="P180" s="40"/>
      <c r="Q180" s="69"/>
      <c r="R180" s="178"/>
      <c r="S180" s="90"/>
      <c r="T180" s="70"/>
      <c r="U180" s="1"/>
      <c r="V180" s="1"/>
    </row>
    <row r="181" spans="1:22" ht="24.95" customHeight="1" x14ac:dyDescent="0.2">
      <c r="A181" s="1"/>
      <c r="B181" s="39">
        <f t="shared" si="1"/>
        <v>29</v>
      </c>
      <c r="C181" s="30"/>
      <c r="D181" s="49"/>
      <c r="E181" s="209" t="s">
        <v>0</v>
      </c>
      <c r="F181" s="184"/>
      <c r="G181" s="66"/>
      <c r="H181" s="67"/>
      <c r="I181" s="67"/>
      <c r="J181" s="68"/>
      <c r="K181" s="62"/>
      <c r="L181" s="66"/>
      <c r="M181" s="67"/>
      <c r="N181" s="67"/>
      <c r="O181" s="68"/>
      <c r="P181" s="40"/>
      <c r="Q181" s="69"/>
      <c r="R181" s="178"/>
      <c r="S181" s="90"/>
      <c r="T181" s="70"/>
      <c r="U181" s="1"/>
      <c r="V181" s="1"/>
    </row>
    <row r="182" spans="1:22" ht="24.95" customHeight="1" x14ac:dyDescent="0.2">
      <c r="A182" s="1"/>
      <c r="B182" s="39">
        <f t="shared" si="1"/>
        <v>30</v>
      </c>
      <c r="C182" s="30"/>
      <c r="D182" s="49"/>
      <c r="E182" s="209" t="s">
        <v>0</v>
      </c>
      <c r="F182" s="184"/>
      <c r="G182" s="66"/>
      <c r="H182" s="67"/>
      <c r="I182" s="67"/>
      <c r="J182" s="68"/>
      <c r="K182" s="62"/>
      <c r="L182" s="66"/>
      <c r="M182" s="67"/>
      <c r="N182" s="67"/>
      <c r="O182" s="68"/>
      <c r="P182" s="40"/>
      <c r="Q182" s="69"/>
      <c r="R182" s="178"/>
      <c r="S182" s="90"/>
      <c r="T182" s="70"/>
      <c r="U182" s="1"/>
      <c r="V182" s="1"/>
    </row>
    <row r="183" spans="1:22" ht="24.95" customHeight="1" x14ac:dyDescent="0.2">
      <c r="A183" s="1"/>
      <c r="B183" s="39">
        <f t="shared" si="1"/>
        <v>31</v>
      </c>
      <c r="C183" s="30"/>
      <c r="D183" s="49"/>
      <c r="E183" s="209" t="s">
        <v>0</v>
      </c>
      <c r="F183" s="184"/>
      <c r="G183" s="66"/>
      <c r="H183" s="67"/>
      <c r="I183" s="67"/>
      <c r="J183" s="68"/>
      <c r="K183" s="62"/>
      <c r="L183" s="66"/>
      <c r="M183" s="67"/>
      <c r="N183" s="67"/>
      <c r="O183" s="68"/>
      <c r="P183" s="40"/>
      <c r="Q183" s="69"/>
      <c r="R183" s="178"/>
      <c r="S183" s="90"/>
      <c r="T183" s="70"/>
      <c r="U183" s="1"/>
      <c r="V183" s="1"/>
    </row>
    <row r="184" spans="1:22" ht="24.95" customHeight="1" x14ac:dyDescent="0.2">
      <c r="A184" s="1"/>
      <c r="B184" s="39">
        <f t="shared" si="1"/>
        <v>32</v>
      </c>
      <c r="C184" s="30"/>
      <c r="D184" s="49"/>
      <c r="E184" s="209" t="s">
        <v>0</v>
      </c>
      <c r="F184" s="184"/>
      <c r="G184" s="66"/>
      <c r="H184" s="67"/>
      <c r="I184" s="67"/>
      <c r="J184" s="68"/>
      <c r="K184" s="71"/>
      <c r="L184" s="66"/>
      <c r="M184" s="67"/>
      <c r="N184" s="67"/>
      <c r="O184" s="68"/>
      <c r="P184" s="40"/>
      <c r="Q184" s="69"/>
      <c r="R184" s="178"/>
      <c r="S184" s="90"/>
      <c r="T184" s="70"/>
      <c r="U184" s="1"/>
      <c r="V184" s="1"/>
    </row>
    <row r="185" spans="1:22" ht="24.95" customHeight="1" x14ac:dyDescent="0.2">
      <c r="A185" s="1"/>
      <c r="B185" s="39">
        <f t="shared" si="1"/>
        <v>33</v>
      </c>
      <c r="C185" s="30"/>
      <c r="D185" s="49"/>
      <c r="E185" s="209" t="s">
        <v>0</v>
      </c>
      <c r="F185" s="184"/>
      <c r="G185" s="66"/>
      <c r="H185" s="67"/>
      <c r="I185" s="67"/>
      <c r="J185" s="68"/>
      <c r="K185" s="71"/>
      <c r="L185" s="66"/>
      <c r="M185" s="67"/>
      <c r="N185" s="67"/>
      <c r="O185" s="68"/>
      <c r="P185" s="40"/>
      <c r="Q185" s="69"/>
      <c r="R185" s="178"/>
      <c r="S185" s="90"/>
      <c r="T185" s="70"/>
      <c r="U185" s="1"/>
      <c r="V185" s="1"/>
    </row>
    <row r="186" spans="1:22" ht="24.95" customHeight="1" x14ac:dyDescent="0.2">
      <c r="A186" s="1"/>
      <c r="B186" s="39">
        <f t="shared" si="1"/>
        <v>34</v>
      </c>
      <c r="C186" s="30"/>
      <c r="D186" s="49"/>
      <c r="E186" s="209" t="s">
        <v>0</v>
      </c>
      <c r="F186" s="184"/>
      <c r="G186" s="66"/>
      <c r="H186" s="67"/>
      <c r="I186" s="67"/>
      <c r="J186" s="68"/>
      <c r="K186" s="71"/>
      <c r="L186" s="66"/>
      <c r="M186" s="67"/>
      <c r="N186" s="67"/>
      <c r="O186" s="68"/>
      <c r="P186" s="40"/>
      <c r="Q186" s="69"/>
      <c r="R186" s="178"/>
      <c r="S186" s="90"/>
      <c r="T186" s="70"/>
      <c r="U186" s="1"/>
      <c r="V186" s="1"/>
    </row>
    <row r="187" spans="1:22" ht="24.95" customHeight="1" x14ac:dyDescent="0.2">
      <c r="A187" s="1"/>
      <c r="B187" s="39">
        <f t="shared" si="1"/>
        <v>35</v>
      </c>
      <c r="C187" s="30"/>
      <c r="D187" s="49"/>
      <c r="E187" s="209" t="s">
        <v>0</v>
      </c>
      <c r="F187" s="184"/>
      <c r="G187" s="66"/>
      <c r="H187" s="67"/>
      <c r="I187" s="67"/>
      <c r="J187" s="68"/>
      <c r="K187" s="71"/>
      <c r="L187" s="66" t="s">
        <v>15</v>
      </c>
      <c r="M187" s="67"/>
      <c r="N187" s="67"/>
      <c r="O187" s="68"/>
      <c r="P187" s="40"/>
      <c r="Q187" s="69"/>
      <c r="R187" s="178"/>
      <c r="S187" s="90"/>
      <c r="T187" s="70"/>
      <c r="U187" s="1"/>
      <c r="V187" s="1"/>
    </row>
    <row r="188" spans="1:22" ht="24.95" customHeight="1" x14ac:dyDescent="0.2">
      <c r="A188" s="1"/>
      <c r="B188" s="39">
        <f t="shared" si="1"/>
        <v>36</v>
      </c>
      <c r="C188" s="30"/>
      <c r="D188" s="49"/>
      <c r="E188" s="209" t="s">
        <v>0</v>
      </c>
      <c r="F188" s="184"/>
      <c r="G188" s="66"/>
      <c r="H188" s="67"/>
      <c r="I188" s="67"/>
      <c r="J188" s="68"/>
      <c r="K188" s="71"/>
      <c r="L188" s="66"/>
      <c r="M188" s="67"/>
      <c r="N188" s="67"/>
      <c r="O188" s="68"/>
      <c r="P188" s="40"/>
      <c r="Q188" s="69"/>
      <c r="R188" s="178"/>
      <c r="S188" s="90"/>
      <c r="T188" s="70"/>
      <c r="U188" s="1"/>
      <c r="V188" s="1"/>
    </row>
    <row r="189" spans="1:22" ht="24.95" customHeight="1" x14ac:dyDescent="0.2">
      <c r="A189" s="1"/>
      <c r="B189" s="39">
        <f t="shared" si="1"/>
        <v>37</v>
      </c>
      <c r="C189" s="30"/>
      <c r="D189" s="49"/>
      <c r="E189" s="209" t="s">
        <v>0</v>
      </c>
      <c r="F189" s="184"/>
      <c r="G189" s="66"/>
      <c r="H189" s="67"/>
      <c r="I189" s="67"/>
      <c r="J189" s="68"/>
      <c r="K189" s="71"/>
      <c r="L189" s="66"/>
      <c r="M189" s="67"/>
      <c r="N189" s="67"/>
      <c r="O189" s="68"/>
      <c r="P189" s="40"/>
      <c r="Q189" s="69"/>
      <c r="R189" s="178"/>
      <c r="S189" s="90"/>
      <c r="T189" s="70"/>
      <c r="U189" s="1"/>
      <c r="V189" s="1"/>
    </row>
    <row r="190" spans="1:22" ht="24.95" customHeight="1" x14ac:dyDescent="0.2">
      <c r="A190" s="1"/>
      <c r="B190" s="39">
        <f t="shared" si="1"/>
        <v>38</v>
      </c>
      <c r="C190" s="30"/>
      <c r="D190" s="49"/>
      <c r="E190" s="209" t="s">
        <v>0</v>
      </c>
      <c r="F190" s="184"/>
      <c r="G190" s="66"/>
      <c r="H190" s="67"/>
      <c r="I190" s="2"/>
      <c r="J190" s="61"/>
      <c r="K190" s="62"/>
      <c r="L190" s="65"/>
      <c r="M190" s="2"/>
      <c r="N190" s="2"/>
      <c r="O190" s="61"/>
      <c r="P190" s="3"/>
      <c r="Q190" s="63"/>
      <c r="R190" s="36"/>
      <c r="S190" s="60"/>
      <c r="T190" s="64"/>
      <c r="U190" s="1"/>
      <c r="V190" s="1"/>
    </row>
    <row r="191" spans="1:22" ht="24.95" customHeight="1" x14ac:dyDescent="0.2">
      <c r="A191" s="1"/>
      <c r="B191" s="39">
        <f t="shared" si="1"/>
        <v>39</v>
      </c>
      <c r="C191" s="30"/>
      <c r="D191" s="180"/>
      <c r="E191" s="209" t="s">
        <v>0</v>
      </c>
      <c r="F191" s="184"/>
      <c r="G191" s="66"/>
      <c r="H191" s="67"/>
      <c r="I191" s="2"/>
      <c r="J191" s="61"/>
      <c r="K191" s="62"/>
      <c r="L191" s="65"/>
      <c r="M191" s="2"/>
      <c r="N191" s="2"/>
      <c r="O191" s="61"/>
      <c r="P191" s="3"/>
      <c r="Q191" s="63"/>
      <c r="R191" s="36"/>
      <c r="S191" s="60"/>
      <c r="T191" s="64"/>
      <c r="U191" s="1"/>
      <c r="V191" s="1"/>
    </row>
    <row r="192" spans="1:22" ht="24.95" customHeight="1" thickBot="1" x14ac:dyDescent="0.25">
      <c r="A192" s="1"/>
      <c r="B192" s="53">
        <v>40</v>
      </c>
      <c r="C192" s="53"/>
      <c r="D192" s="213"/>
      <c r="E192" s="185" t="s">
        <v>0</v>
      </c>
      <c r="F192" s="185"/>
      <c r="G192" s="186"/>
      <c r="H192" s="187"/>
      <c r="I192" s="75"/>
      <c r="J192" s="76"/>
      <c r="K192" s="77"/>
      <c r="L192" s="74"/>
      <c r="M192" s="75"/>
      <c r="N192" s="75"/>
      <c r="O192" s="76"/>
      <c r="P192" s="75"/>
      <c r="Q192" s="78"/>
      <c r="R192" s="78"/>
      <c r="S192" s="78"/>
      <c r="T192" s="76"/>
      <c r="U192" s="1"/>
      <c r="V192" s="1"/>
    </row>
    <row r="193" spans="1:22" ht="18.95" customHeight="1" x14ac:dyDescent="0.2">
      <c r="A193" s="1"/>
      <c r="B193" s="37"/>
      <c r="C193" s="37"/>
      <c r="D193" s="1"/>
      <c r="E193" s="3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8.95" customHeight="1" thickBot="1" x14ac:dyDescent="0.25">
      <c r="V194" s="1"/>
    </row>
    <row r="195" spans="1:22" ht="18.95" customHeight="1" x14ac:dyDescent="0.2">
      <c r="A195" s="1"/>
      <c r="B195" s="255"/>
      <c r="C195" s="256"/>
      <c r="D195" s="259" t="s">
        <v>3</v>
      </c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1"/>
      <c r="U195" s="1"/>
      <c r="V195" s="1"/>
    </row>
    <row r="196" spans="1:22" ht="18.95" customHeight="1" x14ac:dyDescent="0.2">
      <c r="A196" s="1"/>
      <c r="B196" s="257"/>
      <c r="C196" s="258"/>
      <c r="D196" s="262" t="s">
        <v>4</v>
      </c>
      <c r="E196" s="263"/>
      <c r="F196" s="263"/>
      <c r="G196" s="263"/>
      <c r="H196" s="263"/>
      <c r="I196" s="263"/>
      <c r="J196" s="263"/>
      <c r="K196" s="263"/>
      <c r="L196" s="263"/>
      <c r="M196" s="263"/>
      <c r="N196" s="263"/>
      <c r="O196" s="263"/>
      <c r="P196" s="263"/>
      <c r="Q196" s="263"/>
      <c r="R196" s="263"/>
      <c r="S196" s="263"/>
      <c r="T196" s="264"/>
      <c r="U196" s="1"/>
      <c r="V196" s="1"/>
    </row>
    <row r="197" spans="1:22" ht="18.95" customHeight="1" thickBot="1" x14ac:dyDescent="0.25">
      <c r="A197" s="1"/>
      <c r="B197" s="257"/>
      <c r="C197" s="258"/>
      <c r="D197" s="265" t="s">
        <v>547</v>
      </c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7"/>
      <c r="U197" s="1"/>
      <c r="V197" s="1"/>
    </row>
    <row r="198" spans="1:22" ht="18.95" customHeight="1" thickBot="1" x14ac:dyDescent="0.25">
      <c r="A198" s="1"/>
      <c r="B198" s="270"/>
      <c r="C198" s="270"/>
      <c r="D198" s="54" t="s">
        <v>564</v>
      </c>
      <c r="E198" s="29"/>
      <c r="F198" s="54" t="s">
        <v>795</v>
      </c>
      <c r="G198" s="54"/>
      <c r="H198" s="54"/>
      <c r="I198" s="105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24"/>
      <c r="U198" s="1"/>
      <c r="V198" s="1"/>
    </row>
    <row r="199" spans="1:22" ht="18.95" customHeight="1" thickBot="1" x14ac:dyDescent="0.25">
      <c r="A199" s="1"/>
      <c r="B199" s="270" t="s">
        <v>6</v>
      </c>
      <c r="C199" s="270"/>
      <c r="D199" s="270" t="s">
        <v>7</v>
      </c>
      <c r="E199" s="273" t="s">
        <v>12</v>
      </c>
      <c r="F199" s="270"/>
      <c r="G199" s="270"/>
      <c r="H199" s="270"/>
      <c r="I199" s="270"/>
      <c r="J199" s="270"/>
      <c r="K199" s="270"/>
      <c r="L199" s="270"/>
      <c r="M199" s="270"/>
      <c r="N199" s="270"/>
      <c r="O199" s="270"/>
      <c r="P199" s="270"/>
      <c r="Q199" s="270"/>
      <c r="R199" s="270"/>
      <c r="S199" s="270"/>
      <c r="T199" s="270"/>
      <c r="U199" s="1"/>
      <c r="V199" s="1"/>
    </row>
    <row r="200" spans="1:22" ht="18.95" customHeight="1" thickBot="1" x14ac:dyDescent="0.25">
      <c r="A200" s="1"/>
      <c r="B200" s="29" t="s">
        <v>10</v>
      </c>
      <c r="C200" s="29" t="s">
        <v>9</v>
      </c>
      <c r="D200" s="270"/>
      <c r="E200" s="274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1"/>
      <c r="V200" s="1"/>
    </row>
    <row r="201" spans="1:22" ht="24.95" customHeight="1" x14ac:dyDescent="0.2">
      <c r="A201" s="1"/>
      <c r="B201" s="85">
        <v>1</v>
      </c>
      <c r="C201" s="32">
        <v>16487</v>
      </c>
      <c r="D201" s="165" t="s">
        <v>671</v>
      </c>
      <c r="E201" s="31" t="s">
        <v>1</v>
      </c>
      <c r="F201" s="57"/>
      <c r="G201" s="55"/>
      <c r="H201" s="5"/>
      <c r="I201" s="5"/>
      <c r="J201" s="56"/>
      <c r="K201" s="57"/>
      <c r="L201" s="55"/>
      <c r="M201" s="5"/>
      <c r="N201" s="5"/>
      <c r="O201" s="56"/>
      <c r="P201" s="4"/>
      <c r="Q201" s="58"/>
      <c r="R201" s="93"/>
      <c r="S201" s="55"/>
      <c r="T201" s="59"/>
      <c r="U201" s="1"/>
      <c r="V201" s="1"/>
    </row>
    <row r="202" spans="1:22" ht="24.95" customHeight="1" x14ac:dyDescent="0.2">
      <c r="A202" s="1"/>
      <c r="B202" s="39">
        <f t="shared" ref="B202:B239" si="2">B201+1</f>
        <v>2</v>
      </c>
      <c r="C202" s="30">
        <v>16488</v>
      </c>
      <c r="D202" s="44" t="s">
        <v>672</v>
      </c>
      <c r="E202" s="30" t="s">
        <v>1</v>
      </c>
      <c r="F202" s="62"/>
      <c r="G202" s="60"/>
      <c r="H202" s="2"/>
      <c r="I202" s="2"/>
      <c r="J202" s="61"/>
      <c r="K202" s="62"/>
      <c r="L202" s="60"/>
      <c r="M202" s="2"/>
      <c r="N202" s="2"/>
      <c r="O202" s="61"/>
      <c r="P202" s="3"/>
      <c r="Q202" s="63"/>
      <c r="R202" s="36"/>
      <c r="S202" s="60"/>
      <c r="T202" s="64"/>
      <c r="U202" s="1"/>
      <c r="V202" s="1"/>
    </row>
    <row r="203" spans="1:22" ht="24.95" customHeight="1" x14ac:dyDescent="0.2">
      <c r="A203" s="1"/>
      <c r="B203" s="39">
        <f t="shared" si="2"/>
        <v>3</v>
      </c>
      <c r="C203" s="30">
        <v>16489</v>
      </c>
      <c r="D203" s="44" t="s">
        <v>673</v>
      </c>
      <c r="E203" s="30" t="s">
        <v>1</v>
      </c>
      <c r="F203" s="62"/>
      <c r="G203" s="60"/>
      <c r="H203" s="2"/>
      <c r="I203" s="2"/>
      <c r="J203" s="61"/>
      <c r="K203" s="62"/>
      <c r="L203" s="60"/>
      <c r="M203" s="2"/>
      <c r="N203" s="2"/>
      <c r="O203" s="61"/>
      <c r="P203" s="3"/>
      <c r="Q203" s="63"/>
      <c r="R203" s="36"/>
      <c r="S203" s="60"/>
      <c r="T203" s="64"/>
      <c r="U203" s="1"/>
      <c r="V203" s="1"/>
    </row>
    <row r="204" spans="1:22" ht="24.95" customHeight="1" x14ac:dyDescent="0.2">
      <c r="A204" s="1"/>
      <c r="B204" s="39">
        <f t="shared" si="2"/>
        <v>4</v>
      </c>
      <c r="C204" s="224">
        <v>16490</v>
      </c>
      <c r="D204" s="225" t="s">
        <v>674</v>
      </c>
      <c r="E204" s="30" t="s">
        <v>1</v>
      </c>
      <c r="F204" s="235"/>
      <c r="G204" s="236"/>
      <c r="H204" s="237"/>
      <c r="I204" s="237"/>
      <c r="J204" s="238"/>
      <c r="K204" s="235"/>
      <c r="L204" s="236"/>
      <c r="M204" s="237"/>
      <c r="N204" s="237"/>
      <c r="O204" s="238"/>
      <c r="P204" s="239"/>
      <c r="Q204" s="240"/>
      <c r="R204" s="241"/>
      <c r="S204" s="236"/>
      <c r="T204" s="242"/>
      <c r="U204" s="1"/>
      <c r="V204" s="1"/>
    </row>
    <row r="205" spans="1:22" ht="24.95" customHeight="1" x14ac:dyDescent="0.2">
      <c r="A205" s="1"/>
      <c r="B205" s="39">
        <f t="shared" si="2"/>
        <v>5</v>
      </c>
      <c r="C205" s="30">
        <v>16491</v>
      </c>
      <c r="D205" s="44" t="s">
        <v>709</v>
      </c>
      <c r="E205" s="30" t="s">
        <v>1</v>
      </c>
      <c r="F205" s="62"/>
      <c r="G205" s="60"/>
      <c r="H205" s="2"/>
      <c r="I205" s="2"/>
      <c r="J205" s="61"/>
      <c r="K205" s="62"/>
      <c r="L205" s="60"/>
      <c r="M205" s="2"/>
      <c r="N205" s="2"/>
      <c r="O205" s="61"/>
      <c r="P205" s="3"/>
      <c r="Q205" s="63"/>
      <c r="R205" s="36"/>
      <c r="S205" s="60"/>
      <c r="T205" s="64"/>
      <c r="U205" s="1"/>
      <c r="V205" s="1"/>
    </row>
    <row r="206" spans="1:22" ht="24.95" customHeight="1" x14ac:dyDescent="0.2">
      <c r="A206" s="1"/>
      <c r="B206" s="39">
        <f t="shared" si="2"/>
        <v>6</v>
      </c>
      <c r="C206" s="30">
        <v>16492</v>
      </c>
      <c r="D206" s="44" t="s">
        <v>675</v>
      </c>
      <c r="E206" s="30" t="s">
        <v>1</v>
      </c>
      <c r="F206" s="62"/>
      <c r="G206" s="60"/>
      <c r="H206" s="2"/>
      <c r="I206" s="2"/>
      <c r="J206" s="61"/>
      <c r="K206" s="62"/>
      <c r="L206" s="60"/>
      <c r="M206" s="2"/>
      <c r="N206" s="2"/>
      <c r="O206" s="61"/>
      <c r="P206" s="3"/>
      <c r="Q206" s="63"/>
      <c r="R206" s="36"/>
      <c r="S206" s="60"/>
      <c r="T206" s="64"/>
      <c r="U206" s="1"/>
      <c r="V206" s="1"/>
    </row>
    <row r="207" spans="1:22" ht="24.95" customHeight="1" x14ac:dyDescent="0.2">
      <c r="A207" s="1"/>
      <c r="B207" s="39">
        <f t="shared" si="2"/>
        <v>7</v>
      </c>
      <c r="C207" s="30">
        <v>16493</v>
      </c>
      <c r="D207" s="44" t="s">
        <v>676</v>
      </c>
      <c r="E207" s="30" t="s">
        <v>1</v>
      </c>
      <c r="F207" s="62"/>
      <c r="G207" s="60"/>
      <c r="H207" s="2"/>
      <c r="I207" s="2"/>
      <c r="J207" s="61"/>
      <c r="K207" s="62"/>
      <c r="L207" s="60"/>
      <c r="M207" s="2"/>
      <c r="N207" s="2"/>
      <c r="O207" s="61"/>
      <c r="P207" s="3"/>
      <c r="Q207" s="63"/>
      <c r="R207" s="36"/>
      <c r="S207" s="60"/>
      <c r="T207" s="64"/>
      <c r="U207" s="1"/>
      <c r="V207" s="1"/>
    </row>
    <row r="208" spans="1:22" ht="24.95" customHeight="1" x14ac:dyDescent="0.2">
      <c r="A208" s="1"/>
      <c r="B208" s="39">
        <f t="shared" si="2"/>
        <v>8</v>
      </c>
      <c r="C208" s="30">
        <v>16494</v>
      </c>
      <c r="D208" s="44" t="s">
        <v>677</v>
      </c>
      <c r="E208" s="30" t="s">
        <v>1</v>
      </c>
      <c r="F208" s="62"/>
      <c r="G208" s="60"/>
      <c r="H208" s="2"/>
      <c r="I208" s="2"/>
      <c r="J208" s="61"/>
      <c r="K208" s="62"/>
      <c r="L208" s="60"/>
      <c r="M208" s="2"/>
      <c r="N208" s="2"/>
      <c r="O208" s="61"/>
      <c r="P208" s="3"/>
      <c r="Q208" s="63"/>
      <c r="R208" s="36"/>
      <c r="S208" s="60"/>
      <c r="T208" s="64"/>
      <c r="U208" s="1"/>
      <c r="V208" s="1"/>
    </row>
    <row r="209" spans="1:31" ht="24.95" customHeight="1" x14ac:dyDescent="0.2">
      <c r="A209" s="1"/>
      <c r="B209" s="39">
        <f t="shared" si="2"/>
        <v>9</v>
      </c>
      <c r="C209" s="30">
        <v>16495</v>
      </c>
      <c r="D209" s="44" t="s">
        <v>678</v>
      </c>
      <c r="E209" s="30" t="s">
        <v>1</v>
      </c>
      <c r="F209" s="62"/>
      <c r="G209" s="60"/>
      <c r="H209" s="2"/>
      <c r="I209" s="2"/>
      <c r="J209" s="61"/>
      <c r="K209" s="62"/>
      <c r="L209" s="60"/>
      <c r="M209" s="2"/>
      <c r="N209" s="2"/>
      <c r="O209" s="61"/>
      <c r="P209" s="3"/>
      <c r="Q209" s="63"/>
      <c r="R209" s="36"/>
      <c r="S209" s="60"/>
      <c r="T209" s="64"/>
      <c r="U209" s="1"/>
      <c r="V209" s="1"/>
    </row>
    <row r="210" spans="1:31" ht="24.95" customHeight="1" x14ac:dyDescent="0.2">
      <c r="A210" s="1"/>
      <c r="B210" s="39">
        <f t="shared" si="2"/>
        <v>10</v>
      </c>
      <c r="C210" s="30">
        <v>16496</v>
      </c>
      <c r="D210" s="44" t="s">
        <v>679</v>
      </c>
      <c r="E210" s="30" t="s">
        <v>1</v>
      </c>
      <c r="F210" s="62"/>
      <c r="G210" s="60"/>
      <c r="H210" s="2"/>
      <c r="I210" s="2"/>
      <c r="J210" s="61"/>
      <c r="K210" s="62"/>
      <c r="L210" s="60"/>
      <c r="M210" s="2"/>
      <c r="N210" s="2"/>
      <c r="O210" s="61"/>
      <c r="P210" s="3"/>
      <c r="Q210" s="63"/>
      <c r="R210" s="36"/>
      <c r="S210" s="60"/>
      <c r="T210" s="64"/>
      <c r="U210" s="1"/>
      <c r="V210" s="1"/>
    </row>
    <row r="211" spans="1:31" ht="24.95" customHeight="1" x14ac:dyDescent="0.2">
      <c r="A211" s="1"/>
      <c r="B211" s="39">
        <f t="shared" si="2"/>
        <v>11</v>
      </c>
      <c r="C211" s="30">
        <v>16497</v>
      </c>
      <c r="D211" s="44" t="s">
        <v>680</v>
      </c>
      <c r="E211" s="30" t="s">
        <v>1</v>
      </c>
      <c r="F211" s="235"/>
      <c r="G211" s="236"/>
      <c r="H211" s="237"/>
      <c r="I211" s="237"/>
      <c r="J211" s="238"/>
      <c r="K211" s="235"/>
      <c r="L211" s="236"/>
      <c r="M211" s="237"/>
      <c r="N211" s="237"/>
      <c r="O211" s="238"/>
      <c r="P211" s="239"/>
      <c r="Q211" s="240"/>
      <c r="R211" s="241"/>
      <c r="S211" s="236"/>
      <c r="T211" s="242"/>
      <c r="U211" s="1"/>
      <c r="V211" s="1"/>
    </row>
    <row r="212" spans="1:31" ht="24.95" customHeight="1" x14ac:dyDescent="0.2">
      <c r="A212" s="1"/>
      <c r="B212" s="39">
        <f t="shared" si="2"/>
        <v>12</v>
      </c>
      <c r="C212" s="224">
        <v>16498</v>
      </c>
      <c r="D212" s="44" t="s">
        <v>681</v>
      </c>
      <c r="E212" s="30" t="s">
        <v>1</v>
      </c>
      <c r="F212" s="235"/>
      <c r="G212" s="236"/>
      <c r="H212" s="237"/>
      <c r="I212" s="237"/>
      <c r="J212" s="238"/>
      <c r="K212" s="235"/>
      <c r="L212" s="236"/>
      <c r="M212" s="237"/>
      <c r="N212" s="237"/>
      <c r="O212" s="238"/>
      <c r="P212" s="239"/>
      <c r="Q212" s="240"/>
      <c r="R212" s="244"/>
      <c r="S212" s="245"/>
      <c r="T212" s="242"/>
      <c r="U212" s="1"/>
      <c r="V212" s="1"/>
    </row>
    <row r="213" spans="1:31" ht="24.95" customHeight="1" x14ac:dyDescent="0.2">
      <c r="A213" s="1"/>
      <c r="B213" s="39">
        <f t="shared" si="2"/>
        <v>13</v>
      </c>
      <c r="C213" s="224">
        <v>16499</v>
      </c>
      <c r="D213" s="225" t="s">
        <v>682</v>
      </c>
      <c r="E213" s="30" t="s">
        <v>1</v>
      </c>
      <c r="F213" s="62"/>
      <c r="G213" s="60"/>
      <c r="H213" s="2"/>
      <c r="I213" s="2"/>
      <c r="J213" s="61"/>
      <c r="K213" s="62"/>
      <c r="L213" s="60"/>
      <c r="M213" s="2"/>
      <c r="N213" s="2"/>
      <c r="O213" s="61"/>
      <c r="P213" s="3"/>
      <c r="Q213" s="63"/>
      <c r="R213" s="36"/>
      <c r="S213" s="60"/>
      <c r="T213" s="64"/>
      <c r="U213" s="1"/>
      <c r="V213" s="1"/>
    </row>
    <row r="214" spans="1:31" ht="24.95" customHeight="1" x14ac:dyDescent="0.2">
      <c r="A214" s="1"/>
      <c r="B214" s="39">
        <f t="shared" si="2"/>
        <v>14</v>
      </c>
      <c r="C214" s="30">
        <v>16500</v>
      </c>
      <c r="D214" s="225" t="s">
        <v>683</v>
      </c>
      <c r="E214" s="30" t="s">
        <v>1</v>
      </c>
      <c r="F214" s="62"/>
      <c r="G214" s="60"/>
      <c r="H214" s="2"/>
      <c r="I214" s="2"/>
      <c r="J214" s="61"/>
      <c r="K214" s="62"/>
      <c r="L214" s="60"/>
      <c r="M214" s="2"/>
      <c r="N214" s="2"/>
      <c r="O214" s="61"/>
      <c r="P214" s="3"/>
      <c r="Q214" s="63"/>
      <c r="R214" s="36"/>
      <c r="S214" s="60"/>
      <c r="T214" s="64"/>
      <c r="U214" s="1"/>
      <c r="V214" s="1"/>
    </row>
    <row r="215" spans="1:31" ht="24.95" customHeight="1" x14ac:dyDescent="0.2">
      <c r="A215" s="1"/>
      <c r="B215" s="39">
        <f t="shared" si="2"/>
        <v>15</v>
      </c>
      <c r="C215" s="30">
        <v>16501</v>
      </c>
      <c r="D215" s="44" t="s">
        <v>699</v>
      </c>
      <c r="E215" s="30" t="s">
        <v>1</v>
      </c>
      <c r="F215" s="62"/>
      <c r="G215" s="60"/>
      <c r="H215" s="2"/>
      <c r="I215" s="2"/>
      <c r="J215" s="61"/>
      <c r="K215" s="62"/>
      <c r="L215" s="60"/>
      <c r="M215" s="2"/>
      <c r="N215" s="2"/>
      <c r="O215" s="61"/>
      <c r="P215" s="3"/>
      <c r="Q215" s="63"/>
      <c r="R215" s="36"/>
      <c r="S215" s="60"/>
      <c r="T215" s="64"/>
      <c r="U215" s="1"/>
      <c r="V215" s="1"/>
    </row>
    <row r="216" spans="1:31" ht="24.95" customHeight="1" x14ac:dyDescent="0.2">
      <c r="A216" s="1"/>
      <c r="B216" s="39">
        <f t="shared" si="2"/>
        <v>16</v>
      </c>
      <c r="C216" s="30">
        <v>16502</v>
      </c>
      <c r="D216" s="44" t="s">
        <v>684</v>
      </c>
      <c r="E216" s="30" t="s">
        <v>1</v>
      </c>
      <c r="F216" s="62"/>
      <c r="G216" s="60"/>
      <c r="H216" s="2"/>
      <c r="I216" s="2"/>
      <c r="J216" s="61"/>
      <c r="K216" s="62"/>
      <c r="L216" s="60"/>
      <c r="M216" s="2"/>
      <c r="N216" s="2"/>
      <c r="O216" s="61"/>
      <c r="P216" s="3"/>
      <c r="Q216" s="63"/>
      <c r="R216" s="36"/>
      <c r="S216" s="60"/>
      <c r="T216" s="64"/>
      <c r="U216" s="1"/>
      <c r="V216" s="1"/>
    </row>
    <row r="217" spans="1:31" ht="24.95" customHeight="1" x14ac:dyDescent="0.2">
      <c r="A217" s="1"/>
      <c r="B217" s="39">
        <f t="shared" si="2"/>
        <v>17</v>
      </c>
      <c r="C217" s="30">
        <v>16503</v>
      </c>
      <c r="D217" s="44" t="s">
        <v>685</v>
      </c>
      <c r="E217" s="30" t="s">
        <v>1</v>
      </c>
      <c r="F217" s="62"/>
      <c r="G217" s="60"/>
      <c r="H217" s="2"/>
      <c r="I217" s="2"/>
      <c r="J217" s="61"/>
      <c r="K217" s="62"/>
      <c r="L217" s="60"/>
      <c r="M217" s="2"/>
      <c r="N217" s="2"/>
      <c r="O217" s="61"/>
      <c r="P217" s="3"/>
      <c r="Q217" s="63"/>
      <c r="R217" s="36"/>
      <c r="S217" s="60"/>
      <c r="T217" s="64"/>
      <c r="U217" s="1"/>
      <c r="V217" s="1"/>
    </row>
    <row r="218" spans="1:31" ht="24.95" customHeight="1" x14ac:dyDescent="0.2">
      <c r="A218" s="1"/>
      <c r="B218" s="39">
        <f t="shared" si="2"/>
        <v>18</v>
      </c>
      <c r="C218" s="30">
        <v>16504</v>
      </c>
      <c r="D218" s="44" t="s">
        <v>686</v>
      </c>
      <c r="E218" s="30" t="s">
        <v>1</v>
      </c>
      <c r="F218" s="62"/>
      <c r="G218" s="60"/>
      <c r="H218" s="2"/>
      <c r="I218" s="2"/>
      <c r="J218" s="61"/>
      <c r="K218" s="62"/>
      <c r="L218" s="60"/>
      <c r="M218" s="2"/>
      <c r="N218" s="2"/>
      <c r="O218" s="61"/>
      <c r="P218" s="3"/>
      <c r="Q218" s="63"/>
      <c r="R218" s="36"/>
      <c r="S218" s="60"/>
      <c r="T218" s="64"/>
      <c r="U218" s="1"/>
      <c r="V218" s="1"/>
    </row>
    <row r="219" spans="1:31" ht="24.95" customHeight="1" x14ac:dyDescent="0.2">
      <c r="A219" s="1"/>
      <c r="B219" s="39">
        <f t="shared" si="2"/>
        <v>19</v>
      </c>
      <c r="C219" s="30">
        <v>16505</v>
      </c>
      <c r="D219" s="44" t="s">
        <v>687</v>
      </c>
      <c r="E219" s="30" t="s">
        <v>1</v>
      </c>
      <c r="F219" s="62"/>
      <c r="G219" s="65"/>
      <c r="H219" s="2"/>
      <c r="I219" s="2"/>
      <c r="J219" s="61"/>
      <c r="K219" s="62"/>
      <c r="L219" s="65"/>
      <c r="M219" s="2"/>
      <c r="N219" s="2"/>
      <c r="O219" s="61"/>
      <c r="P219" s="3"/>
      <c r="Q219" s="63"/>
      <c r="R219" s="93"/>
      <c r="S219" s="55"/>
      <c r="T219" s="64"/>
      <c r="U219" s="1"/>
      <c r="V219" s="1"/>
    </row>
    <row r="220" spans="1:31" ht="24.95" customHeight="1" x14ac:dyDescent="0.2">
      <c r="A220" s="1"/>
      <c r="B220" s="39">
        <f t="shared" si="2"/>
        <v>20</v>
      </c>
      <c r="C220" s="30">
        <v>16506</v>
      </c>
      <c r="D220" s="44" t="s">
        <v>688</v>
      </c>
      <c r="E220" s="30" t="s">
        <v>1</v>
      </c>
      <c r="F220" s="62"/>
      <c r="G220" s="65"/>
      <c r="H220" s="2"/>
      <c r="I220" s="2"/>
      <c r="J220" s="61"/>
      <c r="K220" s="62"/>
      <c r="L220" s="65"/>
      <c r="M220" s="2"/>
      <c r="N220" s="2"/>
      <c r="O220" s="61"/>
      <c r="P220" s="3"/>
      <c r="Q220" s="63"/>
      <c r="R220" s="93"/>
      <c r="S220" s="55"/>
      <c r="T220" s="64"/>
      <c r="U220" s="1"/>
      <c r="V220" s="1"/>
    </row>
    <row r="221" spans="1:31" ht="24.95" customHeight="1" x14ac:dyDescent="0.2">
      <c r="A221" s="1"/>
      <c r="B221" s="39">
        <f t="shared" si="2"/>
        <v>21</v>
      </c>
      <c r="C221" s="30">
        <v>16507</v>
      </c>
      <c r="D221" s="44" t="s">
        <v>689</v>
      </c>
      <c r="E221" s="30" t="s">
        <v>1</v>
      </c>
      <c r="F221" s="62"/>
      <c r="G221" s="65"/>
      <c r="H221" s="2"/>
      <c r="I221" s="2"/>
      <c r="J221" s="61"/>
      <c r="K221" s="62"/>
      <c r="L221" s="65"/>
      <c r="M221" s="2"/>
      <c r="N221" s="2"/>
      <c r="O221" s="61"/>
      <c r="P221" s="3"/>
      <c r="Q221" s="63"/>
      <c r="R221" s="36"/>
      <c r="S221" s="60"/>
      <c r="T221" s="64"/>
      <c r="U221" s="1"/>
      <c r="V221" s="1"/>
    </row>
    <row r="222" spans="1:31" ht="24.95" customHeight="1" x14ac:dyDescent="0.2">
      <c r="A222" s="1"/>
      <c r="B222" s="39">
        <f t="shared" si="2"/>
        <v>22</v>
      </c>
      <c r="C222" s="30">
        <v>16508</v>
      </c>
      <c r="D222" s="44" t="s">
        <v>690</v>
      </c>
      <c r="E222" s="30" t="s">
        <v>1</v>
      </c>
      <c r="F222" s="62"/>
      <c r="G222" s="65"/>
      <c r="H222" s="2"/>
      <c r="I222" s="2"/>
      <c r="J222" s="61"/>
      <c r="K222" s="62"/>
      <c r="L222" s="65"/>
      <c r="M222" s="2"/>
      <c r="N222" s="2"/>
      <c r="O222" s="61"/>
      <c r="P222" s="3"/>
      <c r="Q222" s="63"/>
      <c r="R222" s="36"/>
      <c r="S222" s="60"/>
      <c r="T222" s="64"/>
      <c r="U222" s="1"/>
      <c r="V222" s="1"/>
    </row>
    <row r="223" spans="1:31" ht="24.95" customHeight="1" x14ac:dyDescent="0.2">
      <c r="A223" s="1"/>
      <c r="B223" s="39">
        <f t="shared" si="2"/>
        <v>23</v>
      </c>
      <c r="C223" s="30">
        <v>16509</v>
      </c>
      <c r="D223" s="44" t="s">
        <v>691</v>
      </c>
      <c r="E223" s="30" t="s">
        <v>1</v>
      </c>
      <c r="F223" s="62"/>
      <c r="G223" s="66"/>
      <c r="H223" s="67"/>
      <c r="I223" s="67"/>
      <c r="J223" s="68"/>
      <c r="K223" s="62"/>
      <c r="L223" s="66"/>
      <c r="M223" s="67"/>
      <c r="N223" s="67"/>
      <c r="O223" s="68"/>
      <c r="P223" s="40"/>
      <c r="Q223" s="69"/>
      <c r="R223" s="178"/>
      <c r="S223" s="90"/>
      <c r="T223" s="70"/>
      <c r="U223" s="1"/>
      <c r="V223" s="1"/>
      <c r="AE223" s="50" t="s">
        <v>16</v>
      </c>
    </row>
    <row r="224" spans="1:31" ht="24.95" customHeight="1" x14ac:dyDescent="0.2">
      <c r="A224" s="1"/>
      <c r="B224" s="39">
        <f t="shared" si="2"/>
        <v>24</v>
      </c>
      <c r="C224" s="30">
        <v>16510</v>
      </c>
      <c r="D224" s="44" t="s">
        <v>692</v>
      </c>
      <c r="E224" s="30" t="s">
        <v>1</v>
      </c>
      <c r="F224" s="62"/>
      <c r="G224" s="66"/>
      <c r="H224" s="67"/>
      <c r="I224" s="67"/>
      <c r="J224" s="68"/>
      <c r="K224" s="62"/>
      <c r="L224" s="66"/>
      <c r="M224" s="67"/>
      <c r="N224" s="67"/>
      <c r="O224" s="68"/>
      <c r="P224" s="40"/>
      <c r="Q224" s="69"/>
      <c r="R224" s="178"/>
      <c r="S224" s="90"/>
      <c r="T224" s="70"/>
      <c r="U224" s="1"/>
      <c r="V224" s="1"/>
    </row>
    <row r="225" spans="1:22" ht="24.95" customHeight="1" x14ac:dyDescent="0.2">
      <c r="A225" s="1"/>
      <c r="B225" s="39">
        <f t="shared" si="2"/>
        <v>25</v>
      </c>
      <c r="C225" s="30">
        <v>16511</v>
      </c>
      <c r="D225" s="44" t="s">
        <v>693</v>
      </c>
      <c r="E225" s="30" t="s">
        <v>1</v>
      </c>
      <c r="F225" s="62"/>
      <c r="G225" s="66"/>
      <c r="H225" s="67"/>
      <c r="I225" s="67"/>
      <c r="J225" s="68"/>
      <c r="K225" s="62"/>
      <c r="L225" s="66"/>
      <c r="M225" s="67"/>
      <c r="N225" s="67"/>
      <c r="O225" s="68"/>
      <c r="P225" s="40"/>
      <c r="Q225" s="69"/>
      <c r="R225" s="178"/>
      <c r="S225" s="90"/>
      <c r="T225" s="70"/>
      <c r="U225" s="1"/>
      <c r="V225" s="1"/>
    </row>
    <row r="226" spans="1:22" ht="24.95" customHeight="1" x14ac:dyDescent="0.2">
      <c r="A226" s="1"/>
      <c r="B226" s="39">
        <f t="shared" si="2"/>
        <v>26</v>
      </c>
      <c r="C226" s="30">
        <v>16512</v>
      </c>
      <c r="D226" s="44" t="s">
        <v>694</v>
      </c>
      <c r="E226" s="30" t="s">
        <v>1</v>
      </c>
      <c r="F226" s="62"/>
      <c r="G226" s="66"/>
      <c r="H226" s="67"/>
      <c r="I226" s="67"/>
      <c r="J226" s="68"/>
      <c r="K226" s="62"/>
      <c r="L226" s="66"/>
      <c r="M226" s="67"/>
      <c r="N226" s="67"/>
      <c r="O226" s="68"/>
      <c r="P226" s="40"/>
      <c r="Q226" s="69"/>
      <c r="R226" s="178"/>
      <c r="S226" s="90"/>
      <c r="T226" s="70"/>
      <c r="U226" s="1"/>
      <c r="V226" s="1"/>
    </row>
    <row r="227" spans="1:22" ht="24.95" customHeight="1" x14ac:dyDescent="0.2">
      <c r="A227" s="1"/>
      <c r="B227" s="39">
        <f t="shared" si="2"/>
        <v>27</v>
      </c>
      <c r="C227" s="30">
        <v>16513</v>
      </c>
      <c r="D227" s="44" t="s">
        <v>695</v>
      </c>
      <c r="E227" s="30" t="s">
        <v>1</v>
      </c>
      <c r="F227" s="62"/>
      <c r="G227" s="66"/>
      <c r="H227" s="67"/>
      <c r="I227" s="67"/>
      <c r="J227" s="68"/>
      <c r="K227" s="62"/>
      <c r="L227" s="66"/>
      <c r="M227" s="67"/>
      <c r="N227" s="67"/>
      <c r="O227" s="68"/>
      <c r="P227" s="40"/>
      <c r="Q227" s="69"/>
      <c r="R227" s="178"/>
      <c r="S227" s="90"/>
      <c r="T227" s="70"/>
      <c r="U227" s="1"/>
      <c r="V227" s="1"/>
    </row>
    <row r="228" spans="1:22" ht="24.95" customHeight="1" x14ac:dyDescent="0.2">
      <c r="A228" s="1"/>
      <c r="B228" s="39">
        <f t="shared" si="2"/>
        <v>28</v>
      </c>
      <c r="C228" s="224">
        <v>16514</v>
      </c>
      <c r="D228" s="44" t="s">
        <v>696</v>
      </c>
      <c r="E228" s="30" t="s">
        <v>1</v>
      </c>
      <c r="F228" s="62"/>
      <c r="G228" s="66"/>
      <c r="H228" s="67"/>
      <c r="I228" s="67"/>
      <c r="J228" s="68"/>
      <c r="K228" s="62"/>
      <c r="L228" s="66"/>
      <c r="M228" s="67"/>
      <c r="N228" s="67"/>
      <c r="O228" s="68"/>
      <c r="P228" s="40"/>
      <c r="Q228" s="69"/>
      <c r="R228" s="178"/>
      <c r="S228" s="90"/>
      <c r="T228" s="70"/>
      <c r="U228" s="1"/>
      <c r="V228" s="1"/>
    </row>
    <row r="229" spans="1:22" ht="24.95" customHeight="1" x14ac:dyDescent="0.2">
      <c r="A229" s="1"/>
      <c r="B229" s="39">
        <f t="shared" si="2"/>
        <v>29</v>
      </c>
      <c r="C229" s="30">
        <v>16515</v>
      </c>
      <c r="D229" s="44" t="s">
        <v>697</v>
      </c>
      <c r="E229" s="30" t="s">
        <v>1</v>
      </c>
      <c r="F229" s="62"/>
      <c r="G229" s="66"/>
      <c r="H229" s="67"/>
      <c r="I229" s="67"/>
      <c r="J229" s="68"/>
      <c r="K229" s="62"/>
      <c r="L229" s="66"/>
      <c r="M229" s="67"/>
      <c r="N229" s="67"/>
      <c r="O229" s="68"/>
      <c r="P229" s="40"/>
      <c r="Q229" s="69"/>
      <c r="R229" s="178"/>
      <c r="S229" s="90"/>
      <c r="T229" s="70"/>
      <c r="U229" s="1"/>
      <c r="V229" s="1"/>
    </row>
    <row r="230" spans="1:22" ht="24.95" customHeight="1" x14ac:dyDescent="0.2">
      <c r="A230" s="1"/>
      <c r="B230" s="39">
        <f t="shared" si="2"/>
        <v>30</v>
      </c>
      <c r="C230" s="30">
        <v>16516</v>
      </c>
      <c r="D230" s="44" t="s">
        <v>823</v>
      </c>
      <c r="E230" s="30" t="s">
        <v>1</v>
      </c>
      <c r="F230" s="235"/>
      <c r="G230" s="227"/>
      <c r="H230" s="228"/>
      <c r="I230" s="228"/>
      <c r="J230" s="229"/>
      <c r="K230" s="235"/>
      <c r="L230" s="227"/>
      <c r="M230" s="228"/>
      <c r="N230" s="228"/>
      <c r="O230" s="229"/>
      <c r="P230" s="230"/>
      <c r="Q230" s="231"/>
      <c r="R230" s="232"/>
      <c r="S230" s="233"/>
      <c r="T230" s="234"/>
      <c r="U230" s="1"/>
      <c r="V230" s="1"/>
    </row>
    <row r="231" spans="1:22" ht="24.95" customHeight="1" x14ac:dyDescent="0.2">
      <c r="A231" s="1"/>
      <c r="B231" s="39">
        <f t="shared" si="2"/>
        <v>31</v>
      </c>
      <c r="C231" s="30">
        <v>16517</v>
      </c>
      <c r="D231" s="225" t="s">
        <v>698</v>
      </c>
      <c r="E231" s="30" t="s">
        <v>1</v>
      </c>
      <c r="F231" s="226"/>
      <c r="G231" s="227"/>
      <c r="H231" s="228"/>
      <c r="I231" s="228"/>
      <c r="J231" s="229"/>
      <c r="K231" s="226"/>
      <c r="L231" s="227"/>
      <c r="M231" s="228"/>
      <c r="N231" s="228"/>
      <c r="O231" s="229"/>
      <c r="P231" s="230"/>
      <c r="Q231" s="231"/>
      <c r="R231" s="232"/>
      <c r="S231" s="233"/>
      <c r="T231" s="234"/>
      <c r="U231" s="1"/>
      <c r="V231" s="1"/>
    </row>
    <row r="232" spans="1:22" ht="24.95" customHeight="1" x14ac:dyDescent="0.2">
      <c r="A232" s="1"/>
      <c r="B232" s="39">
        <f t="shared" si="2"/>
        <v>32</v>
      </c>
      <c r="C232" s="224"/>
      <c r="D232" s="44"/>
      <c r="E232" s="30"/>
      <c r="F232" s="71"/>
      <c r="G232" s="66"/>
      <c r="H232" s="67"/>
      <c r="I232" s="67"/>
      <c r="J232" s="68"/>
      <c r="K232" s="71"/>
      <c r="L232" s="66"/>
      <c r="M232" s="67"/>
      <c r="N232" s="67"/>
      <c r="O232" s="68"/>
      <c r="P232" s="40"/>
      <c r="Q232" s="69"/>
      <c r="R232" s="178"/>
      <c r="S232" s="90"/>
      <c r="T232" s="70"/>
      <c r="U232" s="1"/>
      <c r="V232" s="1"/>
    </row>
    <row r="233" spans="1:22" ht="24.95" customHeight="1" x14ac:dyDescent="0.2">
      <c r="A233" s="1"/>
      <c r="B233" s="39">
        <f t="shared" si="2"/>
        <v>33</v>
      </c>
      <c r="C233" s="30"/>
      <c r="D233" s="44"/>
      <c r="E233" s="30"/>
      <c r="F233" s="62"/>
      <c r="G233" s="65"/>
      <c r="H233" s="2"/>
      <c r="I233" s="2"/>
      <c r="J233" s="61"/>
      <c r="K233" s="62"/>
      <c r="L233" s="65"/>
      <c r="M233" s="2"/>
      <c r="N233" s="2"/>
      <c r="O233" s="61"/>
      <c r="P233" s="3"/>
      <c r="Q233" s="63"/>
      <c r="R233" s="36"/>
      <c r="S233" s="60"/>
      <c r="T233" s="64"/>
      <c r="U233" s="1"/>
      <c r="V233" s="1"/>
    </row>
    <row r="234" spans="1:22" ht="24.95" customHeight="1" x14ac:dyDescent="0.2">
      <c r="A234" s="1"/>
      <c r="B234" s="39">
        <f t="shared" si="2"/>
        <v>34</v>
      </c>
      <c r="C234" s="35"/>
      <c r="D234" s="166"/>
      <c r="E234" s="30"/>
      <c r="F234" s="62"/>
      <c r="G234" s="65"/>
      <c r="H234" s="2"/>
      <c r="I234" s="2"/>
      <c r="J234" s="61"/>
      <c r="K234" s="62"/>
      <c r="L234" s="65"/>
      <c r="M234" s="2"/>
      <c r="N234" s="2"/>
      <c r="O234" s="61"/>
      <c r="P234" s="3"/>
      <c r="Q234" s="63"/>
      <c r="R234" s="36"/>
      <c r="S234" s="60"/>
      <c r="T234" s="64"/>
      <c r="U234" s="1"/>
      <c r="V234" s="1"/>
    </row>
    <row r="235" spans="1:22" ht="24.95" customHeight="1" x14ac:dyDescent="0.2">
      <c r="A235" s="1"/>
      <c r="B235" s="39">
        <f t="shared" si="2"/>
        <v>35</v>
      </c>
      <c r="C235" s="35"/>
      <c r="D235" s="254"/>
      <c r="E235" s="30"/>
      <c r="F235" s="62"/>
      <c r="G235" s="65"/>
      <c r="H235" s="2"/>
      <c r="I235" s="2"/>
      <c r="J235" s="61"/>
      <c r="K235" s="62"/>
      <c r="L235" s="65"/>
      <c r="M235" s="2"/>
      <c r="N235" s="2"/>
      <c r="O235" s="61"/>
      <c r="P235" s="3"/>
      <c r="Q235" s="63"/>
      <c r="R235" s="36"/>
      <c r="S235" s="60"/>
      <c r="T235" s="64"/>
      <c r="U235" s="1"/>
      <c r="V235" s="1"/>
    </row>
    <row r="236" spans="1:22" ht="24.95" customHeight="1" x14ac:dyDescent="0.2">
      <c r="A236" s="1"/>
      <c r="B236" s="39">
        <f t="shared" si="2"/>
        <v>36</v>
      </c>
      <c r="C236" s="35"/>
      <c r="D236" s="166"/>
      <c r="E236" s="30"/>
      <c r="F236" s="62"/>
      <c r="G236" s="65"/>
      <c r="H236" s="2"/>
      <c r="I236" s="2"/>
      <c r="J236" s="61"/>
      <c r="K236" s="62"/>
      <c r="L236" s="65"/>
      <c r="M236" s="2"/>
      <c r="N236" s="2"/>
      <c r="O236" s="61"/>
      <c r="P236" s="3"/>
      <c r="Q236" s="63"/>
      <c r="R236" s="36"/>
      <c r="S236" s="60"/>
      <c r="T236" s="64"/>
      <c r="U236" s="1"/>
      <c r="V236" s="1"/>
    </row>
    <row r="237" spans="1:22" ht="24.95" customHeight="1" x14ac:dyDescent="0.2">
      <c r="A237" s="1"/>
      <c r="B237" s="39">
        <f t="shared" si="2"/>
        <v>37</v>
      </c>
      <c r="C237" s="35"/>
      <c r="D237" s="166"/>
      <c r="E237" s="30"/>
      <c r="F237" s="62"/>
      <c r="G237" s="65"/>
      <c r="H237" s="2"/>
      <c r="I237" s="2"/>
      <c r="J237" s="61"/>
      <c r="K237" s="62"/>
      <c r="L237" s="65"/>
      <c r="M237" s="2"/>
      <c r="N237" s="2"/>
      <c r="O237" s="61"/>
      <c r="P237" s="3"/>
      <c r="Q237" s="63"/>
      <c r="R237" s="36"/>
      <c r="S237" s="60"/>
      <c r="T237" s="64"/>
      <c r="U237" s="1"/>
      <c r="V237" s="1"/>
    </row>
    <row r="238" spans="1:22" ht="24.95" customHeight="1" x14ac:dyDescent="0.2">
      <c r="A238" s="1"/>
      <c r="B238" s="39">
        <f t="shared" si="2"/>
        <v>38</v>
      </c>
      <c r="C238" s="35"/>
      <c r="D238" s="166"/>
      <c r="E238" s="30"/>
      <c r="F238" s="62"/>
      <c r="G238" s="65"/>
      <c r="H238" s="2"/>
      <c r="I238" s="2"/>
      <c r="J238" s="61"/>
      <c r="K238" s="62"/>
      <c r="L238" s="65"/>
      <c r="M238" s="2"/>
      <c r="N238" s="2"/>
      <c r="O238" s="61"/>
      <c r="P238" s="3"/>
      <c r="Q238" s="63"/>
      <c r="R238" s="36"/>
      <c r="S238" s="60"/>
      <c r="T238" s="64"/>
      <c r="U238" s="1"/>
      <c r="V238" s="1"/>
    </row>
    <row r="239" spans="1:22" ht="24.95" customHeight="1" x14ac:dyDescent="0.2">
      <c r="A239" s="1"/>
      <c r="B239" s="39">
        <f t="shared" si="2"/>
        <v>39</v>
      </c>
      <c r="C239" s="35"/>
      <c r="D239" s="166"/>
      <c r="E239" s="30"/>
      <c r="F239" s="62"/>
      <c r="G239" s="65"/>
      <c r="H239" s="2"/>
      <c r="I239" s="2"/>
      <c r="J239" s="61"/>
      <c r="K239" s="62"/>
      <c r="L239" s="65"/>
      <c r="M239" s="2"/>
      <c r="N239" s="2"/>
      <c r="O239" s="61"/>
      <c r="P239" s="3"/>
      <c r="Q239" s="63"/>
      <c r="R239" s="36"/>
      <c r="S239" s="60"/>
      <c r="T239" s="64"/>
      <c r="U239" s="1"/>
      <c r="V239" s="1"/>
    </row>
    <row r="240" spans="1:22" ht="24.95" customHeight="1" thickBot="1" x14ac:dyDescent="0.25">
      <c r="A240" s="1"/>
      <c r="B240" s="86"/>
      <c r="C240" s="41"/>
      <c r="D240" s="87"/>
      <c r="E240" s="174"/>
      <c r="F240" s="77"/>
      <c r="G240" s="74"/>
      <c r="H240" s="75"/>
      <c r="I240" s="75"/>
      <c r="J240" s="76"/>
      <c r="K240" s="77"/>
      <c r="L240" s="74"/>
      <c r="M240" s="75"/>
      <c r="N240" s="75"/>
      <c r="O240" s="76"/>
      <c r="P240" s="75"/>
      <c r="Q240" s="78"/>
      <c r="R240" s="78"/>
      <c r="S240" s="78"/>
      <c r="T240" s="76"/>
      <c r="U240" s="1"/>
      <c r="V240" s="1"/>
    </row>
    <row r="241" spans="1:22" ht="18.95" customHeight="1" x14ac:dyDescent="0.2">
      <c r="A241" s="1"/>
      <c r="B241" s="37"/>
      <c r="C241" s="37"/>
      <c r="D241" s="1"/>
      <c r="E241" s="3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8.95" customHeight="1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8.95" customHeight="1" x14ac:dyDescent="0.2">
      <c r="A243" s="1"/>
      <c r="B243" s="255"/>
      <c r="C243" s="256"/>
      <c r="D243" s="259" t="s">
        <v>3</v>
      </c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1"/>
      <c r="U243" s="1"/>
      <c r="V243" s="1"/>
    </row>
    <row r="244" spans="1:22" ht="18.95" customHeight="1" x14ac:dyDescent="0.2">
      <c r="A244" s="1"/>
      <c r="B244" s="257"/>
      <c r="C244" s="258"/>
      <c r="D244" s="262" t="s">
        <v>4</v>
      </c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4"/>
      <c r="U244" s="1"/>
      <c r="V244" s="1"/>
    </row>
    <row r="245" spans="1:22" ht="18.95" customHeight="1" thickBot="1" x14ac:dyDescent="0.25">
      <c r="A245" s="1"/>
      <c r="B245" s="257"/>
      <c r="C245" s="258"/>
      <c r="D245" s="265" t="s">
        <v>547</v>
      </c>
      <c r="E245" s="266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7"/>
      <c r="U245" s="1"/>
      <c r="V245" s="1"/>
    </row>
    <row r="246" spans="1:22" ht="18.95" customHeight="1" thickBot="1" x14ac:dyDescent="0.25">
      <c r="A246" s="1"/>
      <c r="B246" s="268"/>
      <c r="C246" s="269"/>
      <c r="D246" s="25" t="s">
        <v>565</v>
      </c>
      <c r="E246" s="26"/>
      <c r="F246" s="27" t="s">
        <v>796</v>
      </c>
      <c r="G246" s="27"/>
      <c r="H246" s="27"/>
      <c r="I246" s="28"/>
      <c r="J246" s="28"/>
      <c r="K246" s="27"/>
      <c r="L246" s="27"/>
      <c r="M246" s="27"/>
      <c r="N246" s="27"/>
      <c r="O246" s="27"/>
      <c r="P246" s="27"/>
      <c r="Q246" s="27"/>
      <c r="R246" s="27"/>
      <c r="S246" s="27"/>
      <c r="T246" s="123"/>
      <c r="U246" s="1"/>
      <c r="V246" s="1"/>
    </row>
    <row r="247" spans="1:22" ht="18.95" customHeight="1" thickBot="1" x14ac:dyDescent="0.25">
      <c r="A247" s="1"/>
      <c r="B247" s="271" t="s">
        <v>6</v>
      </c>
      <c r="C247" s="272"/>
      <c r="D247" s="270" t="s">
        <v>7</v>
      </c>
      <c r="E247" s="273" t="s">
        <v>12</v>
      </c>
      <c r="F247" s="268"/>
      <c r="G247" s="277"/>
      <c r="H247" s="277"/>
      <c r="I247" s="277"/>
      <c r="J247" s="269"/>
      <c r="K247" s="268"/>
      <c r="L247" s="277"/>
      <c r="M247" s="277"/>
      <c r="N247" s="277"/>
      <c r="O247" s="269"/>
      <c r="P247" s="272"/>
      <c r="Q247" s="277"/>
      <c r="R247" s="277"/>
      <c r="S247" s="277"/>
      <c r="T247" s="269"/>
      <c r="U247" s="1"/>
      <c r="V247" s="1"/>
    </row>
    <row r="248" spans="1:22" ht="18.95" customHeight="1" thickBot="1" x14ac:dyDescent="0.25">
      <c r="A248" s="1"/>
      <c r="B248" s="42" t="s">
        <v>10</v>
      </c>
      <c r="C248" s="42" t="s">
        <v>9</v>
      </c>
      <c r="D248" s="270"/>
      <c r="E248" s="274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1"/>
      <c r="V248" s="1"/>
    </row>
    <row r="249" spans="1:22" ht="24.95" customHeight="1" x14ac:dyDescent="0.2">
      <c r="A249" s="1"/>
      <c r="B249" s="85">
        <v>1</v>
      </c>
      <c r="C249" s="32">
        <v>16518</v>
      </c>
      <c r="D249" s="44" t="s">
        <v>700</v>
      </c>
      <c r="E249" s="30" t="s">
        <v>1</v>
      </c>
      <c r="F249" s="62"/>
      <c r="G249" s="79"/>
      <c r="H249" s="80"/>
      <c r="I249" s="2"/>
      <c r="J249" s="61"/>
      <c r="K249" s="62"/>
      <c r="L249" s="79"/>
      <c r="M249" s="80"/>
      <c r="N249" s="2"/>
      <c r="O249" s="61"/>
      <c r="P249" s="81"/>
      <c r="Q249" s="82"/>
      <c r="R249" s="36"/>
      <c r="S249" s="60"/>
      <c r="T249" s="83"/>
      <c r="U249" s="1"/>
      <c r="V249" s="1"/>
    </row>
    <row r="250" spans="1:22" ht="24.95" customHeight="1" x14ac:dyDescent="0.2">
      <c r="A250" s="1"/>
      <c r="B250" s="39">
        <f t="shared" ref="B250:B285" si="3">B249+1</f>
        <v>2</v>
      </c>
      <c r="C250" s="30">
        <v>16519</v>
      </c>
      <c r="D250" s="44" t="s">
        <v>701</v>
      </c>
      <c r="E250" s="30" t="s">
        <v>1</v>
      </c>
      <c r="F250" s="62"/>
      <c r="G250" s="60"/>
      <c r="H250" s="2"/>
      <c r="I250" s="2"/>
      <c r="J250" s="61"/>
      <c r="K250" s="62"/>
      <c r="L250" s="60"/>
      <c r="M250" s="2"/>
      <c r="N250" s="2"/>
      <c r="O250" s="61"/>
      <c r="P250" s="3"/>
      <c r="Q250" s="63"/>
      <c r="R250" s="36"/>
      <c r="S250" s="60"/>
      <c r="T250" s="64"/>
      <c r="U250" s="1"/>
      <c r="V250" s="1"/>
    </row>
    <row r="251" spans="1:22" ht="24.95" customHeight="1" x14ac:dyDescent="0.2">
      <c r="A251" s="1"/>
      <c r="B251" s="39">
        <f t="shared" si="3"/>
        <v>3</v>
      </c>
      <c r="C251" s="30">
        <v>16520</v>
      </c>
      <c r="D251" s="44" t="s">
        <v>702</v>
      </c>
      <c r="E251" s="30" t="s">
        <v>1</v>
      </c>
      <c r="F251" s="62"/>
      <c r="G251" s="60"/>
      <c r="H251" s="2"/>
      <c r="I251" s="2"/>
      <c r="J251" s="61"/>
      <c r="K251" s="62"/>
      <c r="L251" s="60"/>
      <c r="M251" s="2"/>
      <c r="N251" s="2"/>
      <c r="O251" s="61"/>
      <c r="P251" s="3"/>
      <c r="Q251" s="63"/>
      <c r="R251" s="36"/>
      <c r="S251" s="60"/>
      <c r="T251" s="64"/>
      <c r="U251" s="1"/>
      <c r="V251" s="1"/>
    </row>
    <row r="252" spans="1:22" ht="24.95" customHeight="1" x14ac:dyDescent="0.2">
      <c r="A252" s="1"/>
      <c r="B252" s="39">
        <f t="shared" si="3"/>
        <v>4</v>
      </c>
      <c r="C252" s="30">
        <v>16521</v>
      </c>
      <c r="D252" s="44" t="s">
        <v>703</v>
      </c>
      <c r="E252" s="30" t="s">
        <v>1</v>
      </c>
      <c r="F252" s="62"/>
      <c r="G252" s="60"/>
      <c r="H252" s="2"/>
      <c r="I252" s="2"/>
      <c r="J252" s="61"/>
      <c r="K252" s="62"/>
      <c r="L252" s="60"/>
      <c r="M252" s="2"/>
      <c r="N252" s="2"/>
      <c r="O252" s="61"/>
      <c r="P252" s="3"/>
      <c r="Q252" s="63"/>
      <c r="R252" s="36"/>
      <c r="S252" s="60"/>
      <c r="T252" s="64"/>
      <c r="U252" s="1"/>
      <c r="V252" s="1"/>
    </row>
    <row r="253" spans="1:22" ht="24.95" customHeight="1" x14ac:dyDescent="0.2">
      <c r="A253" s="1"/>
      <c r="B253" s="39">
        <f t="shared" si="3"/>
        <v>5</v>
      </c>
      <c r="C253" s="30">
        <v>16522</v>
      </c>
      <c r="D253" s="44" t="s">
        <v>704</v>
      </c>
      <c r="E253" s="30" t="s">
        <v>1</v>
      </c>
      <c r="F253" s="62"/>
      <c r="G253" s="60"/>
      <c r="H253" s="2"/>
      <c r="I253" s="2"/>
      <c r="J253" s="61"/>
      <c r="K253" s="62"/>
      <c r="L253" s="60"/>
      <c r="M253" s="2"/>
      <c r="N253" s="2"/>
      <c r="O253" s="61"/>
      <c r="P253" s="3"/>
      <c r="Q253" s="63"/>
      <c r="R253" s="36"/>
      <c r="S253" s="60"/>
      <c r="T253" s="64"/>
      <c r="U253" s="1"/>
      <c r="V253" s="1"/>
    </row>
    <row r="254" spans="1:22" ht="24.95" customHeight="1" x14ac:dyDescent="0.2">
      <c r="A254" s="1"/>
      <c r="B254" s="39">
        <f t="shared" si="3"/>
        <v>6</v>
      </c>
      <c r="C254" s="30">
        <v>16523</v>
      </c>
      <c r="D254" s="44" t="s">
        <v>705</v>
      </c>
      <c r="E254" s="30" t="s">
        <v>1</v>
      </c>
      <c r="F254" s="62"/>
      <c r="G254" s="60"/>
      <c r="H254" s="2"/>
      <c r="I254" s="2"/>
      <c r="J254" s="61"/>
      <c r="K254" s="62"/>
      <c r="L254" s="60"/>
      <c r="M254" s="2"/>
      <c r="N254" s="2"/>
      <c r="O254" s="61"/>
      <c r="P254" s="3"/>
      <c r="Q254" s="63"/>
      <c r="R254" s="36"/>
      <c r="S254" s="60"/>
      <c r="T254" s="64"/>
      <c r="U254" s="1"/>
      <c r="V254" s="1"/>
    </row>
    <row r="255" spans="1:22" ht="24.95" customHeight="1" x14ac:dyDescent="0.2">
      <c r="A255" s="1"/>
      <c r="B255" s="39">
        <f t="shared" si="3"/>
        <v>7</v>
      </c>
      <c r="C255" s="30">
        <v>16524</v>
      </c>
      <c r="D255" s="44" t="s">
        <v>706</v>
      </c>
      <c r="E255" s="30" t="s">
        <v>1</v>
      </c>
      <c r="F255" s="62"/>
      <c r="G255" s="60"/>
      <c r="H255" s="2"/>
      <c r="I255" s="2"/>
      <c r="J255" s="61"/>
      <c r="K255" s="62"/>
      <c r="L255" s="60"/>
      <c r="M255" s="2"/>
      <c r="N255" s="2"/>
      <c r="O255" s="61"/>
      <c r="P255" s="3"/>
      <c r="Q255" s="63"/>
      <c r="R255" s="36"/>
      <c r="S255" s="60"/>
      <c r="T255" s="64"/>
      <c r="U255" s="1"/>
      <c r="V255" s="1"/>
    </row>
    <row r="256" spans="1:22" ht="24.95" customHeight="1" x14ac:dyDescent="0.2">
      <c r="A256" s="1"/>
      <c r="B256" s="39">
        <f t="shared" si="3"/>
        <v>8</v>
      </c>
      <c r="C256" s="30">
        <v>16525</v>
      </c>
      <c r="D256" s="44" t="s">
        <v>707</v>
      </c>
      <c r="E256" s="30" t="s">
        <v>1</v>
      </c>
      <c r="F256" s="62"/>
      <c r="G256" s="60"/>
      <c r="H256" s="2"/>
      <c r="I256" s="2"/>
      <c r="J256" s="61"/>
      <c r="K256" s="62"/>
      <c r="L256" s="60"/>
      <c r="M256" s="2"/>
      <c r="N256" s="2"/>
      <c r="O256" s="61"/>
      <c r="P256" s="3"/>
      <c r="Q256" s="63"/>
      <c r="R256" s="36"/>
      <c r="S256" s="60"/>
      <c r="T256" s="64"/>
      <c r="U256" s="1"/>
      <c r="V256" s="1"/>
    </row>
    <row r="257" spans="1:22" ht="24.95" customHeight="1" x14ac:dyDescent="0.2">
      <c r="A257" s="1"/>
      <c r="B257" s="39">
        <f t="shared" si="3"/>
        <v>9</v>
      </c>
      <c r="C257" s="30">
        <v>16526</v>
      </c>
      <c r="D257" s="44" t="s">
        <v>708</v>
      </c>
      <c r="E257" s="30" t="s">
        <v>1</v>
      </c>
      <c r="F257" s="62"/>
      <c r="G257" s="60"/>
      <c r="H257" s="2"/>
      <c r="I257" s="2"/>
      <c r="J257" s="61"/>
      <c r="K257" s="62"/>
      <c r="L257" s="60"/>
      <c r="M257" s="2"/>
      <c r="N257" s="2"/>
      <c r="O257" s="61"/>
      <c r="P257" s="3"/>
      <c r="Q257" s="63"/>
      <c r="R257" s="36"/>
      <c r="S257" s="60"/>
      <c r="T257" s="64"/>
      <c r="U257" s="1"/>
      <c r="V257" s="1"/>
    </row>
    <row r="258" spans="1:22" ht="24.95" customHeight="1" x14ac:dyDescent="0.2">
      <c r="A258" s="1"/>
      <c r="B258" s="39">
        <f t="shared" si="3"/>
        <v>10</v>
      </c>
      <c r="C258" s="30">
        <v>16527</v>
      </c>
      <c r="D258" s="44" t="s">
        <v>710</v>
      </c>
      <c r="E258" s="30" t="s">
        <v>1</v>
      </c>
      <c r="F258" s="62"/>
      <c r="G258" s="60"/>
      <c r="H258" s="2"/>
      <c r="I258" s="2"/>
      <c r="J258" s="61"/>
      <c r="K258" s="62"/>
      <c r="L258" s="60"/>
      <c r="M258" s="2"/>
      <c r="N258" s="2"/>
      <c r="O258" s="61"/>
      <c r="P258" s="3"/>
      <c r="Q258" s="63"/>
      <c r="R258" s="93"/>
      <c r="S258" s="55"/>
      <c r="T258" s="64"/>
      <c r="U258" s="1"/>
      <c r="V258" s="1"/>
    </row>
    <row r="259" spans="1:22" ht="24.95" customHeight="1" x14ac:dyDescent="0.2">
      <c r="A259" s="1"/>
      <c r="B259" s="39">
        <f t="shared" si="3"/>
        <v>11</v>
      </c>
      <c r="C259" s="30">
        <v>16528</v>
      </c>
      <c r="D259" s="44" t="s">
        <v>711</v>
      </c>
      <c r="E259" s="30" t="s">
        <v>1</v>
      </c>
      <c r="F259" s="62"/>
      <c r="G259" s="60"/>
      <c r="H259" s="2"/>
      <c r="I259" s="2"/>
      <c r="J259" s="61"/>
      <c r="K259" s="62"/>
      <c r="L259" s="60"/>
      <c r="M259" s="2"/>
      <c r="N259" s="2"/>
      <c r="O259" s="61"/>
      <c r="P259" s="3"/>
      <c r="Q259" s="63"/>
      <c r="R259" s="36"/>
      <c r="S259" s="60"/>
      <c r="T259" s="64"/>
      <c r="U259" s="1"/>
      <c r="V259" s="1"/>
    </row>
    <row r="260" spans="1:22" ht="24.95" customHeight="1" x14ac:dyDescent="0.2">
      <c r="A260" s="1"/>
      <c r="B260" s="39">
        <f t="shared" si="3"/>
        <v>12</v>
      </c>
      <c r="C260" s="30">
        <v>16529</v>
      </c>
      <c r="D260" s="44" t="s">
        <v>712</v>
      </c>
      <c r="E260" s="30" t="s">
        <v>1</v>
      </c>
      <c r="F260" s="62"/>
      <c r="G260" s="60"/>
      <c r="H260" s="2"/>
      <c r="I260" s="2"/>
      <c r="J260" s="61"/>
      <c r="K260" s="62"/>
      <c r="L260" s="60"/>
      <c r="M260" s="2"/>
      <c r="N260" s="2"/>
      <c r="O260" s="61"/>
      <c r="P260" s="3"/>
      <c r="Q260" s="63"/>
      <c r="R260" s="36"/>
      <c r="S260" s="60"/>
      <c r="T260" s="64"/>
      <c r="U260" s="1"/>
      <c r="V260" s="1"/>
    </row>
    <row r="261" spans="1:22" ht="24.95" customHeight="1" x14ac:dyDescent="0.2">
      <c r="A261" s="1"/>
      <c r="B261" s="39">
        <f t="shared" si="3"/>
        <v>13</v>
      </c>
      <c r="C261" s="30">
        <v>16530</v>
      </c>
      <c r="D261" s="44" t="s">
        <v>713</v>
      </c>
      <c r="E261" s="224" t="s">
        <v>1</v>
      </c>
      <c r="F261" s="235"/>
      <c r="G261" s="236"/>
      <c r="H261" s="237"/>
      <c r="I261" s="237"/>
      <c r="J261" s="238"/>
      <c r="K261" s="235"/>
      <c r="L261" s="236"/>
      <c r="M261" s="237"/>
      <c r="N261" s="237"/>
      <c r="O261" s="238"/>
      <c r="P261" s="239"/>
      <c r="Q261" s="240"/>
      <c r="R261" s="241"/>
      <c r="S261" s="236"/>
      <c r="T261" s="242"/>
      <c r="U261" s="1"/>
      <c r="V261" s="1"/>
    </row>
    <row r="262" spans="1:22" ht="24.95" customHeight="1" x14ac:dyDescent="0.2">
      <c r="A262" s="1"/>
      <c r="B262" s="39">
        <f t="shared" si="3"/>
        <v>14</v>
      </c>
      <c r="C262" s="30">
        <v>16531</v>
      </c>
      <c r="D262" s="44" t="s">
        <v>714</v>
      </c>
      <c r="E262" s="224" t="s">
        <v>1</v>
      </c>
      <c r="F262" s="235"/>
      <c r="G262" s="236"/>
      <c r="H262" s="237"/>
      <c r="I262" s="237"/>
      <c r="J262" s="238"/>
      <c r="K262" s="235"/>
      <c r="L262" s="236"/>
      <c r="M262" s="237"/>
      <c r="N262" s="237"/>
      <c r="O262" s="238"/>
      <c r="P262" s="239"/>
      <c r="Q262" s="240"/>
      <c r="R262" s="241"/>
      <c r="S262" s="236"/>
      <c r="T262" s="242"/>
      <c r="U262" s="1"/>
      <c r="V262" s="1"/>
    </row>
    <row r="263" spans="1:22" ht="24.95" customHeight="1" x14ac:dyDescent="0.2">
      <c r="A263" s="1"/>
      <c r="B263" s="39">
        <f t="shared" si="3"/>
        <v>15</v>
      </c>
      <c r="C263" s="224">
        <v>16532</v>
      </c>
      <c r="D263" s="225" t="s">
        <v>715</v>
      </c>
      <c r="E263" s="30" t="s">
        <v>1</v>
      </c>
      <c r="F263" s="62"/>
      <c r="G263" s="60"/>
      <c r="H263" s="2"/>
      <c r="I263" s="2"/>
      <c r="J263" s="61"/>
      <c r="K263" s="62"/>
      <c r="L263" s="60"/>
      <c r="M263" s="2"/>
      <c r="N263" s="2"/>
      <c r="O263" s="61"/>
      <c r="P263" s="3"/>
      <c r="Q263" s="63"/>
      <c r="R263" s="36"/>
      <c r="S263" s="60"/>
      <c r="T263" s="64"/>
      <c r="U263" s="1"/>
      <c r="V263" s="1"/>
    </row>
    <row r="264" spans="1:22" ht="24.95" customHeight="1" x14ac:dyDescent="0.2">
      <c r="A264" s="1"/>
      <c r="B264" s="39">
        <f t="shared" si="3"/>
        <v>16</v>
      </c>
      <c r="C264" s="224">
        <v>16533</v>
      </c>
      <c r="D264" s="225" t="s">
        <v>716</v>
      </c>
      <c r="E264" s="30" t="s">
        <v>1</v>
      </c>
      <c r="F264" s="62"/>
      <c r="G264" s="60"/>
      <c r="H264" s="2"/>
      <c r="I264" s="2"/>
      <c r="J264" s="61"/>
      <c r="K264" s="62"/>
      <c r="L264" s="60"/>
      <c r="M264" s="2"/>
      <c r="N264" s="2"/>
      <c r="O264" s="61"/>
      <c r="P264" s="3"/>
      <c r="Q264" s="63"/>
      <c r="R264" s="36"/>
      <c r="S264" s="60"/>
      <c r="T264" s="64"/>
      <c r="U264" s="1"/>
      <c r="V264" s="1"/>
    </row>
    <row r="265" spans="1:22" ht="24.95" customHeight="1" x14ac:dyDescent="0.2">
      <c r="A265" s="1"/>
      <c r="B265" s="39">
        <f t="shared" si="3"/>
        <v>17</v>
      </c>
      <c r="C265" s="30">
        <v>16534</v>
      </c>
      <c r="D265" s="44" t="s">
        <v>717</v>
      </c>
      <c r="E265" s="30" t="s">
        <v>1</v>
      </c>
      <c r="F265" s="62"/>
      <c r="G265" s="65"/>
      <c r="H265" s="2"/>
      <c r="I265" s="2"/>
      <c r="J265" s="61"/>
      <c r="K265" s="62"/>
      <c r="L265" s="65"/>
      <c r="M265" s="2"/>
      <c r="N265" s="2"/>
      <c r="O265" s="61"/>
      <c r="P265" s="3"/>
      <c r="Q265" s="63"/>
      <c r="R265" s="93"/>
      <c r="S265" s="55"/>
      <c r="T265" s="64"/>
      <c r="U265" s="1"/>
      <c r="V265" s="1"/>
    </row>
    <row r="266" spans="1:22" ht="24.95" customHeight="1" x14ac:dyDescent="0.2">
      <c r="A266" s="1"/>
      <c r="B266" s="39">
        <f t="shared" si="3"/>
        <v>18</v>
      </c>
      <c r="C266" s="30">
        <v>16535</v>
      </c>
      <c r="D266" s="44" t="s">
        <v>718</v>
      </c>
      <c r="E266" s="30" t="s">
        <v>1</v>
      </c>
      <c r="F266" s="62"/>
      <c r="G266" s="65"/>
      <c r="H266" s="2"/>
      <c r="I266" s="2"/>
      <c r="J266" s="61"/>
      <c r="K266" s="62"/>
      <c r="L266" s="65"/>
      <c r="M266" s="2"/>
      <c r="N266" s="2"/>
      <c r="O266" s="61"/>
      <c r="P266" s="3"/>
      <c r="Q266" s="63"/>
      <c r="R266" s="93"/>
      <c r="S266" s="55"/>
      <c r="T266" s="64"/>
      <c r="U266" s="1"/>
      <c r="V266" s="1"/>
    </row>
    <row r="267" spans="1:22" ht="24.95" customHeight="1" x14ac:dyDescent="0.2">
      <c r="A267" s="1"/>
      <c r="B267" s="39">
        <f t="shared" si="3"/>
        <v>19</v>
      </c>
      <c r="C267" s="30">
        <v>16536</v>
      </c>
      <c r="D267" s="44" t="s">
        <v>719</v>
      </c>
      <c r="E267" s="30" t="s">
        <v>1</v>
      </c>
      <c r="F267" s="62"/>
      <c r="G267" s="65"/>
      <c r="H267" s="2"/>
      <c r="I267" s="2"/>
      <c r="J267" s="61"/>
      <c r="K267" s="62"/>
      <c r="L267" s="65"/>
      <c r="M267" s="2"/>
      <c r="N267" s="2"/>
      <c r="O267" s="61"/>
      <c r="P267" s="3"/>
      <c r="Q267" s="63"/>
      <c r="R267" s="36"/>
      <c r="S267" s="60"/>
      <c r="T267" s="64"/>
      <c r="U267" s="1"/>
      <c r="V267" s="1"/>
    </row>
    <row r="268" spans="1:22" ht="24.95" customHeight="1" x14ac:dyDescent="0.2">
      <c r="A268" s="1"/>
      <c r="B268" s="39">
        <f t="shared" si="3"/>
        <v>20</v>
      </c>
      <c r="C268" s="30">
        <v>16537</v>
      </c>
      <c r="D268" s="44" t="s">
        <v>720</v>
      </c>
      <c r="E268" s="30" t="s">
        <v>1</v>
      </c>
      <c r="F268" s="62"/>
      <c r="G268" s="60"/>
      <c r="H268" s="2"/>
      <c r="I268" s="2"/>
      <c r="J268" s="61"/>
      <c r="K268" s="62"/>
      <c r="L268" s="60"/>
      <c r="M268" s="2"/>
      <c r="N268" s="2"/>
      <c r="O268" s="61"/>
      <c r="P268" s="3"/>
      <c r="Q268" s="63"/>
      <c r="R268" s="36"/>
      <c r="S268" s="60"/>
      <c r="T268" s="64"/>
      <c r="U268" s="1"/>
      <c r="V268" s="1"/>
    </row>
    <row r="269" spans="1:22" ht="24.95" customHeight="1" x14ac:dyDescent="0.2">
      <c r="A269" s="1"/>
      <c r="B269" s="39">
        <f t="shared" si="3"/>
        <v>21</v>
      </c>
      <c r="C269" s="30">
        <v>16538</v>
      </c>
      <c r="D269" s="44" t="s">
        <v>721</v>
      </c>
      <c r="E269" s="30" t="s">
        <v>1</v>
      </c>
      <c r="F269" s="62"/>
      <c r="G269" s="65"/>
      <c r="H269" s="2"/>
      <c r="I269" s="2"/>
      <c r="J269" s="61"/>
      <c r="K269" s="62"/>
      <c r="L269" s="65"/>
      <c r="M269" s="2"/>
      <c r="N269" s="2"/>
      <c r="O269" s="61"/>
      <c r="P269" s="3"/>
      <c r="Q269" s="63"/>
      <c r="R269" s="36"/>
      <c r="S269" s="60"/>
      <c r="T269" s="64"/>
      <c r="U269" s="1"/>
      <c r="V269" s="1"/>
    </row>
    <row r="270" spans="1:22" ht="24.95" customHeight="1" x14ac:dyDescent="0.2">
      <c r="A270" s="1"/>
      <c r="B270" s="39">
        <f t="shared" si="3"/>
        <v>22</v>
      </c>
      <c r="C270" s="30">
        <v>16539</v>
      </c>
      <c r="D270" s="44" t="s">
        <v>722</v>
      </c>
      <c r="E270" s="30" t="s">
        <v>1</v>
      </c>
      <c r="F270" s="62"/>
      <c r="G270" s="66"/>
      <c r="H270" s="67"/>
      <c r="I270" s="67"/>
      <c r="J270" s="68"/>
      <c r="K270" s="62"/>
      <c r="L270" s="66"/>
      <c r="M270" s="67"/>
      <c r="N270" s="67"/>
      <c r="O270" s="68"/>
      <c r="P270" s="40"/>
      <c r="Q270" s="69"/>
      <c r="R270" s="178"/>
      <c r="S270" s="90"/>
      <c r="T270" s="70"/>
      <c r="U270" s="1"/>
      <c r="V270" s="1"/>
    </row>
    <row r="271" spans="1:22" ht="24.95" customHeight="1" x14ac:dyDescent="0.2">
      <c r="A271" s="1"/>
      <c r="B271" s="39">
        <f t="shared" si="3"/>
        <v>23</v>
      </c>
      <c r="C271" s="30">
        <v>16540</v>
      </c>
      <c r="D271" s="44" t="s">
        <v>723</v>
      </c>
      <c r="E271" s="30" t="s">
        <v>1</v>
      </c>
      <c r="F271" s="62"/>
      <c r="G271" s="66"/>
      <c r="H271" s="67"/>
      <c r="I271" s="67"/>
      <c r="J271" s="68"/>
      <c r="K271" s="62"/>
      <c r="L271" s="66"/>
      <c r="M271" s="67"/>
      <c r="N271" s="67"/>
      <c r="O271" s="68"/>
      <c r="P271" s="40"/>
      <c r="Q271" s="69"/>
      <c r="R271" s="178"/>
      <c r="S271" s="90"/>
      <c r="T271" s="70"/>
      <c r="U271" s="1"/>
      <c r="V271" s="1"/>
    </row>
    <row r="272" spans="1:22" ht="24.95" customHeight="1" x14ac:dyDescent="0.2">
      <c r="A272" s="1"/>
      <c r="B272" s="39">
        <f t="shared" si="3"/>
        <v>24</v>
      </c>
      <c r="C272" s="30">
        <v>16541</v>
      </c>
      <c r="D272" s="44" t="s">
        <v>724</v>
      </c>
      <c r="E272" s="30" t="s">
        <v>1</v>
      </c>
      <c r="F272" s="62"/>
      <c r="G272" s="66"/>
      <c r="H272" s="67"/>
      <c r="I272" s="67"/>
      <c r="J272" s="68"/>
      <c r="K272" s="62"/>
      <c r="L272" s="66"/>
      <c r="M272" s="67"/>
      <c r="N272" s="67"/>
      <c r="O272" s="68"/>
      <c r="P272" s="40"/>
      <c r="Q272" s="69"/>
      <c r="R272" s="178"/>
      <c r="S272" s="90"/>
      <c r="T272" s="70"/>
      <c r="U272" s="1"/>
      <c r="V272" s="1"/>
    </row>
    <row r="273" spans="1:22" ht="24.95" customHeight="1" x14ac:dyDescent="0.2">
      <c r="A273" s="1"/>
      <c r="B273" s="39">
        <f t="shared" si="3"/>
        <v>25</v>
      </c>
      <c r="C273" s="30">
        <v>16542</v>
      </c>
      <c r="D273" s="44" t="s">
        <v>822</v>
      </c>
      <c r="E273" s="30" t="s">
        <v>1</v>
      </c>
      <c r="F273" s="62"/>
      <c r="G273" s="66"/>
      <c r="H273" s="67"/>
      <c r="I273" s="67"/>
      <c r="J273" s="68"/>
      <c r="K273" s="62"/>
      <c r="L273" s="66"/>
      <c r="M273" s="67"/>
      <c r="N273" s="67"/>
      <c r="O273" s="68"/>
      <c r="P273" s="40"/>
      <c r="Q273" s="69"/>
      <c r="R273" s="178"/>
      <c r="S273" s="90"/>
      <c r="T273" s="70"/>
      <c r="U273" s="1"/>
      <c r="V273" s="1"/>
    </row>
    <row r="274" spans="1:22" ht="24.95" customHeight="1" x14ac:dyDescent="0.2">
      <c r="A274" s="1"/>
      <c r="B274" s="39">
        <f t="shared" si="3"/>
        <v>26</v>
      </c>
      <c r="C274" s="30">
        <v>16543</v>
      </c>
      <c r="D274" s="44" t="s">
        <v>725</v>
      </c>
      <c r="E274" s="30" t="s">
        <v>1</v>
      </c>
      <c r="F274" s="62"/>
      <c r="G274" s="66"/>
      <c r="H274" s="67"/>
      <c r="I274" s="67"/>
      <c r="J274" s="68"/>
      <c r="K274" s="62"/>
      <c r="L274" s="66"/>
      <c r="M274" s="67"/>
      <c r="N274" s="67"/>
      <c r="O274" s="68"/>
      <c r="P274" s="40"/>
      <c r="Q274" s="69"/>
      <c r="R274" s="178"/>
      <c r="S274" s="90"/>
      <c r="T274" s="70"/>
      <c r="U274" s="1"/>
      <c r="V274" s="1"/>
    </row>
    <row r="275" spans="1:22" ht="24.95" customHeight="1" x14ac:dyDescent="0.2">
      <c r="A275" s="1"/>
      <c r="B275" s="39">
        <f t="shared" si="3"/>
        <v>27</v>
      </c>
      <c r="C275" s="30">
        <v>16544</v>
      </c>
      <c r="D275" s="44" t="s">
        <v>726</v>
      </c>
      <c r="E275" s="30" t="s">
        <v>1</v>
      </c>
      <c r="F275" s="62"/>
      <c r="G275" s="66"/>
      <c r="H275" s="67"/>
      <c r="I275" s="67"/>
      <c r="J275" s="68"/>
      <c r="K275" s="62"/>
      <c r="L275" s="66"/>
      <c r="M275" s="67"/>
      <c r="N275" s="67"/>
      <c r="O275" s="68"/>
      <c r="P275" s="40"/>
      <c r="Q275" s="69"/>
      <c r="R275" s="178"/>
      <c r="S275" s="90"/>
      <c r="T275" s="70"/>
      <c r="U275" s="1"/>
      <c r="V275" s="1"/>
    </row>
    <row r="276" spans="1:22" ht="24.95" customHeight="1" x14ac:dyDescent="0.2">
      <c r="A276" s="1"/>
      <c r="B276" s="39">
        <f t="shared" si="3"/>
        <v>28</v>
      </c>
      <c r="C276" s="30">
        <v>16545</v>
      </c>
      <c r="D276" s="44" t="s">
        <v>727</v>
      </c>
      <c r="E276" s="30" t="s">
        <v>1</v>
      </c>
      <c r="F276" s="71"/>
      <c r="G276" s="66"/>
      <c r="H276" s="67"/>
      <c r="I276" s="67"/>
      <c r="J276" s="68"/>
      <c r="K276" s="71"/>
      <c r="L276" s="66"/>
      <c r="M276" s="67"/>
      <c r="N276" s="67"/>
      <c r="O276" s="68"/>
      <c r="P276" s="40"/>
      <c r="Q276" s="69"/>
      <c r="R276" s="178"/>
      <c r="S276" s="90"/>
      <c r="T276" s="70"/>
      <c r="U276" s="1"/>
      <c r="V276" s="1"/>
    </row>
    <row r="277" spans="1:22" ht="24.95" customHeight="1" x14ac:dyDescent="0.2">
      <c r="A277" s="1"/>
      <c r="B277" s="39">
        <f t="shared" si="3"/>
        <v>29</v>
      </c>
      <c r="C277" s="30">
        <v>16546</v>
      </c>
      <c r="D277" s="44" t="s">
        <v>728</v>
      </c>
      <c r="E277" s="30" t="s">
        <v>1</v>
      </c>
      <c r="F277" s="71"/>
      <c r="G277" s="66"/>
      <c r="H277" s="67"/>
      <c r="I277" s="67"/>
      <c r="J277" s="68"/>
      <c r="K277" s="71"/>
      <c r="L277" s="66"/>
      <c r="M277" s="67"/>
      <c r="N277" s="67"/>
      <c r="O277" s="68"/>
      <c r="P277" s="40"/>
      <c r="Q277" s="69"/>
      <c r="R277" s="178"/>
      <c r="S277" s="90"/>
      <c r="T277" s="70"/>
      <c r="U277" s="1"/>
      <c r="V277" s="1"/>
    </row>
    <row r="278" spans="1:22" ht="24.95" customHeight="1" x14ac:dyDescent="0.2">
      <c r="A278" s="1"/>
      <c r="B278" s="39">
        <f t="shared" si="3"/>
        <v>30</v>
      </c>
      <c r="C278" s="30"/>
      <c r="D278" s="44"/>
      <c r="E278" s="30" t="s">
        <v>1</v>
      </c>
      <c r="F278" s="71"/>
      <c r="G278" s="66"/>
      <c r="H278" s="67"/>
      <c r="I278" s="67"/>
      <c r="J278" s="68"/>
      <c r="K278" s="71"/>
      <c r="L278" s="66"/>
      <c r="M278" s="67"/>
      <c r="N278" s="67"/>
      <c r="O278" s="68"/>
      <c r="P278" s="40"/>
      <c r="Q278" s="69"/>
      <c r="R278" s="178"/>
      <c r="S278" s="90"/>
      <c r="T278" s="70"/>
      <c r="U278" s="1"/>
      <c r="V278" s="1"/>
    </row>
    <row r="279" spans="1:22" ht="24.95" customHeight="1" x14ac:dyDescent="0.2">
      <c r="A279" s="1"/>
      <c r="B279" s="39">
        <f t="shared" si="3"/>
        <v>31</v>
      </c>
      <c r="C279" s="30"/>
      <c r="D279" s="44"/>
      <c r="E279" s="30" t="s">
        <v>1</v>
      </c>
      <c r="F279" s="71"/>
      <c r="G279" s="66"/>
      <c r="H279" s="67"/>
      <c r="I279" s="67"/>
      <c r="J279" s="68"/>
      <c r="K279" s="71"/>
      <c r="L279" s="66"/>
      <c r="M279" s="67"/>
      <c r="N279" s="67"/>
      <c r="O279" s="68"/>
      <c r="P279" s="40"/>
      <c r="Q279" s="69"/>
      <c r="R279" s="178"/>
      <c r="S279" s="90"/>
      <c r="T279" s="70"/>
      <c r="U279" s="1"/>
      <c r="V279" s="1"/>
    </row>
    <row r="280" spans="1:22" ht="24.95" customHeight="1" x14ac:dyDescent="0.2">
      <c r="A280" s="1"/>
      <c r="B280" s="39">
        <f t="shared" si="3"/>
        <v>32</v>
      </c>
      <c r="C280" s="30"/>
      <c r="D280" s="44"/>
      <c r="E280" s="30" t="s">
        <v>1</v>
      </c>
      <c r="F280" s="71"/>
      <c r="G280" s="66"/>
      <c r="H280" s="67"/>
      <c r="I280" s="67"/>
      <c r="J280" s="68"/>
      <c r="K280" s="71"/>
      <c r="L280" s="66"/>
      <c r="M280" s="67"/>
      <c r="N280" s="67"/>
      <c r="O280" s="68"/>
      <c r="P280" s="40"/>
      <c r="Q280" s="69"/>
      <c r="R280" s="178"/>
      <c r="S280" s="90"/>
      <c r="T280" s="70"/>
      <c r="U280" s="1"/>
      <c r="V280" s="1"/>
    </row>
    <row r="281" spans="1:22" ht="24.95" customHeight="1" x14ac:dyDescent="0.2">
      <c r="A281" s="1"/>
      <c r="B281" s="39">
        <f t="shared" si="3"/>
        <v>33</v>
      </c>
      <c r="C281" s="30"/>
      <c r="D281" s="44"/>
      <c r="E281" s="30" t="s">
        <v>1</v>
      </c>
      <c r="F281" s="62"/>
      <c r="G281" s="65"/>
      <c r="H281" s="2"/>
      <c r="I281" s="2"/>
      <c r="J281" s="61"/>
      <c r="K281" s="62"/>
      <c r="L281" s="65"/>
      <c r="M281" s="2"/>
      <c r="N281" s="2"/>
      <c r="O281" s="61"/>
      <c r="P281" s="3"/>
      <c r="Q281" s="63"/>
      <c r="R281" s="36"/>
      <c r="S281" s="60"/>
      <c r="T281" s="64"/>
      <c r="U281" s="1"/>
      <c r="V281" s="1"/>
    </row>
    <row r="282" spans="1:22" ht="24.95" customHeight="1" x14ac:dyDescent="0.2">
      <c r="A282" s="1"/>
      <c r="B282" s="39">
        <f t="shared" si="3"/>
        <v>34</v>
      </c>
      <c r="C282" s="31"/>
      <c r="D282" s="100"/>
      <c r="E282" s="30" t="s">
        <v>1</v>
      </c>
      <c r="F282" s="57"/>
      <c r="G282" s="153"/>
      <c r="H282" s="5"/>
      <c r="I282" s="5"/>
      <c r="J282" s="56"/>
      <c r="K282" s="57"/>
      <c r="L282" s="153"/>
      <c r="M282" s="5"/>
      <c r="N282" s="5"/>
      <c r="O282" s="56"/>
      <c r="P282" s="4"/>
      <c r="Q282" s="58"/>
      <c r="R282" s="190"/>
      <c r="S282" s="191"/>
      <c r="T282" s="59"/>
      <c r="U282" s="1"/>
      <c r="V282" s="1"/>
    </row>
    <row r="283" spans="1:22" ht="24.95" customHeight="1" x14ac:dyDescent="0.2">
      <c r="A283" s="1"/>
      <c r="B283" s="39">
        <f t="shared" si="3"/>
        <v>35</v>
      </c>
      <c r="C283" s="31"/>
      <c r="D283" s="192"/>
      <c r="E283" s="30" t="s">
        <v>1</v>
      </c>
      <c r="F283" s="57"/>
      <c r="G283" s="153"/>
      <c r="H283" s="5"/>
      <c r="I283" s="5"/>
      <c r="J283" s="56"/>
      <c r="K283" s="57"/>
      <c r="L283" s="153"/>
      <c r="M283" s="5"/>
      <c r="N283" s="5"/>
      <c r="O283" s="56"/>
      <c r="P283" s="4"/>
      <c r="Q283" s="58"/>
      <c r="R283" s="190"/>
      <c r="S283" s="191"/>
      <c r="T283" s="59"/>
      <c r="U283" s="1"/>
      <c r="V283" s="1"/>
    </row>
    <row r="284" spans="1:22" ht="24.95" customHeight="1" x14ac:dyDescent="0.2">
      <c r="A284" s="1"/>
      <c r="B284" s="39">
        <f t="shared" si="3"/>
        <v>36</v>
      </c>
      <c r="C284" s="30"/>
      <c r="D284" s="193"/>
      <c r="E284" s="30" t="s">
        <v>1</v>
      </c>
      <c r="F284" s="62"/>
      <c r="G284" s="65"/>
      <c r="H284" s="2"/>
      <c r="I284" s="2"/>
      <c r="J284" s="61"/>
      <c r="K284" s="62"/>
      <c r="L284" s="65"/>
      <c r="M284" s="2"/>
      <c r="N284" s="2"/>
      <c r="O284" s="61"/>
      <c r="P284" s="3"/>
      <c r="Q284" s="63"/>
      <c r="R284" s="188"/>
      <c r="S284" s="189"/>
      <c r="T284" s="64"/>
      <c r="U284" s="1"/>
      <c r="V284" s="1"/>
    </row>
    <row r="285" spans="1:22" ht="24.95" customHeight="1" x14ac:dyDescent="0.2">
      <c r="A285" s="1"/>
      <c r="B285" s="39">
        <f t="shared" si="3"/>
        <v>37</v>
      </c>
      <c r="C285" s="30"/>
      <c r="D285" s="193"/>
      <c r="E285" s="30" t="s">
        <v>1</v>
      </c>
      <c r="F285" s="62"/>
      <c r="G285" s="65"/>
      <c r="H285" s="2"/>
      <c r="I285" s="2"/>
      <c r="J285" s="61"/>
      <c r="K285" s="62"/>
      <c r="L285" s="65"/>
      <c r="M285" s="2"/>
      <c r="N285" s="2"/>
      <c r="O285" s="61"/>
      <c r="P285" s="3"/>
      <c r="Q285" s="63"/>
      <c r="R285" s="188"/>
      <c r="S285" s="189"/>
      <c r="T285" s="64"/>
      <c r="U285" s="1"/>
      <c r="V285" s="1"/>
    </row>
    <row r="286" spans="1:22" ht="24.95" customHeight="1" thickBot="1" x14ac:dyDescent="0.25">
      <c r="A286" s="1"/>
      <c r="B286" s="41"/>
      <c r="C286" s="53"/>
      <c r="D286" s="127"/>
      <c r="E286" s="174"/>
      <c r="F286" s="77"/>
      <c r="G286" s="74"/>
      <c r="H286" s="75"/>
      <c r="I286" s="75"/>
      <c r="J286" s="76"/>
      <c r="K286" s="77"/>
      <c r="L286" s="74"/>
      <c r="M286" s="75"/>
      <c r="N286" s="75"/>
      <c r="O286" s="76"/>
      <c r="P286" s="75"/>
      <c r="Q286" s="78"/>
      <c r="R286" s="78"/>
      <c r="S286" s="78"/>
      <c r="T286" s="76"/>
      <c r="U286" s="1"/>
      <c r="V286" s="1"/>
    </row>
    <row r="287" spans="1:22" ht="18.95" customHeight="1" x14ac:dyDescent="0.2">
      <c r="A287" s="1"/>
      <c r="B287" s="37"/>
      <c r="C287" s="37"/>
      <c r="D287" s="1"/>
      <c r="E287" s="194"/>
      <c r="F287" s="88"/>
      <c r="G287" s="88"/>
      <c r="H287" s="37"/>
      <c r="I287" s="37"/>
      <c r="J287" s="37"/>
      <c r="K287" s="88"/>
      <c r="L287" s="88"/>
      <c r="M287" s="37"/>
      <c r="N287" s="37"/>
      <c r="O287" s="37"/>
      <c r="P287" s="37"/>
      <c r="Q287" s="37"/>
      <c r="R287" s="37"/>
      <c r="S287" s="37"/>
      <c r="T287" s="37"/>
      <c r="U287" s="1"/>
      <c r="V287" s="1"/>
    </row>
    <row r="288" spans="1:22" ht="18.95" customHeight="1" thickBot="1" x14ac:dyDescent="0.25">
      <c r="A288" s="1"/>
      <c r="B288" s="37"/>
      <c r="C288" s="37"/>
      <c r="D288" s="1"/>
      <c r="E288" s="194"/>
      <c r="F288" s="88"/>
      <c r="G288" s="88"/>
      <c r="H288" s="37"/>
      <c r="I288" s="37"/>
      <c r="J288" s="37"/>
      <c r="K288" s="88"/>
      <c r="L288" s="88"/>
      <c r="M288" s="37"/>
      <c r="N288" s="37"/>
      <c r="O288" s="37"/>
      <c r="P288" s="37"/>
      <c r="Q288" s="37"/>
      <c r="R288" s="37"/>
      <c r="S288" s="37"/>
      <c r="T288" s="37"/>
      <c r="U288" s="1"/>
      <c r="V288" s="1"/>
    </row>
    <row r="289" spans="1:22" ht="18.95" customHeight="1" x14ac:dyDescent="0.2">
      <c r="A289" s="1"/>
      <c r="B289" s="255"/>
      <c r="C289" s="256"/>
      <c r="D289" s="259" t="s">
        <v>3</v>
      </c>
      <c r="E289" s="260"/>
      <c r="F289" s="260"/>
      <c r="G289" s="260"/>
      <c r="H289" s="260"/>
      <c r="I289" s="260"/>
      <c r="J289" s="260"/>
      <c r="K289" s="260"/>
      <c r="L289" s="260"/>
      <c r="M289" s="260"/>
      <c r="N289" s="260"/>
      <c r="O289" s="260"/>
      <c r="P289" s="260"/>
      <c r="Q289" s="260"/>
      <c r="R289" s="260"/>
      <c r="S289" s="260"/>
      <c r="T289" s="261"/>
      <c r="U289" s="1"/>
      <c r="V289" s="1"/>
    </row>
    <row r="290" spans="1:22" ht="18.95" customHeight="1" x14ac:dyDescent="0.2">
      <c r="A290" s="1"/>
      <c r="B290" s="257"/>
      <c r="C290" s="258"/>
      <c r="D290" s="262" t="s">
        <v>4</v>
      </c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4"/>
      <c r="U290" s="1"/>
      <c r="V290" s="1"/>
    </row>
    <row r="291" spans="1:22" ht="18.95" customHeight="1" thickBot="1" x14ac:dyDescent="0.25">
      <c r="A291" s="1"/>
      <c r="B291" s="257"/>
      <c r="C291" s="258"/>
      <c r="D291" s="265" t="s">
        <v>547</v>
      </c>
      <c r="E291" s="266"/>
      <c r="F291" s="266"/>
      <c r="G291" s="266"/>
      <c r="H291" s="266"/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7"/>
      <c r="U291" s="1"/>
      <c r="V291" s="1"/>
    </row>
    <row r="292" spans="1:22" ht="18.95" customHeight="1" thickBot="1" x14ac:dyDescent="0.25">
      <c r="A292" s="1"/>
      <c r="B292" s="268"/>
      <c r="C292" s="269"/>
      <c r="D292" s="25" t="s">
        <v>566</v>
      </c>
      <c r="E292" s="26"/>
      <c r="F292" s="27" t="s">
        <v>797</v>
      </c>
      <c r="G292" s="27"/>
      <c r="H292" s="27"/>
      <c r="I292" s="28"/>
      <c r="J292" s="28"/>
      <c r="K292" s="27"/>
      <c r="L292" s="27"/>
      <c r="M292" s="27"/>
      <c r="N292" s="27"/>
      <c r="O292" s="27"/>
      <c r="P292" s="27"/>
      <c r="Q292" s="27"/>
      <c r="R292" s="27"/>
      <c r="S292" s="27"/>
      <c r="T292" s="123"/>
      <c r="U292" s="1"/>
      <c r="V292" s="1"/>
    </row>
    <row r="293" spans="1:22" ht="18.95" customHeight="1" thickBot="1" x14ac:dyDescent="0.25">
      <c r="A293" s="1"/>
      <c r="B293" s="271" t="s">
        <v>6</v>
      </c>
      <c r="C293" s="278"/>
      <c r="D293" s="277" t="s">
        <v>7</v>
      </c>
      <c r="E293" s="273" t="s">
        <v>12</v>
      </c>
      <c r="F293" s="268"/>
      <c r="G293" s="277"/>
      <c r="H293" s="277"/>
      <c r="I293" s="277"/>
      <c r="J293" s="269"/>
      <c r="K293" s="268"/>
      <c r="L293" s="277"/>
      <c r="M293" s="277"/>
      <c r="N293" s="277"/>
      <c r="O293" s="269"/>
      <c r="P293" s="272"/>
      <c r="Q293" s="277"/>
      <c r="R293" s="277"/>
      <c r="S293" s="277"/>
      <c r="T293" s="269"/>
      <c r="U293" s="1"/>
      <c r="V293" s="1"/>
    </row>
    <row r="294" spans="1:22" ht="18.95" customHeight="1" thickBot="1" x14ac:dyDescent="0.25">
      <c r="A294" s="1"/>
      <c r="B294" s="42" t="s">
        <v>10</v>
      </c>
      <c r="C294" s="29" t="s">
        <v>9</v>
      </c>
      <c r="D294" s="277"/>
      <c r="E294" s="274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1"/>
      <c r="V294" s="1"/>
    </row>
    <row r="295" spans="1:22" ht="24.95" customHeight="1" x14ac:dyDescent="0.2">
      <c r="A295" s="1"/>
      <c r="B295" s="32">
        <v>1</v>
      </c>
      <c r="C295" s="31">
        <v>16547</v>
      </c>
      <c r="D295" s="44" t="s">
        <v>729</v>
      </c>
      <c r="E295" s="30" t="s">
        <v>1</v>
      </c>
      <c r="F295" s="62"/>
      <c r="G295" s="79"/>
      <c r="H295" s="80"/>
      <c r="I295" s="2"/>
      <c r="J295" s="61"/>
      <c r="K295" s="62"/>
      <c r="L295" s="79"/>
      <c r="M295" s="80"/>
      <c r="N295" s="2"/>
      <c r="O295" s="61"/>
      <c r="P295" s="81"/>
      <c r="Q295" s="82"/>
      <c r="R295" s="36"/>
      <c r="S295" s="60"/>
      <c r="T295" s="83"/>
      <c r="U295" s="1"/>
      <c r="V295" s="1"/>
    </row>
    <row r="296" spans="1:22" ht="24.95" customHeight="1" x14ac:dyDescent="0.2">
      <c r="A296" s="1"/>
      <c r="B296" s="30">
        <v>2</v>
      </c>
      <c r="C296" s="224">
        <v>16548</v>
      </c>
      <c r="D296" s="225" t="s">
        <v>730</v>
      </c>
      <c r="E296" s="224" t="s">
        <v>1</v>
      </c>
      <c r="F296" s="235"/>
      <c r="G296" s="236"/>
      <c r="H296" s="237"/>
      <c r="I296" s="237"/>
      <c r="J296" s="238"/>
      <c r="K296" s="235"/>
      <c r="L296" s="236"/>
      <c r="M296" s="237"/>
      <c r="N296" s="237"/>
      <c r="O296" s="238"/>
      <c r="P296" s="239"/>
      <c r="Q296" s="240"/>
      <c r="R296" s="241"/>
      <c r="S296" s="236"/>
      <c r="T296" s="242"/>
      <c r="U296" s="1"/>
      <c r="V296" s="1"/>
    </row>
    <row r="297" spans="1:22" ht="24.95" customHeight="1" x14ac:dyDescent="0.2">
      <c r="A297" s="1"/>
      <c r="B297" s="30">
        <v>3</v>
      </c>
      <c r="C297" s="30">
        <v>16549</v>
      </c>
      <c r="D297" s="44" t="s">
        <v>731</v>
      </c>
      <c r="E297" s="30" t="s">
        <v>1</v>
      </c>
      <c r="F297" s="62"/>
      <c r="G297" s="60"/>
      <c r="H297" s="2"/>
      <c r="I297" s="2"/>
      <c r="J297" s="61"/>
      <c r="K297" s="62"/>
      <c r="L297" s="60"/>
      <c r="M297" s="2"/>
      <c r="N297" s="2"/>
      <c r="O297" s="61"/>
      <c r="P297" s="3"/>
      <c r="Q297" s="63"/>
      <c r="R297" s="36"/>
      <c r="S297" s="60"/>
      <c r="T297" s="64"/>
      <c r="U297" s="1"/>
      <c r="V297" s="1"/>
    </row>
    <row r="298" spans="1:22" ht="24.95" customHeight="1" x14ac:dyDescent="0.2">
      <c r="A298" s="1"/>
      <c r="B298" s="30">
        <v>4</v>
      </c>
      <c r="C298" s="30">
        <v>16550</v>
      </c>
      <c r="D298" s="44" t="s">
        <v>732</v>
      </c>
      <c r="E298" s="30" t="s">
        <v>1</v>
      </c>
      <c r="F298" s="62"/>
      <c r="G298" s="60"/>
      <c r="H298" s="2"/>
      <c r="I298" s="2"/>
      <c r="J298" s="61"/>
      <c r="K298" s="62"/>
      <c r="L298" s="60"/>
      <c r="M298" s="2"/>
      <c r="N298" s="2"/>
      <c r="O298" s="61"/>
      <c r="P298" s="3"/>
      <c r="Q298" s="63"/>
      <c r="R298" s="36"/>
      <c r="S298" s="60"/>
      <c r="T298" s="64"/>
      <c r="U298" s="1"/>
      <c r="V298" s="1"/>
    </row>
    <row r="299" spans="1:22" ht="24.95" customHeight="1" x14ac:dyDescent="0.2">
      <c r="A299" s="1"/>
      <c r="B299" s="30">
        <v>5</v>
      </c>
      <c r="C299" s="30">
        <v>16551</v>
      </c>
      <c r="D299" s="44" t="s">
        <v>733</v>
      </c>
      <c r="E299" s="30" t="s">
        <v>1</v>
      </c>
      <c r="F299" s="62"/>
      <c r="G299" s="60"/>
      <c r="H299" s="2"/>
      <c r="I299" s="2"/>
      <c r="J299" s="61"/>
      <c r="K299" s="62"/>
      <c r="L299" s="60"/>
      <c r="M299" s="2"/>
      <c r="N299" s="2"/>
      <c r="O299" s="61"/>
      <c r="P299" s="3"/>
      <c r="Q299" s="63"/>
      <c r="R299" s="36"/>
      <c r="S299" s="60"/>
      <c r="T299" s="64"/>
      <c r="U299" s="1"/>
      <c r="V299" s="1"/>
    </row>
    <row r="300" spans="1:22" ht="24.95" customHeight="1" x14ac:dyDescent="0.2">
      <c r="A300" s="1"/>
      <c r="B300" s="30">
        <v>6</v>
      </c>
      <c r="C300" s="30">
        <v>16552</v>
      </c>
      <c r="D300" s="44" t="s">
        <v>734</v>
      </c>
      <c r="E300" s="30" t="s">
        <v>1</v>
      </c>
      <c r="F300" s="62"/>
      <c r="G300" s="60"/>
      <c r="H300" s="2"/>
      <c r="I300" s="2"/>
      <c r="J300" s="61"/>
      <c r="K300" s="62"/>
      <c r="L300" s="60"/>
      <c r="M300" s="2"/>
      <c r="N300" s="2"/>
      <c r="O300" s="61"/>
      <c r="P300" s="3"/>
      <c r="Q300" s="63"/>
      <c r="R300" s="36"/>
      <c r="S300" s="60"/>
      <c r="T300" s="64"/>
      <c r="U300" s="1"/>
      <c r="V300" s="1"/>
    </row>
    <row r="301" spans="1:22" ht="24.95" customHeight="1" x14ac:dyDescent="0.2">
      <c r="A301" s="1"/>
      <c r="B301" s="30">
        <v>7</v>
      </c>
      <c r="C301" s="224">
        <v>16553</v>
      </c>
      <c r="D301" s="225" t="s">
        <v>735</v>
      </c>
      <c r="E301" s="224" t="s">
        <v>1</v>
      </c>
      <c r="F301" s="235"/>
      <c r="G301" s="236"/>
      <c r="H301" s="237"/>
      <c r="I301" s="237"/>
      <c r="J301" s="238"/>
      <c r="K301" s="235"/>
      <c r="L301" s="236"/>
      <c r="M301" s="237"/>
      <c r="N301" s="237"/>
      <c r="O301" s="238"/>
      <c r="P301" s="239"/>
      <c r="Q301" s="240"/>
      <c r="R301" s="241"/>
      <c r="S301" s="236"/>
      <c r="T301" s="242"/>
      <c r="U301" s="1"/>
      <c r="V301" s="1"/>
    </row>
    <row r="302" spans="1:22" ht="24.95" customHeight="1" x14ac:dyDescent="0.2">
      <c r="A302" s="1"/>
      <c r="B302" s="30">
        <v>8</v>
      </c>
      <c r="C302" s="224">
        <v>16554</v>
      </c>
      <c r="D302" s="225" t="s">
        <v>736</v>
      </c>
      <c r="E302" s="224" t="s">
        <v>1</v>
      </c>
      <c r="F302" s="235"/>
      <c r="G302" s="236"/>
      <c r="H302" s="237"/>
      <c r="I302" s="237"/>
      <c r="J302" s="238"/>
      <c r="K302" s="235"/>
      <c r="L302" s="236"/>
      <c r="M302" s="237"/>
      <c r="N302" s="237"/>
      <c r="O302" s="238"/>
      <c r="P302" s="239"/>
      <c r="Q302" s="240"/>
      <c r="R302" s="241"/>
      <c r="S302" s="236"/>
      <c r="T302" s="242"/>
      <c r="U302" s="1"/>
      <c r="V302" s="1"/>
    </row>
    <row r="303" spans="1:22" ht="24.95" customHeight="1" x14ac:dyDescent="0.2">
      <c r="A303" s="1"/>
      <c r="B303" s="30">
        <v>9</v>
      </c>
      <c r="C303" s="224">
        <v>16555</v>
      </c>
      <c r="D303" s="225" t="s">
        <v>737</v>
      </c>
      <c r="E303" s="224" t="s">
        <v>1</v>
      </c>
      <c r="F303" s="235"/>
      <c r="G303" s="236"/>
      <c r="H303" s="237"/>
      <c r="I303" s="237"/>
      <c r="J303" s="238"/>
      <c r="K303" s="235"/>
      <c r="L303" s="236"/>
      <c r="M303" s="237"/>
      <c r="N303" s="237"/>
      <c r="O303" s="238"/>
      <c r="P303" s="239"/>
      <c r="Q303" s="240"/>
      <c r="R303" s="241"/>
      <c r="S303" s="236"/>
      <c r="T303" s="242"/>
      <c r="U303" s="1"/>
      <c r="V303" s="1"/>
    </row>
    <row r="304" spans="1:22" ht="24.95" customHeight="1" x14ac:dyDescent="0.2">
      <c r="A304" s="1"/>
      <c r="B304" s="30">
        <v>10</v>
      </c>
      <c r="C304" s="224">
        <v>16556</v>
      </c>
      <c r="D304" s="225" t="s">
        <v>738</v>
      </c>
      <c r="E304" s="224" t="s">
        <v>1</v>
      </c>
      <c r="F304" s="235"/>
      <c r="G304" s="236"/>
      <c r="H304" s="237"/>
      <c r="I304" s="237"/>
      <c r="J304" s="238"/>
      <c r="K304" s="235"/>
      <c r="L304" s="236"/>
      <c r="M304" s="237"/>
      <c r="N304" s="237"/>
      <c r="O304" s="238"/>
      <c r="P304" s="239"/>
      <c r="Q304" s="240"/>
      <c r="R304" s="241"/>
      <c r="S304" s="236"/>
      <c r="T304" s="242"/>
      <c r="U304" s="1"/>
      <c r="V304" s="1"/>
    </row>
    <row r="305" spans="1:22" ht="24.95" customHeight="1" x14ac:dyDescent="0.2">
      <c r="A305" s="1"/>
      <c r="B305" s="30">
        <v>11</v>
      </c>
      <c r="C305" s="224">
        <v>16557</v>
      </c>
      <c r="D305" s="225" t="s">
        <v>739</v>
      </c>
      <c r="E305" s="224" t="s">
        <v>1</v>
      </c>
      <c r="F305" s="235"/>
      <c r="G305" s="236"/>
      <c r="H305" s="237"/>
      <c r="I305" s="237"/>
      <c r="J305" s="238"/>
      <c r="K305" s="235"/>
      <c r="L305" s="236"/>
      <c r="M305" s="237"/>
      <c r="N305" s="237"/>
      <c r="O305" s="238"/>
      <c r="P305" s="239"/>
      <c r="Q305" s="240"/>
      <c r="R305" s="244"/>
      <c r="S305" s="245"/>
      <c r="T305" s="242"/>
      <c r="U305" s="1"/>
      <c r="V305" s="1"/>
    </row>
    <row r="306" spans="1:22" ht="24.95" customHeight="1" x14ac:dyDescent="0.2">
      <c r="A306" s="1"/>
      <c r="B306" s="30">
        <v>12</v>
      </c>
      <c r="C306" s="224">
        <v>16558</v>
      </c>
      <c r="D306" s="225" t="s">
        <v>740</v>
      </c>
      <c r="E306" s="224" t="s">
        <v>1</v>
      </c>
      <c r="F306" s="235"/>
      <c r="G306" s="236"/>
      <c r="H306" s="237"/>
      <c r="I306" s="237"/>
      <c r="J306" s="238"/>
      <c r="K306" s="235"/>
      <c r="L306" s="236"/>
      <c r="M306" s="237"/>
      <c r="N306" s="237"/>
      <c r="O306" s="238"/>
      <c r="P306" s="239"/>
      <c r="Q306" s="240"/>
      <c r="R306" s="241"/>
      <c r="S306" s="236"/>
      <c r="T306" s="242"/>
      <c r="U306" s="1"/>
      <c r="V306" s="1"/>
    </row>
    <row r="307" spans="1:22" ht="24.95" customHeight="1" x14ac:dyDescent="0.2">
      <c r="A307" s="1"/>
      <c r="B307" s="30">
        <v>13</v>
      </c>
      <c r="C307" s="30">
        <v>16559</v>
      </c>
      <c r="D307" s="44" t="s">
        <v>741</v>
      </c>
      <c r="E307" s="30" t="s">
        <v>1</v>
      </c>
      <c r="F307" s="62"/>
      <c r="G307" s="60"/>
      <c r="H307" s="2"/>
      <c r="I307" s="2"/>
      <c r="J307" s="61"/>
      <c r="K307" s="62"/>
      <c r="L307" s="60"/>
      <c r="M307" s="2"/>
      <c r="N307" s="2"/>
      <c r="O307" s="61"/>
      <c r="P307" s="3"/>
      <c r="Q307" s="63"/>
      <c r="R307" s="36"/>
      <c r="S307" s="60"/>
      <c r="T307" s="64"/>
      <c r="U307" s="1"/>
      <c r="V307" s="1"/>
    </row>
    <row r="308" spans="1:22" ht="24.95" customHeight="1" x14ac:dyDescent="0.2">
      <c r="A308" s="1"/>
      <c r="B308" s="30">
        <v>14</v>
      </c>
      <c r="C308" s="30">
        <v>16560</v>
      </c>
      <c r="D308" s="44" t="s">
        <v>742</v>
      </c>
      <c r="E308" s="30" t="s">
        <v>1</v>
      </c>
      <c r="F308" s="62"/>
      <c r="G308" s="60"/>
      <c r="H308" s="2"/>
      <c r="I308" s="2"/>
      <c r="J308" s="61"/>
      <c r="K308" s="62"/>
      <c r="L308" s="60"/>
      <c r="M308" s="2"/>
      <c r="N308" s="2"/>
      <c r="O308" s="61"/>
      <c r="P308" s="3"/>
      <c r="Q308" s="63"/>
      <c r="R308" s="36"/>
      <c r="S308" s="60"/>
      <c r="T308" s="64"/>
      <c r="U308" s="1"/>
      <c r="V308" s="1"/>
    </row>
    <row r="309" spans="1:22" ht="24.95" customHeight="1" x14ac:dyDescent="0.2">
      <c r="A309" s="1"/>
      <c r="B309" s="30">
        <v>15</v>
      </c>
      <c r="C309" s="30">
        <v>16561</v>
      </c>
      <c r="D309" s="44" t="s">
        <v>743</v>
      </c>
      <c r="E309" s="30" t="s">
        <v>1</v>
      </c>
      <c r="F309" s="62"/>
      <c r="G309" s="60"/>
      <c r="H309" s="2"/>
      <c r="I309" s="2"/>
      <c r="J309" s="61"/>
      <c r="K309" s="62"/>
      <c r="L309" s="60"/>
      <c r="M309" s="2"/>
      <c r="N309" s="2"/>
      <c r="O309" s="61"/>
      <c r="P309" s="3"/>
      <c r="Q309" s="63"/>
      <c r="R309" s="36"/>
      <c r="S309" s="60"/>
      <c r="T309" s="64"/>
      <c r="U309" s="1"/>
      <c r="V309" s="1"/>
    </row>
    <row r="310" spans="1:22" ht="24.95" customHeight="1" x14ac:dyDescent="0.2">
      <c r="A310" s="1"/>
      <c r="B310" s="30">
        <v>16</v>
      </c>
      <c r="C310" s="30">
        <v>16562</v>
      </c>
      <c r="D310" s="44" t="s">
        <v>744</v>
      </c>
      <c r="E310" s="30" t="s">
        <v>1</v>
      </c>
      <c r="F310" s="62"/>
      <c r="G310" s="60"/>
      <c r="H310" s="2"/>
      <c r="I310" s="2"/>
      <c r="J310" s="61"/>
      <c r="K310" s="62"/>
      <c r="L310" s="60"/>
      <c r="M310" s="2"/>
      <c r="N310" s="2"/>
      <c r="O310" s="61"/>
      <c r="P310" s="3"/>
      <c r="Q310" s="63"/>
      <c r="R310" s="36"/>
      <c r="S310" s="60"/>
      <c r="T310" s="64"/>
      <c r="U310" s="1"/>
      <c r="V310" s="1"/>
    </row>
    <row r="311" spans="1:22" ht="24.95" customHeight="1" x14ac:dyDescent="0.2">
      <c r="A311" s="1"/>
      <c r="B311" s="30">
        <v>17</v>
      </c>
      <c r="C311" s="30">
        <v>16563</v>
      </c>
      <c r="D311" s="44" t="s">
        <v>745</v>
      </c>
      <c r="E311" s="30" t="s">
        <v>1</v>
      </c>
      <c r="F311" s="62"/>
      <c r="G311" s="60"/>
      <c r="H311" s="2"/>
      <c r="I311" s="2"/>
      <c r="J311" s="61"/>
      <c r="K311" s="62"/>
      <c r="L311" s="60"/>
      <c r="M311" s="2"/>
      <c r="N311" s="2"/>
      <c r="O311" s="61"/>
      <c r="P311" s="3"/>
      <c r="Q311" s="63"/>
      <c r="R311" s="36"/>
      <c r="S311" s="60"/>
      <c r="T311" s="64"/>
      <c r="U311" s="1"/>
      <c r="V311" s="1"/>
    </row>
    <row r="312" spans="1:22" ht="24.95" customHeight="1" x14ac:dyDescent="0.2">
      <c r="A312" s="1"/>
      <c r="B312" s="30">
        <v>18</v>
      </c>
      <c r="C312" s="30">
        <v>16564</v>
      </c>
      <c r="D312" s="44" t="s">
        <v>746</v>
      </c>
      <c r="E312" s="30" t="s">
        <v>1</v>
      </c>
      <c r="F312" s="62"/>
      <c r="G312" s="65"/>
      <c r="H312" s="2"/>
      <c r="I312" s="2"/>
      <c r="J312" s="61"/>
      <c r="K312" s="62"/>
      <c r="L312" s="65"/>
      <c r="M312" s="2"/>
      <c r="N312" s="2"/>
      <c r="O312" s="61"/>
      <c r="P312" s="3"/>
      <c r="Q312" s="63"/>
      <c r="R312" s="93"/>
      <c r="S312" s="55"/>
      <c r="T312" s="64"/>
      <c r="U312" s="1"/>
      <c r="V312" s="1"/>
    </row>
    <row r="313" spans="1:22" ht="24.95" customHeight="1" x14ac:dyDescent="0.2">
      <c r="A313" s="1"/>
      <c r="B313" s="30">
        <v>19</v>
      </c>
      <c r="C313" s="30">
        <v>16565</v>
      </c>
      <c r="D313" s="44" t="s">
        <v>747</v>
      </c>
      <c r="E313" s="30" t="s">
        <v>1</v>
      </c>
      <c r="F313" s="62"/>
      <c r="G313" s="65"/>
      <c r="H313" s="2"/>
      <c r="I313" s="2"/>
      <c r="J313" s="61"/>
      <c r="K313" s="62"/>
      <c r="L313" s="65"/>
      <c r="M313" s="2"/>
      <c r="N313" s="2"/>
      <c r="O313" s="61"/>
      <c r="P313" s="3"/>
      <c r="Q313" s="63"/>
      <c r="R313" s="93"/>
      <c r="S313" s="55"/>
      <c r="T313" s="64"/>
      <c r="U313" s="1"/>
      <c r="V313" s="1"/>
    </row>
    <row r="314" spans="1:22" ht="24.95" customHeight="1" x14ac:dyDescent="0.2">
      <c r="A314" s="1"/>
      <c r="B314" s="30">
        <v>20</v>
      </c>
      <c r="C314" s="30">
        <v>16566</v>
      </c>
      <c r="D314" s="44" t="s">
        <v>748</v>
      </c>
      <c r="E314" s="30" t="s">
        <v>1</v>
      </c>
      <c r="F314" s="62"/>
      <c r="G314" s="60"/>
      <c r="H314" s="2"/>
      <c r="I314" s="2"/>
      <c r="J314" s="61"/>
      <c r="K314" s="62"/>
      <c r="L314" s="60"/>
      <c r="M314" s="2"/>
      <c r="N314" s="2"/>
      <c r="O314" s="61"/>
      <c r="P314" s="3"/>
      <c r="Q314" s="63"/>
      <c r="R314" s="36"/>
      <c r="S314" s="60"/>
      <c r="T314" s="64"/>
      <c r="U314" s="1"/>
      <c r="V314" s="1"/>
    </row>
    <row r="315" spans="1:22" ht="24.95" customHeight="1" x14ac:dyDescent="0.2">
      <c r="A315" s="1"/>
      <c r="B315" s="30">
        <v>21</v>
      </c>
      <c r="C315" s="30">
        <v>16567</v>
      </c>
      <c r="D315" s="44" t="s">
        <v>749</v>
      </c>
      <c r="E315" s="224" t="s">
        <v>1</v>
      </c>
      <c r="F315" s="235"/>
      <c r="G315" s="243"/>
      <c r="H315" s="237"/>
      <c r="I315" s="237"/>
      <c r="J315" s="238"/>
      <c r="K315" s="235"/>
      <c r="L315" s="243"/>
      <c r="M315" s="237"/>
      <c r="N315" s="237"/>
      <c r="O315" s="238"/>
      <c r="P315" s="239"/>
      <c r="Q315" s="240"/>
      <c r="R315" s="241"/>
      <c r="S315" s="236"/>
      <c r="T315" s="242"/>
      <c r="U315" s="1"/>
      <c r="V315" s="1"/>
    </row>
    <row r="316" spans="1:22" ht="24.95" customHeight="1" x14ac:dyDescent="0.2">
      <c r="A316" s="1"/>
      <c r="B316" s="30">
        <v>22</v>
      </c>
      <c r="C316" s="30">
        <v>16568</v>
      </c>
      <c r="D316" s="44" t="s">
        <v>750</v>
      </c>
      <c r="E316" s="224" t="s">
        <v>1</v>
      </c>
      <c r="F316" s="235"/>
      <c r="G316" s="227"/>
      <c r="H316" s="228"/>
      <c r="I316" s="228"/>
      <c r="J316" s="229"/>
      <c r="K316" s="235"/>
      <c r="L316" s="227"/>
      <c r="M316" s="228"/>
      <c r="N316" s="228"/>
      <c r="O316" s="229"/>
      <c r="P316" s="230"/>
      <c r="Q316" s="231"/>
      <c r="R316" s="232"/>
      <c r="S316" s="233"/>
      <c r="T316" s="234"/>
      <c r="U316" s="1"/>
      <c r="V316" s="1"/>
    </row>
    <row r="317" spans="1:22" ht="24.95" customHeight="1" x14ac:dyDescent="0.2">
      <c r="A317" s="1"/>
      <c r="B317" s="30">
        <v>23</v>
      </c>
      <c r="C317" s="30">
        <v>16569</v>
      </c>
      <c r="D317" s="44" t="s">
        <v>751</v>
      </c>
      <c r="E317" s="224" t="s">
        <v>1</v>
      </c>
      <c r="F317" s="235"/>
      <c r="G317" s="227"/>
      <c r="H317" s="228"/>
      <c r="I317" s="228"/>
      <c r="J317" s="229"/>
      <c r="K317" s="235"/>
      <c r="L317" s="227"/>
      <c r="M317" s="228"/>
      <c r="N317" s="228"/>
      <c r="O317" s="229"/>
      <c r="P317" s="230"/>
      <c r="Q317" s="231"/>
      <c r="R317" s="232"/>
      <c r="S317" s="233"/>
      <c r="T317" s="234"/>
      <c r="U317" s="1"/>
      <c r="V317" s="1"/>
    </row>
    <row r="318" spans="1:22" ht="24.95" customHeight="1" x14ac:dyDescent="0.2">
      <c r="A318" s="1"/>
      <c r="B318" s="30">
        <v>24</v>
      </c>
      <c r="C318" s="224">
        <v>16570</v>
      </c>
      <c r="D318" s="225" t="s">
        <v>752</v>
      </c>
      <c r="E318" s="224" t="s">
        <v>1</v>
      </c>
      <c r="F318" s="235"/>
      <c r="G318" s="227"/>
      <c r="H318" s="228"/>
      <c r="I318" s="228"/>
      <c r="J318" s="229"/>
      <c r="K318" s="235"/>
      <c r="L318" s="227"/>
      <c r="M318" s="228"/>
      <c r="N318" s="228"/>
      <c r="O318" s="229"/>
      <c r="P318" s="230"/>
      <c r="Q318" s="231"/>
      <c r="R318" s="232"/>
      <c r="S318" s="233"/>
      <c r="T318" s="234"/>
      <c r="U318" s="1"/>
      <c r="V318" s="1"/>
    </row>
    <row r="319" spans="1:22" ht="24.95" customHeight="1" x14ac:dyDescent="0.2">
      <c r="A319" s="1"/>
      <c r="B319" s="30">
        <v>25</v>
      </c>
      <c r="C319" s="224">
        <v>16571</v>
      </c>
      <c r="D319" s="225" t="s">
        <v>753</v>
      </c>
      <c r="E319" s="224" t="s">
        <v>1</v>
      </c>
      <c r="F319" s="235"/>
      <c r="G319" s="227"/>
      <c r="H319" s="228"/>
      <c r="I319" s="228"/>
      <c r="J319" s="229"/>
      <c r="K319" s="235"/>
      <c r="L319" s="227"/>
      <c r="M319" s="228"/>
      <c r="N319" s="228"/>
      <c r="O319" s="229"/>
      <c r="P319" s="230"/>
      <c r="Q319" s="231"/>
      <c r="R319" s="232"/>
      <c r="S319" s="233"/>
      <c r="T319" s="234"/>
      <c r="U319" s="1"/>
      <c r="V319" s="1"/>
    </row>
    <row r="320" spans="1:22" ht="24.95" customHeight="1" x14ac:dyDescent="0.2">
      <c r="A320" s="1"/>
      <c r="B320" s="30">
        <v>26</v>
      </c>
      <c r="C320" s="224">
        <v>16572</v>
      </c>
      <c r="D320" s="225" t="s">
        <v>754</v>
      </c>
      <c r="E320" s="30" t="s">
        <v>1</v>
      </c>
      <c r="F320" s="62"/>
      <c r="G320" s="66"/>
      <c r="H320" s="67"/>
      <c r="I320" s="67"/>
      <c r="J320" s="68"/>
      <c r="K320" s="62"/>
      <c r="L320" s="66"/>
      <c r="M320" s="67"/>
      <c r="N320" s="67"/>
      <c r="O320" s="68"/>
      <c r="P320" s="40"/>
      <c r="Q320" s="69"/>
      <c r="R320" s="178"/>
      <c r="S320" s="90"/>
      <c r="T320" s="70"/>
      <c r="U320" s="1"/>
      <c r="V320" s="1"/>
    </row>
    <row r="321" spans="1:22" ht="24.95" customHeight="1" x14ac:dyDescent="0.2">
      <c r="A321" s="1"/>
      <c r="B321" s="30">
        <v>27</v>
      </c>
      <c r="C321" s="224">
        <v>16573</v>
      </c>
      <c r="D321" s="225" t="s">
        <v>755</v>
      </c>
      <c r="E321" s="30" t="s">
        <v>1</v>
      </c>
      <c r="F321" s="62"/>
      <c r="G321" s="66"/>
      <c r="H321" s="67"/>
      <c r="I321" s="67"/>
      <c r="J321" s="68"/>
      <c r="K321" s="62"/>
      <c r="L321" s="66"/>
      <c r="M321" s="67"/>
      <c r="N321" s="67"/>
      <c r="O321" s="68"/>
      <c r="P321" s="40"/>
      <c r="Q321" s="69"/>
      <c r="R321" s="178"/>
      <c r="S321" s="90"/>
      <c r="T321" s="70"/>
      <c r="U321" s="1"/>
      <c r="V321" s="1"/>
    </row>
    <row r="322" spans="1:22" ht="24.95" customHeight="1" x14ac:dyDescent="0.2">
      <c r="A322" s="1"/>
      <c r="B322" s="30">
        <v>28</v>
      </c>
      <c r="C322" s="224">
        <v>16574</v>
      </c>
      <c r="D322" s="225" t="s">
        <v>756</v>
      </c>
      <c r="E322" s="30" t="s">
        <v>1</v>
      </c>
      <c r="F322" s="62"/>
      <c r="G322" s="66"/>
      <c r="H322" s="67"/>
      <c r="I322" s="67"/>
      <c r="J322" s="68"/>
      <c r="K322" s="62"/>
      <c r="L322" s="66"/>
      <c r="M322" s="67"/>
      <c r="N322" s="67"/>
      <c r="O322" s="68"/>
      <c r="P322" s="40"/>
      <c r="Q322" s="69"/>
      <c r="R322" s="178"/>
      <c r="S322" s="90"/>
      <c r="T322" s="70"/>
      <c r="U322" s="1"/>
      <c r="V322" s="1"/>
    </row>
    <row r="323" spans="1:22" ht="24.95" customHeight="1" x14ac:dyDescent="0.2">
      <c r="A323" s="1"/>
      <c r="B323" s="30">
        <v>29</v>
      </c>
      <c r="C323" s="30">
        <v>16575</v>
      </c>
      <c r="D323" s="44" t="s">
        <v>757</v>
      </c>
      <c r="E323" s="30" t="s">
        <v>1</v>
      </c>
      <c r="F323" s="62"/>
      <c r="G323" s="66"/>
      <c r="H323" s="67"/>
      <c r="I323" s="67"/>
      <c r="J323" s="68"/>
      <c r="K323" s="62"/>
      <c r="L323" s="66"/>
      <c r="M323" s="67"/>
      <c r="N323" s="67"/>
      <c r="O323" s="68"/>
      <c r="P323" s="40"/>
      <c r="Q323" s="69"/>
      <c r="R323" s="178"/>
      <c r="S323" s="90"/>
      <c r="T323" s="70"/>
      <c r="U323" s="1"/>
      <c r="V323" s="1"/>
    </row>
    <row r="324" spans="1:22" ht="24.95" customHeight="1" x14ac:dyDescent="0.2">
      <c r="A324" s="1"/>
      <c r="B324" s="30">
        <v>30</v>
      </c>
      <c r="C324" s="30">
        <v>16576</v>
      </c>
      <c r="D324" s="44" t="s">
        <v>758</v>
      </c>
      <c r="E324" s="30" t="s">
        <v>1</v>
      </c>
      <c r="F324" s="71"/>
      <c r="G324" s="66"/>
      <c r="H324" s="67"/>
      <c r="I324" s="67"/>
      <c r="J324" s="68"/>
      <c r="K324" s="71"/>
      <c r="L324" s="66"/>
      <c r="M324" s="67"/>
      <c r="N324" s="67"/>
      <c r="O324" s="68"/>
      <c r="P324" s="40"/>
      <c r="Q324" s="69"/>
      <c r="R324" s="178"/>
      <c r="S324" s="90"/>
      <c r="T324" s="70"/>
      <c r="U324" s="1"/>
      <c r="V324" s="1"/>
    </row>
    <row r="325" spans="1:22" ht="24.95" customHeight="1" x14ac:dyDescent="0.2">
      <c r="A325" s="1"/>
      <c r="B325" s="30">
        <v>31</v>
      </c>
      <c r="C325" s="30">
        <v>16577</v>
      </c>
      <c r="D325" s="44" t="s">
        <v>759</v>
      </c>
      <c r="E325" s="30" t="s">
        <v>1</v>
      </c>
      <c r="F325" s="71"/>
      <c r="G325" s="66"/>
      <c r="H325" s="67"/>
      <c r="I325" s="67"/>
      <c r="J325" s="68"/>
      <c r="K325" s="71"/>
      <c r="L325" s="66"/>
      <c r="M325" s="67"/>
      <c r="N325" s="67"/>
      <c r="O325" s="68"/>
      <c r="P325" s="40"/>
      <c r="Q325" s="69"/>
      <c r="R325" s="178"/>
      <c r="S325" s="90"/>
      <c r="T325" s="70"/>
      <c r="U325" s="1"/>
      <c r="V325" s="1"/>
    </row>
    <row r="326" spans="1:22" ht="24.95" customHeight="1" x14ac:dyDescent="0.2">
      <c r="A326" s="1"/>
      <c r="B326" s="30">
        <v>32</v>
      </c>
      <c r="C326" s="30">
        <v>16578</v>
      </c>
      <c r="D326" s="44" t="s">
        <v>760</v>
      </c>
      <c r="E326" s="30" t="s">
        <v>1</v>
      </c>
      <c r="F326" s="71"/>
      <c r="G326" s="66"/>
      <c r="H326" s="67"/>
      <c r="I326" s="67"/>
      <c r="J326" s="68"/>
      <c r="K326" s="71"/>
      <c r="L326" s="66"/>
      <c r="M326" s="67"/>
      <c r="N326" s="67"/>
      <c r="O326" s="68"/>
      <c r="P326" s="40"/>
      <c r="Q326" s="69"/>
      <c r="R326" s="178"/>
      <c r="S326" s="90"/>
      <c r="T326" s="70"/>
      <c r="U326" s="1"/>
      <c r="V326" s="1"/>
    </row>
    <row r="327" spans="1:22" ht="24.95" customHeight="1" x14ac:dyDescent="0.2">
      <c r="A327" s="1"/>
      <c r="B327" s="30">
        <v>33</v>
      </c>
      <c r="C327" s="30"/>
      <c r="D327" s="44"/>
      <c r="E327" s="30" t="s">
        <v>1</v>
      </c>
      <c r="F327" s="71"/>
      <c r="G327" s="66"/>
      <c r="H327" s="67"/>
      <c r="I327" s="67"/>
      <c r="J327" s="68"/>
      <c r="K327" s="71"/>
      <c r="L327" s="66"/>
      <c r="M327" s="67"/>
      <c r="N327" s="67"/>
      <c r="O327" s="68"/>
      <c r="P327" s="40"/>
      <c r="Q327" s="69"/>
      <c r="R327" s="178"/>
      <c r="S327" s="90"/>
      <c r="T327" s="70"/>
      <c r="U327" s="1"/>
      <c r="V327" s="1"/>
    </row>
    <row r="328" spans="1:22" ht="24.95" customHeight="1" x14ac:dyDescent="0.2">
      <c r="A328" s="1"/>
      <c r="B328" s="30">
        <v>34</v>
      </c>
      <c r="C328" s="30"/>
      <c r="D328" s="44"/>
      <c r="E328" s="30" t="s">
        <v>1</v>
      </c>
      <c r="F328" s="89"/>
      <c r="G328" s="90"/>
      <c r="H328" s="67"/>
      <c r="I328" s="67"/>
      <c r="J328" s="68"/>
      <c r="K328" s="89"/>
      <c r="L328" s="90"/>
      <c r="M328" s="67"/>
      <c r="N328" s="67"/>
      <c r="O328" s="68"/>
      <c r="P328" s="40"/>
      <c r="Q328" s="69"/>
      <c r="R328" s="178"/>
      <c r="S328" s="90"/>
      <c r="T328" s="70"/>
      <c r="U328" s="1"/>
      <c r="V328" s="1"/>
    </row>
    <row r="329" spans="1:22" ht="24.95" customHeight="1" x14ac:dyDescent="0.2">
      <c r="A329" s="1"/>
      <c r="B329" s="30">
        <v>35</v>
      </c>
      <c r="C329" s="30"/>
      <c r="D329" s="44"/>
      <c r="E329" s="30" t="s">
        <v>1</v>
      </c>
      <c r="F329" s="71"/>
      <c r="G329" s="66"/>
      <c r="H329" s="67"/>
      <c r="I329" s="67"/>
      <c r="J329" s="68"/>
      <c r="K329" s="71"/>
      <c r="L329" s="66"/>
      <c r="M329" s="67"/>
      <c r="N329" s="67"/>
      <c r="O329" s="68"/>
      <c r="P329" s="40"/>
      <c r="Q329" s="69"/>
      <c r="R329" s="178"/>
      <c r="S329" s="90"/>
      <c r="T329" s="70"/>
      <c r="U329" s="1"/>
      <c r="V329" s="1"/>
    </row>
    <row r="330" spans="1:22" ht="24.95" customHeight="1" x14ac:dyDescent="0.2">
      <c r="A330" s="1"/>
      <c r="B330" s="30">
        <v>36</v>
      </c>
      <c r="C330" s="30"/>
      <c r="D330" s="44"/>
      <c r="E330" s="30" t="s">
        <v>1</v>
      </c>
      <c r="F330" s="62"/>
      <c r="G330" s="65"/>
      <c r="H330" s="2"/>
      <c r="I330" s="2"/>
      <c r="J330" s="61"/>
      <c r="K330" s="62"/>
      <c r="L330" s="65"/>
      <c r="M330" s="2"/>
      <c r="N330" s="2"/>
      <c r="O330" s="61"/>
      <c r="P330" s="3"/>
      <c r="Q330" s="63"/>
      <c r="R330" s="36"/>
      <c r="S330" s="60"/>
      <c r="T330" s="64"/>
      <c r="U330" s="1"/>
      <c r="V330" s="1"/>
    </row>
    <row r="331" spans="1:22" ht="24.95" customHeight="1" x14ac:dyDescent="0.2">
      <c r="A331" s="1"/>
      <c r="B331" s="30">
        <v>37</v>
      </c>
      <c r="C331" s="30"/>
      <c r="D331" s="168"/>
      <c r="E331" s="30" t="s">
        <v>1</v>
      </c>
      <c r="F331" s="57"/>
      <c r="G331" s="153"/>
      <c r="H331" s="5"/>
      <c r="I331" s="5"/>
      <c r="J331" s="56"/>
      <c r="K331" s="57"/>
      <c r="L331" s="153"/>
      <c r="M331" s="5"/>
      <c r="N331" s="5"/>
      <c r="O331" s="56"/>
      <c r="P331" s="4"/>
      <c r="Q331" s="58"/>
      <c r="R331" s="190"/>
      <c r="S331" s="191"/>
      <c r="T331" s="59"/>
      <c r="U331" s="1"/>
      <c r="V331" s="1"/>
    </row>
    <row r="332" spans="1:22" ht="24.95" customHeight="1" thickBot="1" x14ac:dyDescent="0.25">
      <c r="A332" s="1"/>
      <c r="B332" s="52">
        <v>38</v>
      </c>
      <c r="C332" s="53"/>
      <c r="D332" s="216"/>
      <c r="E332" s="174" t="s">
        <v>1</v>
      </c>
      <c r="F332" s="77"/>
      <c r="G332" s="74"/>
      <c r="H332" s="75"/>
      <c r="I332" s="75"/>
      <c r="J332" s="76"/>
      <c r="K332" s="77"/>
      <c r="L332" s="74"/>
      <c r="M332" s="75"/>
      <c r="N332" s="75"/>
      <c r="O332" s="76"/>
      <c r="P332" s="75"/>
      <c r="Q332" s="78"/>
      <c r="R332" s="78"/>
      <c r="S332" s="78"/>
      <c r="T332" s="76"/>
      <c r="U332" s="1"/>
      <c r="V332" s="1"/>
    </row>
    <row r="333" spans="1:22" ht="18.95" customHeight="1" x14ac:dyDescent="0.2">
      <c r="A333" s="1"/>
      <c r="B333" s="37"/>
      <c r="C333" s="37"/>
      <c r="D333" s="205"/>
      <c r="E333" s="3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8.95" customHeight="1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8.95" customHeight="1" x14ac:dyDescent="0.2">
      <c r="A335" s="1"/>
      <c r="B335" s="255"/>
      <c r="C335" s="256"/>
      <c r="D335" s="259" t="s">
        <v>3</v>
      </c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60"/>
      <c r="P335" s="260"/>
      <c r="Q335" s="260"/>
      <c r="R335" s="260"/>
      <c r="S335" s="260"/>
      <c r="T335" s="261"/>
      <c r="U335" s="1"/>
      <c r="V335" s="1"/>
    </row>
    <row r="336" spans="1:22" ht="18.95" customHeight="1" x14ac:dyDescent="0.2">
      <c r="A336" s="1"/>
      <c r="B336" s="257"/>
      <c r="C336" s="258"/>
      <c r="D336" s="262" t="s">
        <v>4</v>
      </c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4"/>
      <c r="U336" s="1"/>
      <c r="V336" s="1"/>
    </row>
    <row r="337" spans="1:22" ht="18.95" customHeight="1" thickBot="1" x14ac:dyDescent="0.25">
      <c r="A337" s="1"/>
      <c r="B337" s="257"/>
      <c r="C337" s="258"/>
      <c r="D337" s="265" t="s">
        <v>547</v>
      </c>
      <c r="E337" s="266"/>
      <c r="F337" s="266"/>
      <c r="G337" s="266"/>
      <c r="H337" s="266"/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7"/>
      <c r="U337" s="1"/>
      <c r="V337" s="1"/>
    </row>
    <row r="338" spans="1:22" ht="18.95" customHeight="1" thickBot="1" x14ac:dyDescent="0.25">
      <c r="A338" s="1"/>
      <c r="B338" s="268"/>
      <c r="C338" s="269"/>
      <c r="D338" s="25" t="s">
        <v>567</v>
      </c>
      <c r="E338" s="26"/>
      <c r="F338" s="27" t="s">
        <v>798</v>
      </c>
      <c r="G338" s="27"/>
      <c r="H338" s="27"/>
      <c r="I338" s="28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24"/>
      <c r="U338" s="1"/>
      <c r="V338" s="1"/>
    </row>
    <row r="339" spans="1:22" ht="18.95" customHeight="1" thickBot="1" x14ac:dyDescent="0.25">
      <c r="A339" s="1"/>
      <c r="B339" s="271" t="s">
        <v>6</v>
      </c>
      <c r="C339" s="278"/>
      <c r="D339" s="277" t="s">
        <v>7</v>
      </c>
      <c r="E339" s="273" t="s">
        <v>12</v>
      </c>
      <c r="F339" s="268"/>
      <c r="G339" s="277"/>
      <c r="H339" s="277"/>
      <c r="I339" s="277"/>
      <c r="J339" s="269"/>
      <c r="K339" s="268"/>
      <c r="L339" s="277"/>
      <c r="M339" s="277"/>
      <c r="N339" s="277"/>
      <c r="O339" s="269"/>
      <c r="P339" s="272"/>
      <c r="Q339" s="277"/>
      <c r="R339" s="277"/>
      <c r="S339" s="277"/>
      <c r="T339" s="269"/>
      <c r="U339" s="1"/>
      <c r="V339" s="1"/>
    </row>
    <row r="340" spans="1:22" ht="18.95" customHeight="1" thickBot="1" x14ac:dyDescent="0.25">
      <c r="A340" s="1"/>
      <c r="B340" s="42" t="s">
        <v>10</v>
      </c>
      <c r="C340" s="29" t="s">
        <v>9</v>
      </c>
      <c r="D340" s="277"/>
      <c r="E340" s="274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1"/>
      <c r="V340" s="1"/>
    </row>
    <row r="341" spans="1:22" ht="24.95" customHeight="1" x14ac:dyDescent="0.2">
      <c r="A341" s="1"/>
      <c r="B341" s="32">
        <v>1</v>
      </c>
      <c r="C341" s="31">
        <v>16579</v>
      </c>
      <c r="D341" s="44" t="s">
        <v>761</v>
      </c>
      <c r="E341" s="30" t="s">
        <v>1</v>
      </c>
      <c r="F341" s="62"/>
      <c r="G341" s="79"/>
      <c r="H341" s="80"/>
      <c r="I341" s="2"/>
      <c r="J341" s="61"/>
      <c r="K341" s="62"/>
      <c r="L341" s="79"/>
      <c r="M341" s="80"/>
      <c r="N341" s="2"/>
      <c r="O341" s="61"/>
      <c r="P341" s="81"/>
      <c r="Q341" s="82"/>
      <c r="R341" s="36"/>
      <c r="S341" s="60"/>
      <c r="T341" s="83"/>
      <c r="U341" s="1"/>
      <c r="V341" s="1"/>
    </row>
    <row r="342" spans="1:22" ht="24.95" customHeight="1" x14ac:dyDescent="0.2">
      <c r="A342" s="1"/>
      <c r="B342" s="30">
        <v>2</v>
      </c>
      <c r="C342" s="224">
        <v>16580</v>
      </c>
      <c r="D342" s="225" t="s">
        <v>762</v>
      </c>
      <c r="E342" s="224" t="s">
        <v>1</v>
      </c>
      <c r="F342" s="235"/>
      <c r="G342" s="236"/>
      <c r="H342" s="237"/>
      <c r="I342" s="237"/>
      <c r="J342" s="238"/>
      <c r="K342" s="235"/>
      <c r="L342" s="236"/>
      <c r="M342" s="237"/>
      <c r="N342" s="237"/>
      <c r="O342" s="238"/>
      <c r="P342" s="239"/>
      <c r="Q342" s="240"/>
      <c r="R342" s="241"/>
      <c r="S342" s="236"/>
      <c r="T342" s="242"/>
      <c r="U342" s="1"/>
      <c r="V342" s="1"/>
    </row>
    <row r="343" spans="1:22" ht="24.95" customHeight="1" x14ac:dyDescent="0.2">
      <c r="A343" s="1"/>
      <c r="B343" s="30">
        <v>3</v>
      </c>
      <c r="C343" s="30">
        <v>16581</v>
      </c>
      <c r="D343" s="44" t="s">
        <v>763</v>
      </c>
      <c r="E343" s="30" t="s">
        <v>1</v>
      </c>
      <c r="F343" s="62"/>
      <c r="G343" s="60"/>
      <c r="H343" s="2"/>
      <c r="I343" s="2"/>
      <c r="J343" s="61"/>
      <c r="K343" s="62"/>
      <c r="L343" s="60"/>
      <c r="M343" s="2"/>
      <c r="N343" s="2"/>
      <c r="O343" s="61"/>
      <c r="P343" s="3"/>
      <c r="Q343" s="63"/>
      <c r="R343" s="36"/>
      <c r="S343" s="60"/>
      <c r="T343" s="64"/>
      <c r="U343" s="1"/>
      <c r="V343" s="1"/>
    </row>
    <row r="344" spans="1:22" ht="24.95" customHeight="1" x14ac:dyDescent="0.2">
      <c r="A344" s="1"/>
      <c r="B344" s="30">
        <v>4</v>
      </c>
      <c r="C344" s="30">
        <v>16582</v>
      </c>
      <c r="D344" s="44" t="s">
        <v>764</v>
      </c>
      <c r="E344" s="30" t="s">
        <v>1</v>
      </c>
      <c r="F344" s="62"/>
      <c r="G344" s="60"/>
      <c r="H344" s="2"/>
      <c r="I344" s="2"/>
      <c r="J344" s="167"/>
      <c r="K344" s="62"/>
      <c r="L344" s="60"/>
      <c r="M344" s="2"/>
      <c r="N344" s="2"/>
      <c r="O344" s="61"/>
      <c r="P344" s="3"/>
      <c r="Q344" s="63"/>
      <c r="R344" s="36"/>
      <c r="S344" s="60"/>
      <c r="T344" s="64"/>
      <c r="U344" s="1"/>
      <c r="V344" s="1"/>
    </row>
    <row r="345" spans="1:22" ht="24.95" customHeight="1" x14ac:dyDescent="0.2">
      <c r="A345" s="1"/>
      <c r="B345" s="30">
        <v>5</v>
      </c>
      <c r="C345" s="30">
        <v>16583</v>
      </c>
      <c r="D345" s="44" t="s">
        <v>765</v>
      </c>
      <c r="E345" s="30" t="s">
        <v>1</v>
      </c>
      <c r="F345" s="62"/>
      <c r="G345" s="60"/>
      <c r="H345" s="2"/>
      <c r="I345" s="2"/>
      <c r="J345" s="61"/>
      <c r="K345" s="62"/>
      <c r="L345" s="60"/>
      <c r="M345" s="2"/>
      <c r="N345" s="2"/>
      <c r="O345" s="61"/>
      <c r="P345" s="3"/>
      <c r="Q345" s="63"/>
      <c r="R345" s="36"/>
      <c r="S345" s="60"/>
      <c r="T345" s="64"/>
      <c r="U345" s="1"/>
      <c r="V345" s="1"/>
    </row>
    <row r="346" spans="1:22" ht="24.95" customHeight="1" x14ac:dyDescent="0.2">
      <c r="A346" s="1"/>
      <c r="B346" s="30">
        <v>6</v>
      </c>
      <c r="C346" s="30">
        <v>16584</v>
      </c>
      <c r="D346" s="44" t="s">
        <v>766</v>
      </c>
      <c r="E346" s="30" t="s">
        <v>1</v>
      </c>
      <c r="F346" s="62"/>
      <c r="G346" s="60"/>
      <c r="H346" s="2"/>
      <c r="I346" s="2"/>
      <c r="J346" s="61"/>
      <c r="K346" s="62"/>
      <c r="L346" s="60"/>
      <c r="M346" s="2"/>
      <c r="N346" s="2"/>
      <c r="O346" s="61"/>
      <c r="P346" s="3"/>
      <c r="Q346" s="63"/>
      <c r="R346" s="36"/>
      <c r="S346" s="60"/>
      <c r="T346" s="64"/>
      <c r="U346" s="1"/>
      <c r="V346" s="1"/>
    </row>
    <row r="347" spans="1:22" ht="24.95" customHeight="1" x14ac:dyDescent="0.2">
      <c r="A347" s="1"/>
      <c r="B347" s="30">
        <v>7</v>
      </c>
      <c r="C347" s="30">
        <v>16585</v>
      </c>
      <c r="D347" s="44" t="s">
        <v>767</v>
      </c>
      <c r="E347" s="30" t="s">
        <v>1</v>
      </c>
      <c r="F347" s="62"/>
      <c r="G347" s="60"/>
      <c r="H347" s="2"/>
      <c r="I347" s="2"/>
      <c r="J347" s="61"/>
      <c r="K347" s="62"/>
      <c r="L347" s="60"/>
      <c r="M347" s="2"/>
      <c r="N347" s="2"/>
      <c r="O347" s="61"/>
      <c r="P347" s="3"/>
      <c r="Q347" s="63"/>
      <c r="R347" s="36"/>
      <c r="S347" s="60"/>
      <c r="T347" s="64"/>
      <c r="U347" s="1"/>
      <c r="V347" s="1"/>
    </row>
    <row r="348" spans="1:22" ht="24.95" customHeight="1" x14ac:dyDescent="0.2">
      <c r="A348" s="1"/>
      <c r="B348" s="30">
        <v>8</v>
      </c>
      <c r="C348" s="30">
        <v>16587</v>
      </c>
      <c r="D348" s="44" t="s">
        <v>768</v>
      </c>
      <c r="E348" s="30" t="s">
        <v>1</v>
      </c>
      <c r="F348" s="62"/>
      <c r="G348" s="60"/>
      <c r="H348" s="2"/>
      <c r="I348" s="2"/>
      <c r="J348" s="61"/>
      <c r="K348" s="62"/>
      <c r="L348" s="60"/>
      <c r="M348" s="2"/>
      <c r="N348" s="2"/>
      <c r="O348" s="61"/>
      <c r="P348" s="3"/>
      <c r="Q348" s="63"/>
      <c r="R348" s="36"/>
      <c r="S348" s="60"/>
      <c r="T348" s="64"/>
      <c r="U348" s="1"/>
      <c r="V348" s="1"/>
    </row>
    <row r="349" spans="1:22" ht="24.95" customHeight="1" x14ac:dyDescent="0.2">
      <c r="A349" s="1"/>
      <c r="B349" s="30">
        <v>9</v>
      </c>
      <c r="C349" s="224">
        <v>16588</v>
      </c>
      <c r="D349" s="225" t="s">
        <v>769</v>
      </c>
      <c r="E349" s="30" t="s">
        <v>1</v>
      </c>
      <c r="F349" s="62"/>
      <c r="G349" s="60"/>
      <c r="H349" s="2"/>
      <c r="I349" s="2"/>
      <c r="J349" s="61"/>
      <c r="K349" s="62"/>
      <c r="L349" s="60"/>
      <c r="M349" s="2"/>
      <c r="N349" s="2"/>
      <c r="O349" s="61"/>
      <c r="P349" s="3"/>
      <c r="Q349" s="63"/>
      <c r="R349" s="93"/>
      <c r="S349" s="55"/>
      <c r="T349" s="64"/>
      <c r="U349" s="1"/>
      <c r="V349" s="1"/>
    </row>
    <row r="350" spans="1:22" ht="24.95" customHeight="1" x14ac:dyDescent="0.2">
      <c r="A350" s="1"/>
      <c r="B350" s="30">
        <v>10</v>
      </c>
      <c r="C350" s="30">
        <v>16589</v>
      </c>
      <c r="D350" s="44" t="s">
        <v>770</v>
      </c>
      <c r="E350" s="224" t="s">
        <v>1</v>
      </c>
      <c r="F350" s="235"/>
      <c r="G350" s="236"/>
      <c r="H350" s="237"/>
      <c r="I350" s="237"/>
      <c r="J350" s="238"/>
      <c r="K350" s="235"/>
      <c r="L350" s="236"/>
      <c r="M350" s="237"/>
      <c r="N350" s="237"/>
      <c r="O350" s="238"/>
      <c r="P350" s="239"/>
      <c r="Q350" s="240"/>
      <c r="R350" s="241"/>
      <c r="S350" s="236"/>
      <c r="T350" s="242"/>
      <c r="U350" s="1"/>
      <c r="V350" s="1"/>
    </row>
    <row r="351" spans="1:22" ht="24.95" customHeight="1" x14ac:dyDescent="0.2">
      <c r="A351" s="1"/>
      <c r="B351" s="30">
        <v>11</v>
      </c>
      <c r="C351" s="224">
        <v>16590</v>
      </c>
      <c r="D351" s="225" t="s">
        <v>771</v>
      </c>
      <c r="E351" s="30" t="s">
        <v>1</v>
      </c>
      <c r="F351" s="62"/>
      <c r="G351" s="60"/>
      <c r="H351" s="2"/>
      <c r="I351" s="2"/>
      <c r="J351" s="61"/>
      <c r="K351" s="62"/>
      <c r="L351" s="60"/>
      <c r="M351" s="2"/>
      <c r="N351" s="2"/>
      <c r="O351" s="61"/>
      <c r="P351" s="3"/>
      <c r="Q351" s="63"/>
      <c r="R351" s="36"/>
      <c r="S351" s="60"/>
      <c r="T351" s="64"/>
      <c r="U351" s="1"/>
      <c r="V351" s="1"/>
    </row>
    <row r="352" spans="1:22" ht="24.95" customHeight="1" x14ac:dyDescent="0.2">
      <c r="A352" s="1"/>
      <c r="B352" s="30">
        <v>12</v>
      </c>
      <c r="C352" s="30">
        <v>16591</v>
      </c>
      <c r="D352" s="44" t="s">
        <v>772</v>
      </c>
      <c r="E352" s="30" t="s">
        <v>1</v>
      </c>
      <c r="F352" s="62"/>
      <c r="G352" s="60"/>
      <c r="H352" s="2"/>
      <c r="I352" s="2"/>
      <c r="J352" s="61"/>
      <c r="K352" s="62"/>
      <c r="L352" s="60"/>
      <c r="M352" s="2"/>
      <c r="N352" s="2"/>
      <c r="O352" s="61"/>
      <c r="P352" s="3"/>
      <c r="Q352" s="63"/>
      <c r="R352" s="36"/>
      <c r="S352" s="60"/>
      <c r="T352" s="64"/>
      <c r="U352" s="1"/>
      <c r="V352" s="1"/>
    </row>
    <row r="353" spans="1:22" ht="24.95" customHeight="1" x14ac:dyDescent="0.2">
      <c r="A353" s="1"/>
      <c r="B353" s="30">
        <v>13</v>
      </c>
      <c r="C353" s="30">
        <v>16592</v>
      </c>
      <c r="D353" s="44" t="s">
        <v>773</v>
      </c>
      <c r="E353" s="224" t="s">
        <v>1</v>
      </c>
      <c r="F353" s="235"/>
      <c r="G353" s="236"/>
      <c r="H353" s="237"/>
      <c r="I353" s="237"/>
      <c r="J353" s="238"/>
      <c r="K353" s="235"/>
      <c r="L353" s="236"/>
      <c r="M353" s="237"/>
      <c r="N353" s="237"/>
      <c r="O353" s="238"/>
      <c r="P353" s="239"/>
      <c r="Q353" s="240"/>
      <c r="R353" s="241"/>
      <c r="S353" s="236"/>
      <c r="T353" s="242"/>
      <c r="U353" s="1"/>
      <c r="V353" s="1"/>
    </row>
    <row r="354" spans="1:22" ht="24.95" customHeight="1" x14ac:dyDescent="0.2">
      <c r="A354" s="1"/>
      <c r="B354" s="30">
        <v>14</v>
      </c>
      <c r="C354" s="30">
        <v>16593</v>
      </c>
      <c r="D354" s="44" t="s">
        <v>789</v>
      </c>
      <c r="E354" s="30" t="s">
        <v>1</v>
      </c>
      <c r="F354" s="62"/>
      <c r="G354" s="60"/>
      <c r="H354" s="2"/>
      <c r="I354" s="2"/>
      <c r="J354" s="61"/>
      <c r="K354" s="62"/>
      <c r="L354" s="60"/>
      <c r="M354" s="2"/>
      <c r="N354" s="2"/>
      <c r="O354" s="61"/>
      <c r="P354" s="3"/>
      <c r="Q354" s="63"/>
      <c r="R354" s="36"/>
      <c r="S354" s="60"/>
      <c r="T354" s="64"/>
      <c r="U354" s="1"/>
      <c r="V354" s="1"/>
    </row>
    <row r="355" spans="1:22" ht="24.95" customHeight="1" x14ac:dyDescent="0.2">
      <c r="A355" s="1"/>
      <c r="B355" s="30">
        <v>15</v>
      </c>
      <c r="C355" s="224">
        <v>16594</v>
      </c>
      <c r="D355" s="44" t="s">
        <v>774</v>
      </c>
      <c r="E355" s="30" t="s">
        <v>1</v>
      </c>
      <c r="F355" s="62"/>
      <c r="G355" s="60"/>
      <c r="H355" s="2"/>
      <c r="I355" s="2"/>
      <c r="J355" s="61"/>
      <c r="K355" s="62"/>
      <c r="L355" s="60"/>
      <c r="M355" s="2"/>
      <c r="N355" s="2"/>
      <c r="O355" s="61"/>
      <c r="P355" s="3"/>
      <c r="Q355" s="63"/>
      <c r="R355" s="36"/>
      <c r="S355" s="60"/>
      <c r="T355" s="64"/>
      <c r="U355" s="1"/>
      <c r="V355" s="1"/>
    </row>
    <row r="356" spans="1:22" ht="24.95" customHeight="1" x14ac:dyDescent="0.2">
      <c r="A356" s="1"/>
      <c r="B356" s="30">
        <v>16</v>
      </c>
      <c r="C356" s="30">
        <v>16595</v>
      </c>
      <c r="D356" s="225" t="s">
        <v>775</v>
      </c>
      <c r="E356" s="30" t="s">
        <v>1</v>
      </c>
      <c r="F356" s="62"/>
      <c r="G356" s="60"/>
      <c r="H356" s="2"/>
      <c r="I356" s="2"/>
      <c r="J356" s="61"/>
      <c r="K356" s="62"/>
      <c r="L356" s="60"/>
      <c r="M356" s="2"/>
      <c r="N356" s="2"/>
      <c r="O356" s="61"/>
      <c r="P356" s="3"/>
      <c r="Q356" s="63"/>
      <c r="R356" s="36"/>
      <c r="S356" s="60"/>
      <c r="T356" s="64"/>
      <c r="U356" s="1"/>
      <c r="V356" s="1"/>
    </row>
    <row r="357" spans="1:22" ht="24.95" customHeight="1" x14ac:dyDescent="0.2">
      <c r="A357" s="1"/>
      <c r="B357" s="30">
        <v>17</v>
      </c>
      <c r="C357" s="30">
        <v>16596</v>
      </c>
      <c r="D357" s="44" t="s">
        <v>776</v>
      </c>
      <c r="E357" s="30" t="s">
        <v>1</v>
      </c>
      <c r="F357" s="62"/>
      <c r="G357" s="65"/>
      <c r="H357" s="2"/>
      <c r="I357" s="2"/>
      <c r="J357" s="61"/>
      <c r="K357" s="62"/>
      <c r="L357" s="65"/>
      <c r="M357" s="2"/>
      <c r="N357" s="2"/>
      <c r="O357" s="61"/>
      <c r="P357" s="3"/>
      <c r="Q357" s="63"/>
      <c r="R357" s="93"/>
      <c r="S357" s="55"/>
      <c r="T357" s="64"/>
      <c r="U357" s="1"/>
      <c r="V357" s="1"/>
    </row>
    <row r="358" spans="1:22" ht="24.95" customHeight="1" x14ac:dyDescent="0.2">
      <c r="A358" s="1"/>
      <c r="B358" s="30">
        <v>18</v>
      </c>
      <c r="C358" s="30">
        <v>16597</v>
      </c>
      <c r="D358" s="44" t="s">
        <v>777</v>
      </c>
      <c r="E358" s="30" t="s">
        <v>1</v>
      </c>
      <c r="F358" s="62"/>
      <c r="G358" s="65"/>
      <c r="H358" s="2"/>
      <c r="I358" s="2"/>
      <c r="J358" s="61"/>
      <c r="K358" s="62"/>
      <c r="L358" s="65"/>
      <c r="M358" s="2"/>
      <c r="N358" s="2"/>
      <c r="O358" s="61"/>
      <c r="P358" s="3"/>
      <c r="Q358" s="63"/>
      <c r="R358" s="93"/>
      <c r="S358" s="55"/>
      <c r="T358" s="64"/>
      <c r="U358" s="1"/>
      <c r="V358" s="1"/>
    </row>
    <row r="359" spans="1:22" ht="24.95" customHeight="1" x14ac:dyDescent="0.2">
      <c r="A359" s="1"/>
      <c r="B359" s="30">
        <v>19</v>
      </c>
      <c r="C359" s="30">
        <v>16598</v>
      </c>
      <c r="D359" s="44" t="s">
        <v>791</v>
      </c>
      <c r="E359" s="30" t="s">
        <v>1</v>
      </c>
      <c r="F359" s="62"/>
      <c r="G359" s="65"/>
      <c r="H359" s="2"/>
      <c r="I359" s="2"/>
      <c r="J359" s="61"/>
      <c r="K359" s="62"/>
      <c r="L359" s="65"/>
      <c r="M359" s="2"/>
      <c r="N359" s="2"/>
      <c r="O359" s="61"/>
      <c r="P359" s="3"/>
      <c r="Q359" s="63"/>
      <c r="R359" s="36"/>
      <c r="S359" s="60"/>
      <c r="T359" s="64"/>
      <c r="U359" s="1"/>
      <c r="V359" s="1"/>
    </row>
    <row r="360" spans="1:22" ht="24.95" customHeight="1" x14ac:dyDescent="0.2">
      <c r="A360" s="1"/>
      <c r="B360" s="30">
        <v>20</v>
      </c>
      <c r="C360" s="30">
        <v>16599</v>
      </c>
      <c r="D360" s="44" t="s">
        <v>778</v>
      </c>
      <c r="E360" s="30" t="s">
        <v>1</v>
      </c>
      <c r="F360" s="62"/>
      <c r="G360" s="60"/>
      <c r="H360" s="2"/>
      <c r="I360" s="2"/>
      <c r="J360" s="61"/>
      <c r="K360" s="62"/>
      <c r="L360" s="60"/>
      <c r="M360" s="2"/>
      <c r="N360" s="2"/>
      <c r="O360" s="61"/>
      <c r="P360" s="3"/>
      <c r="Q360" s="63"/>
      <c r="R360" s="36"/>
      <c r="S360" s="60"/>
      <c r="T360" s="64"/>
      <c r="U360" s="1"/>
      <c r="V360" s="1"/>
    </row>
    <row r="361" spans="1:22" ht="24.95" customHeight="1" x14ac:dyDescent="0.2">
      <c r="A361" s="1"/>
      <c r="B361" s="30">
        <v>21</v>
      </c>
      <c r="C361" s="30">
        <v>16600</v>
      </c>
      <c r="D361" s="44" t="s">
        <v>779</v>
      </c>
      <c r="E361" s="30" t="s">
        <v>1</v>
      </c>
      <c r="F361" s="62"/>
      <c r="G361" s="66"/>
      <c r="H361" s="67"/>
      <c r="I361" s="67"/>
      <c r="J361" s="68"/>
      <c r="K361" s="62"/>
      <c r="L361" s="66"/>
      <c r="M361" s="67"/>
      <c r="N361" s="67"/>
      <c r="O361" s="68"/>
      <c r="P361" s="40"/>
      <c r="Q361" s="69"/>
      <c r="R361" s="178"/>
      <c r="S361" s="90"/>
      <c r="T361" s="70"/>
      <c r="U361" s="1"/>
      <c r="V361" s="1"/>
    </row>
    <row r="362" spans="1:22" ht="24.95" customHeight="1" x14ac:dyDescent="0.2">
      <c r="A362" s="1"/>
      <c r="B362" s="30">
        <v>22</v>
      </c>
      <c r="C362" s="30">
        <v>16601</v>
      </c>
      <c r="D362" s="44" t="s">
        <v>780</v>
      </c>
      <c r="E362" s="30" t="s">
        <v>1</v>
      </c>
      <c r="F362" s="62"/>
      <c r="G362" s="66"/>
      <c r="H362" s="67"/>
      <c r="I362" s="67"/>
      <c r="J362" s="68"/>
      <c r="K362" s="62"/>
      <c r="L362" s="66"/>
      <c r="M362" s="67"/>
      <c r="N362" s="67"/>
      <c r="O362" s="68"/>
      <c r="P362" s="40"/>
      <c r="Q362" s="69"/>
      <c r="R362" s="178"/>
      <c r="S362" s="90"/>
      <c r="T362" s="70"/>
      <c r="U362" s="1"/>
      <c r="V362" s="1"/>
    </row>
    <row r="363" spans="1:22" ht="24.95" customHeight="1" x14ac:dyDescent="0.2">
      <c r="A363" s="1"/>
      <c r="B363" s="30">
        <v>23</v>
      </c>
      <c r="C363" s="30">
        <v>16602</v>
      </c>
      <c r="D363" s="44" t="s">
        <v>781</v>
      </c>
      <c r="E363" s="30" t="s">
        <v>1</v>
      </c>
      <c r="F363" s="62"/>
      <c r="G363" s="66"/>
      <c r="H363" s="67"/>
      <c r="I363" s="67"/>
      <c r="J363" s="68"/>
      <c r="K363" s="62"/>
      <c r="L363" s="66"/>
      <c r="M363" s="67"/>
      <c r="N363" s="67"/>
      <c r="O363" s="68"/>
      <c r="P363" s="40"/>
      <c r="Q363" s="69"/>
      <c r="R363" s="178"/>
      <c r="S363" s="90"/>
      <c r="T363" s="70"/>
      <c r="U363" s="1"/>
      <c r="V363" s="1"/>
    </row>
    <row r="364" spans="1:22" ht="24.95" customHeight="1" x14ac:dyDescent="0.2">
      <c r="A364" s="1"/>
      <c r="B364" s="30">
        <v>24</v>
      </c>
      <c r="C364" s="30">
        <v>16603</v>
      </c>
      <c r="D364" s="44" t="s">
        <v>782</v>
      </c>
      <c r="E364" s="30" t="s">
        <v>1</v>
      </c>
      <c r="F364" s="62"/>
      <c r="G364" s="66"/>
      <c r="H364" s="67"/>
      <c r="I364" s="67"/>
      <c r="J364" s="68"/>
      <c r="K364" s="62"/>
      <c r="L364" s="66"/>
      <c r="M364" s="67"/>
      <c r="N364" s="67"/>
      <c r="O364" s="68"/>
      <c r="P364" s="40"/>
      <c r="Q364" s="69"/>
      <c r="R364" s="178"/>
      <c r="S364" s="90"/>
      <c r="T364" s="70"/>
      <c r="U364" s="1"/>
      <c r="V364" s="1"/>
    </row>
    <row r="365" spans="1:22" ht="24.95" customHeight="1" x14ac:dyDescent="0.2">
      <c r="A365" s="1"/>
      <c r="B365" s="30">
        <v>25</v>
      </c>
      <c r="C365" s="30">
        <v>16604</v>
      </c>
      <c r="D365" s="44" t="s">
        <v>783</v>
      </c>
      <c r="E365" s="30" t="s">
        <v>1</v>
      </c>
      <c r="F365" s="62"/>
      <c r="G365" s="66"/>
      <c r="H365" s="67"/>
      <c r="I365" s="67"/>
      <c r="J365" s="68"/>
      <c r="K365" s="62"/>
      <c r="L365" s="66"/>
      <c r="M365" s="67"/>
      <c r="N365" s="67"/>
      <c r="O365" s="68"/>
      <c r="P365" s="40"/>
      <c r="Q365" s="69"/>
      <c r="R365" s="178"/>
      <c r="S365" s="90"/>
      <c r="T365" s="70"/>
      <c r="U365" s="1"/>
      <c r="V365" s="1"/>
    </row>
    <row r="366" spans="1:22" ht="24.95" customHeight="1" x14ac:dyDescent="0.2">
      <c r="A366" s="1"/>
      <c r="B366" s="30">
        <v>26</v>
      </c>
      <c r="C366" s="30">
        <v>16605</v>
      </c>
      <c r="D366" s="44" t="s">
        <v>784</v>
      </c>
      <c r="E366" s="30" t="s">
        <v>1</v>
      </c>
      <c r="F366" s="71"/>
      <c r="G366" s="66"/>
      <c r="H366" s="67"/>
      <c r="I366" s="67"/>
      <c r="J366" s="68"/>
      <c r="K366" s="71"/>
      <c r="L366" s="66"/>
      <c r="M366" s="67"/>
      <c r="N366" s="67"/>
      <c r="O366" s="68"/>
      <c r="P366" s="40"/>
      <c r="Q366" s="69"/>
      <c r="R366" s="178"/>
      <c r="S366" s="90"/>
      <c r="T366" s="70"/>
      <c r="U366" s="1"/>
      <c r="V366" s="1"/>
    </row>
    <row r="367" spans="1:22" ht="24.95" customHeight="1" x14ac:dyDescent="0.2">
      <c r="A367" s="1"/>
      <c r="B367" s="30">
        <v>27</v>
      </c>
      <c r="C367" s="30">
        <v>16606</v>
      </c>
      <c r="D367" s="44" t="s">
        <v>785</v>
      </c>
      <c r="E367" s="30" t="s">
        <v>1</v>
      </c>
      <c r="F367" s="71"/>
      <c r="G367" s="66"/>
      <c r="H367" s="67"/>
      <c r="I367" s="67"/>
      <c r="J367" s="68"/>
      <c r="K367" s="71"/>
      <c r="L367" s="66"/>
      <c r="M367" s="67"/>
      <c r="N367" s="67"/>
      <c r="O367" s="68"/>
      <c r="P367" s="40"/>
      <c r="Q367" s="69"/>
      <c r="R367" s="178"/>
      <c r="S367" s="90"/>
      <c r="T367" s="70"/>
      <c r="U367" s="1"/>
      <c r="V367" s="1"/>
    </row>
    <row r="368" spans="1:22" ht="24.95" customHeight="1" x14ac:dyDescent="0.2">
      <c r="A368" s="1"/>
      <c r="B368" s="30">
        <v>28</v>
      </c>
      <c r="C368" s="30">
        <v>16607</v>
      </c>
      <c r="D368" s="44" t="s">
        <v>786</v>
      </c>
      <c r="E368" s="30" t="s">
        <v>1</v>
      </c>
      <c r="F368" s="71"/>
      <c r="G368" s="66"/>
      <c r="H368" s="67"/>
      <c r="I368" s="67"/>
      <c r="J368" s="68"/>
      <c r="K368" s="71"/>
      <c r="L368" s="66"/>
      <c r="M368" s="67"/>
      <c r="N368" s="67"/>
      <c r="O368" s="68"/>
      <c r="P368" s="40"/>
      <c r="Q368" s="69"/>
      <c r="R368" s="178"/>
      <c r="S368" s="90"/>
      <c r="T368" s="70"/>
      <c r="U368" s="1"/>
      <c r="V368" s="1"/>
    </row>
    <row r="369" spans="1:22" ht="24.95" customHeight="1" x14ac:dyDescent="0.2">
      <c r="A369" s="1"/>
      <c r="B369" s="30">
        <v>29</v>
      </c>
      <c r="C369" s="30">
        <v>16608</v>
      </c>
      <c r="D369" s="44" t="s">
        <v>787</v>
      </c>
      <c r="E369" s="30" t="s">
        <v>1</v>
      </c>
      <c r="F369" s="71"/>
      <c r="G369" s="66"/>
      <c r="H369" s="67"/>
      <c r="I369" s="67"/>
      <c r="J369" s="68"/>
      <c r="K369" s="71"/>
      <c r="L369" s="66"/>
      <c r="M369" s="67"/>
      <c r="N369" s="67"/>
      <c r="O369" s="68"/>
      <c r="P369" s="40"/>
      <c r="Q369" s="69"/>
      <c r="R369" s="178"/>
      <c r="S369" s="90"/>
      <c r="T369" s="70"/>
      <c r="U369" s="1"/>
      <c r="V369" s="1"/>
    </row>
    <row r="370" spans="1:22" ht="24.95" customHeight="1" x14ac:dyDescent="0.2">
      <c r="A370" s="1"/>
      <c r="B370" s="30">
        <v>30</v>
      </c>
      <c r="C370" s="30">
        <v>16609</v>
      </c>
      <c r="D370" s="44" t="s">
        <v>790</v>
      </c>
      <c r="E370" s="30" t="s">
        <v>1</v>
      </c>
      <c r="F370" s="226"/>
      <c r="G370" s="227"/>
      <c r="H370" s="228"/>
      <c r="I370" s="228"/>
      <c r="J370" s="229"/>
      <c r="K370" s="226"/>
      <c r="L370" s="227"/>
      <c r="M370" s="228"/>
      <c r="N370" s="228"/>
      <c r="O370" s="229"/>
      <c r="P370" s="230"/>
      <c r="Q370" s="231"/>
      <c r="R370" s="232"/>
      <c r="S370" s="233"/>
      <c r="T370" s="234"/>
      <c r="U370" s="1"/>
      <c r="V370" s="1"/>
    </row>
    <row r="371" spans="1:22" ht="24.95" customHeight="1" x14ac:dyDescent="0.2">
      <c r="A371" s="1"/>
      <c r="B371" s="30">
        <v>31</v>
      </c>
      <c r="C371" s="30">
        <v>16610</v>
      </c>
      <c r="D371" s="45" t="s">
        <v>788</v>
      </c>
      <c r="E371" s="30" t="s">
        <v>1</v>
      </c>
      <c r="F371" s="89"/>
      <c r="G371" s="90"/>
      <c r="H371" s="67"/>
      <c r="I371" s="67"/>
      <c r="J371" s="68"/>
      <c r="K371" s="89"/>
      <c r="L371" s="90"/>
      <c r="M371" s="67"/>
      <c r="N371" s="67"/>
      <c r="O371" s="68"/>
      <c r="P371" s="40"/>
      <c r="Q371" s="69"/>
      <c r="R371" s="178"/>
      <c r="S371" s="90"/>
      <c r="T371" s="70"/>
      <c r="U371" s="1"/>
      <c r="V371" s="1"/>
    </row>
    <row r="372" spans="1:22" ht="24.95" customHeight="1" x14ac:dyDescent="0.2">
      <c r="A372" s="1"/>
      <c r="B372" s="30">
        <v>32</v>
      </c>
      <c r="C372" s="30"/>
      <c r="D372" s="46"/>
      <c r="E372" s="224" t="s">
        <v>1</v>
      </c>
      <c r="F372" s="91"/>
      <c r="G372" s="91"/>
      <c r="H372" s="3"/>
      <c r="I372" s="3"/>
      <c r="J372" s="68"/>
      <c r="K372" s="91"/>
      <c r="L372" s="91"/>
      <c r="M372" s="3"/>
      <c r="N372" s="3"/>
      <c r="O372" s="68"/>
      <c r="P372" s="3"/>
      <c r="Q372" s="3"/>
      <c r="R372" s="3"/>
      <c r="S372" s="3"/>
      <c r="T372" s="64"/>
      <c r="U372" s="1"/>
      <c r="V372" s="1"/>
    </row>
    <row r="373" spans="1:22" ht="24.95" customHeight="1" x14ac:dyDescent="0.2">
      <c r="A373" s="1"/>
      <c r="B373" s="30">
        <v>33</v>
      </c>
      <c r="C373" s="35"/>
      <c r="D373" s="47"/>
      <c r="E373" s="30" t="s">
        <v>1</v>
      </c>
      <c r="F373" s="92"/>
      <c r="G373" s="92"/>
      <c r="H373" s="40"/>
      <c r="I373" s="40"/>
      <c r="J373" s="68"/>
      <c r="K373" s="92"/>
      <c r="L373" s="92"/>
      <c r="M373" s="40"/>
      <c r="N373" s="40"/>
      <c r="O373" s="68"/>
      <c r="P373" s="40"/>
      <c r="Q373" s="40"/>
      <c r="R373" s="40"/>
      <c r="S373" s="40"/>
      <c r="T373" s="70"/>
      <c r="U373" s="1"/>
      <c r="V373" s="1"/>
    </row>
    <row r="374" spans="1:22" ht="24.95" customHeight="1" x14ac:dyDescent="0.2">
      <c r="A374" s="1"/>
      <c r="B374" s="30">
        <v>34</v>
      </c>
      <c r="C374" s="30"/>
      <c r="D374" s="46"/>
      <c r="E374" s="30" t="s">
        <v>1</v>
      </c>
      <c r="F374" s="91"/>
      <c r="G374" s="91"/>
      <c r="H374" s="3"/>
      <c r="I374" s="3"/>
      <c r="J374" s="68"/>
      <c r="K374" s="91"/>
      <c r="L374" s="91"/>
      <c r="M374" s="3"/>
      <c r="N374" s="3"/>
      <c r="O374" s="68"/>
      <c r="P374" s="3"/>
      <c r="Q374" s="3"/>
      <c r="R374" s="3"/>
      <c r="S374" s="3"/>
      <c r="T374" s="64"/>
      <c r="U374" s="1"/>
      <c r="V374" s="1"/>
    </row>
    <row r="375" spans="1:22" ht="24.95" customHeight="1" x14ac:dyDescent="0.2">
      <c r="A375" s="1"/>
      <c r="B375" s="30">
        <v>35</v>
      </c>
      <c r="C375" s="30"/>
      <c r="D375" s="46"/>
      <c r="E375" s="30" t="s">
        <v>1</v>
      </c>
      <c r="F375" s="91"/>
      <c r="G375" s="91"/>
      <c r="H375" s="3"/>
      <c r="I375" s="3"/>
      <c r="J375" s="68"/>
      <c r="K375" s="91"/>
      <c r="L375" s="91"/>
      <c r="M375" s="3"/>
      <c r="N375" s="3"/>
      <c r="O375" s="68"/>
      <c r="P375" s="3"/>
      <c r="Q375" s="3"/>
      <c r="R375" s="3"/>
      <c r="S375" s="3"/>
      <c r="T375" s="64"/>
      <c r="U375" s="1"/>
      <c r="V375" s="1"/>
    </row>
    <row r="376" spans="1:22" ht="24.95" customHeight="1" x14ac:dyDescent="0.2">
      <c r="A376" s="1"/>
      <c r="B376" s="30">
        <v>36</v>
      </c>
      <c r="C376" s="31"/>
      <c r="D376" s="128"/>
      <c r="E376" s="30" t="s">
        <v>1</v>
      </c>
      <c r="F376" s="93"/>
      <c r="G376" s="93"/>
      <c r="H376" s="93"/>
      <c r="I376" s="93"/>
      <c r="J376" s="68"/>
      <c r="K376" s="93"/>
      <c r="L376" s="93"/>
      <c r="M376" s="93"/>
      <c r="N376" s="93"/>
      <c r="O376" s="68"/>
      <c r="P376" s="93"/>
      <c r="Q376" s="93"/>
      <c r="R376" s="93"/>
      <c r="S376" s="93"/>
      <c r="T376" s="94"/>
      <c r="U376" s="1"/>
      <c r="V376" s="1"/>
    </row>
    <row r="377" spans="1:22" ht="24.95" customHeight="1" x14ac:dyDescent="0.2">
      <c r="B377" s="30">
        <v>37</v>
      </c>
      <c r="C377" s="30"/>
      <c r="D377" s="46"/>
      <c r="E377" s="30" t="s">
        <v>1</v>
      </c>
      <c r="F377" s="95"/>
      <c r="G377" s="95"/>
      <c r="H377" s="95"/>
      <c r="I377" s="95"/>
      <c r="J377" s="68"/>
      <c r="K377" s="95"/>
      <c r="L377" s="95"/>
      <c r="M377" s="95"/>
      <c r="N377" s="95"/>
      <c r="O377" s="68"/>
      <c r="P377" s="95"/>
      <c r="Q377" s="95"/>
      <c r="R377" s="95"/>
      <c r="S377" s="95"/>
      <c r="T377" s="96"/>
      <c r="V377" s="1"/>
    </row>
    <row r="378" spans="1:22" ht="24.95" customHeight="1" x14ac:dyDescent="0.2">
      <c r="B378" s="35"/>
      <c r="C378" s="35"/>
      <c r="D378" s="154"/>
      <c r="E378" s="35"/>
      <c r="F378" s="155"/>
      <c r="G378" s="156"/>
      <c r="H378" s="156"/>
      <c r="I378" s="156"/>
      <c r="J378" s="68"/>
      <c r="K378" s="155"/>
      <c r="L378" s="156"/>
      <c r="M378" s="156"/>
      <c r="N378" s="156"/>
      <c r="O378" s="68"/>
      <c r="P378" s="155"/>
      <c r="Q378" s="156"/>
      <c r="R378" s="156"/>
      <c r="S378" s="156"/>
      <c r="T378" s="157"/>
      <c r="V378" s="1"/>
    </row>
    <row r="379" spans="1:22" ht="24.95" customHeight="1" thickBot="1" x14ac:dyDescent="0.25">
      <c r="B379" s="129"/>
      <c r="C379" s="129"/>
      <c r="D379" s="197"/>
      <c r="E379" s="131"/>
      <c r="F379" s="130"/>
      <c r="G379" s="98"/>
      <c r="H379" s="98"/>
      <c r="I379" s="98"/>
      <c r="J379" s="132"/>
      <c r="K379" s="97"/>
      <c r="L379" s="98"/>
      <c r="M379" s="98"/>
      <c r="N379" s="98"/>
      <c r="O379" s="99"/>
      <c r="P379" s="130"/>
      <c r="Q379" s="98"/>
      <c r="R379" s="98"/>
      <c r="S379" s="98"/>
      <c r="T379" s="99"/>
      <c r="V379" s="1"/>
    </row>
    <row r="380" spans="1:22" ht="18.95" customHeight="1" x14ac:dyDescent="0.2">
      <c r="V380" s="1"/>
    </row>
  </sheetData>
  <sortState xmlns:xlrd2="http://schemas.microsoft.com/office/spreadsheetml/2017/richdata2" ref="D153:E181">
    <sortCondition ref="D153:D181"/>
  </sortState>
  <mergeCells count="88">
    <mergeCell ref="F339:J339"/>
    <mergeCell ref="K339:O339"/>
    <mergeCell ref="F247:J247"/>
    <mergeCell ref="K247:O247"/>
    <mergeCell ref="B289:C291"/>
    <mergeCell ref="D289:T289"/>
    <mergeCell ref="D290:T290"/>
    <mergeCell ref="D291:T291"/>
    <mergeCell ref="B292:C292"/>
    <mergeCell ref="P339:T339"/>
    <mergeCell ref="P293:T293"/>
    <mergeCell ref="B335:C337"/>
    <mergeCell ref="D335:T335"/>
    <mergeCell ref="D336:T336"/>
    <mergeCell ref="B339:C339"/>
    <mergeCell ref="D337:T337"/>
    <mergeCell ref="B338:C338"/>
    <mergeCell ref="B293:C293"/>
    <mergeCell ref="D293:D294"/>
    <mergeCell ref="E293:E294"/>
    <mergeCell ref="F293:J293"/>
    <mergeCell ref="K293:O293"/>
    <mergeCell ref="D339:D340"/>
    <mergeCell ref="E339:E340"/>
    <mergeCell ref="B198:C198"/>
    <mergeCell ref="P247:T247"/>
    <mergeCell ref="P199:T199"/>
    <mergeCell ref="B243:C245"/>
    <mergeCell ref="D243:T243"/>
    <mergeCell ref="D244:T244"/>
    <mergeCell ref="D245:T245"/>
    <mergeCell ref="B246:C246"/>
    <mergeCell ref="B199:C199"/>
    <mergeCell ref="D199:D200"/>
    <mergeCell ref="E199:E200"/>
    <mergeCell ref="F199:J199"/>
    <mergeCell ref="K199:O199"/>
    <mergeCell ref="B247:C247"/>
    <mergeCell ref="D247:D248"/>
    <mergeCell ref="E247:E248"/>
    <mergeCell ref="F151:J151"/>
    <mergeCell ref="K151:O151"/>
    <mergeCell ref="B195:C197"/>
    <mergeCell ref="D195:T195"/>
    <mergeCell ref="D196:T196"/>
    <mergeCell ref="D197:T197"/>
    <mergeCell ref="B102:C102"/>
    <mergeCell ref="P151:T151"/>
    <mergeCell ref="P103:T103"/>
    <mergeCell ref="B147:C149"/>
    <mergeCell ref="D147:T147"/>
    <mergeCell ref="D148:T148"/>
    <mergeCell ref="D149:T149"/>
    <mergeCell ref="B150:C150"/>
    <mergeCell ref="B103:C103"/>
    <mergeCell ref="D103:D104"/>
    <mergeCell ref="E103:E104"/>
    <mergeCell ref="F103:J103"/>
    <mergeCell ref="K103:O103"/>
    <mergeCell ref="B151:C151"/>
    <mergeCell ref="D151:D152"/>
    <mergeCell ref="E151:E152"/>
    <mergeCell ref="K55:O55"/>
    <mergeCell ref="B99:C101"/>
    <mergeCell ref="D99:T99"/>
    <mergeCell ref="D100:T100"/>
    <mergeCell ref="D101:T101"/>
    <mergeCell ref="P55:T55"/>
    <mergeCell ref="B55:C55"/>
    <mergeCell ref="D55:D56"/>
    <mergeCell ref="E55:E56"/>
    <mergeCell ref="F55:J55"/>
    <mergeCell ref="P6:T6"/>
    <mergeCell ref="B51:C53"/>
    <mergeCell ref="D51:T51"/>
    <mergeCell ref="D52:T52"/>
    <mergeCell ref="D53:T53"/>
    <mergeCell ref="K6:O6"/>
    <mergeCell ref="B54:C54"/>
    <mergeCell ref="B6:C6"/>
    <mergeCell ref="D6:D7"/>
    <mergeCell ref="E6:E7"/>
    <mergeCell ref="F6:J6"/>
    <mergeCell ref="B2:C4"/>
    <mergeCell ref="D2:T2"/>
    <mergeCell ref="D3:T3"/>
    <mergeCell ref="D4:T4"/>
    <mergeCell ref="B5:C5"/>
  </mergeCells>
  <pageMargins left="0.7" right="0.7" top="0.75" bottom="0.75" header="0.3" footer="0.3"/>
  <pageSetup paperSize="14" scale="65" orientation="portrait" horizontalDpi="0" verticalDpi="0" r:id="rId1"/>
  <rowBreaks count="7" manualBreakCount="7">
    <brk id="49" min="1" max="19" man="1"/>
    <brk id="97" min="1" max="19" man="1"/>
    <brk id="145" min="1" max="19" man="1"/>
    <brk id="193" min="1" max="19" man="1"/>
    <brk id="241" min="1" max="19" man="1"/>
    <brk id="287" min="1" max="19" man="1"/>
    <brk id="333" min="1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EC9F-DBD6-4142-AF8A-BE5201FCE2CE}">
  <dimension ref="A1:AK394"/>
  <sheetViews>
    <sheetView view="pageBreakPreview" topLeftCell="A346" zoomScale="60" zoomScaleNormal="66" workbookViewId="0">
      <selection activeCell="I18" sqref="I18"/>
    </sheetView>
  </sheetViews>
  <sheetFormatPr defaultRowHeight="16.5" customHeight="1" x14ac:dyDescent="0.2"/>
  <cols>
    <col min="1" max="1" width="3.42578125" style="7" customWidth="1"/>
    <col min="2" max="2" width="5.7109375" style="7" customWidth="1"/>
    <col min="3" max="3" width="9.28515625" style="7" customWidth="1"/>
    <col min="4" max="4" width="37.85546875" style="7" customWidth="1"/>
    <col min="5" max="36" width="6.7109375" style="7" customWidth="1"/>
    <col min="37" max="37" width="3.28515625" style="7" customWidth="1"/>
    <col min="38" max="16384" width="9.140625" style="7"/>
  </cols>
  <sheetData>
    <row r="1" spans="1:37" ht="16.5" customHeight="1" thickBo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 ht="16.5" customHeight="1" x14ac:dyDescent="0.2">
      <c r="A2" s="6"/>
      <c r="B2" s="279"/>
      <c r="C2" s="280"/>
      <c r="D2" s="283" t="s">
        <v>3</v>
      </c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  <c r="AI2" s="284"/>
      <c r="AJ2" s="285"/>
      <c r="AK2" s="107"/>
    </row>
    <row r="3" spans="1:37" ht="16.5" customHeight="1" x14ac:dyDescent="0.2">
      <c r="A3" s="6"/>
      <c r="B3" s="281"/>
      <c r="C3" s="282"/>
      <c r="D3" s="286" t="s">
        <v>4</v>
      </c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8"/>
      <c r="AK3" s="107"/>
    </row>
    <row r="4" spans="1:37" ht="16.5" customHeight="1" x14ac:dyDescent="0.2">
      <c r="A4" s="6"/>
      <c r="B4" s="281"/>
      <c r="C4" s="282"/>
      <c r="D4" s="286" t="s">
        <v>547</v>
      </c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8"/>
      <c r="AK4" s="107"/>
    </row>
    <row r="5" spans="1:37" ht="16.5" customHeight="1" thickBot="1" x14ac:dyDescent="0.25">
      <c r="A5" s="6"/>
      <c r="B5" s="281"/>
      <c r="C5" s="282"/>
      <c r="D5" s="289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290"/>
      <c r="AG5" s="290"/>
      <c r="AH5" s="290"/>
      <c r="AI5" s="290"/>
      <c r="AJ5" s="291"/>
      <c r="AK5" s="107"/>
    </row>
    <row r="6" spans="1:37" ht="16.5" customHeight="1" thickBot="1" x14ac:dyDescent="0.25">
      <c r="A6" s="6"/>
      <c r="B6" s="292"/>
      <c r="C6" s="293"/>
      <c r="D6" s="9" t="s">
        <v>799</v>
      </c>
      <c r="E6" s="10" t="s">
        <v>11</v>
      </c>
      <c r="F6" s="10"/>
      <c r="G6" s="10"/>
      <c r="H6" s="10"/>
      <c r="I6" s="10"/>
      <c r="J6" s="149"/>
      <c r="K6" s="10"/>
      <c r="L6" s="10"/>
      <c r="M6" s="10"/>
      <c r="N6" s="10"/>
      <c r="O6" s="10"/>
      <c r="P6" s="10"/>
      <c r="Q6" s="10"/>
      <c r="R6" s="10"/>
      <c r="S6" s="10" t="s">
        <v>5</v>
      </c>
      <c r="T6" s="10"/>
      <c r="U6" s="10" t="s">
        <v>804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58"/>
      <c r="AK6" s="107"/>
    </row>
    <row r="7" spans="1:37" ht="16.5" customHeight="1" thickBot="1" x14ac:dyDescent="0.25">
      <c r="A7" s="6"/>
      <c r="B7" s="294" t="s">
        <v>6</v>
      </c>
      <c r="C7" s="294"/>
      <c r="D7" s="295" t="s">
        <v>7</v>
      </c>
      <c r="E7" s="292" t="s">
        <v>519</v>
      </c>
      <c r="F7" s="298"/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  <c r="AC7" s="298"/>
      <c r="AD7" s="298"/>
      <c r="AE7" s="298"/>
      <c r="AF7" s="298"/>
      <c r="AG7" s="298"/>
      <c r="AH7" s="298"/>
      <c r="AI7" s="298"/>
      <c r="AJ7" s="293"/>
      <c r="AK7" s="107"/>
    </row>
    <row r="8" spans="1:37" ht="16.5" customHeight="1" thickBot="1" x14ac:dyDescent="0.25">
      <c r="A8" s="6"/>
      <c r="B8" s="295" t="s">
        <v>8</v>
      </c>
      <c r="C8" s="295" t="s">
        <v>9</v>
      </c>
      <c r="D8" s="296"/>
      <c r="E8" s="292">
        <v>17</v>
      </c>
      <c r="F8" s="298"/>
      <c r="G8" s="292">
        <f>E8+1</f>
        <v>18</v>
      </c>
      <c r="H8" s="298"/>
      <c r="I8" s="292">
        <f t="shared" ref="I8" si="0">G8+1</f>
        <v>19</v>
      </c>
      <c r="J8" s="298"/>
      <c r="K8" s="292">
        <f t="shared" ref="K8" si="1">I8+1</f>
        <v>20</v>
      </c>
      <c r="L8" s="298"/>
      <c r="M8" s="292">
        <f t="shared" ref="M8" si="2">K8+1</f>
        <v>21</v>
      </c>
      <c r="N8" s="298"/>
      <c r="O8" s="292">
        <f t="shared" ref="O8" si="3">M8+1</f>
        <v>22</v>
      </c>
      <c r="P8" s="298"/>
      <c r="Q8" s="292">
        <f t="shared" ref="Q8" si="4">O8+1</f>
        <v>23</v>
      </c>
      <c r="R8" s="298"/>
      <c r="S8" s="292">
        <f t="shared" ref="S8" si="5">Q8+1</f>
        <v>24</v>
      </c>
      <c r="T8" s="298"/>
      <c r="U8" s="292">
        <f t="shared" ref="U8" si="6">S8+1</f>
        <v>25</v>
      </c>
      <c r="V8" s="298"/>
      <c r="W8" s="292">
        <f t="shared" ref="W8" si="7">U8+1</f>
        <v>26</v>
      </c>
      <c r="X8" s="298"/>
      <c r="Y8" s="292">
        <f t="shared" ref="Y8" si="8">W8+1</f>
        <v>27</v>
      </c>
      <c r="Z8" s="298"/>
      <c r="AA8" s="292">
        <f t="shared" ref="AA8" si="9">Y8+1</f>
        <v>28</v>
      </c>
      <c r="AB8" s="298"/>
      <c r="AC8" s="292">
        <f t="shared" ref="AC8" si="10">AA8+1</f>
        <v>29</v>
      </c>
      <c r="AD8" s="298"/>
      <c r="AE8" s="292">
        <f t="shared" ref="AE8" si="11">AC8+1</f>
        <v>30</v>
      </c>
      <c r="AF8" s="298"/>
      <c r="AG8" s="292">
        <f t="shared" ref="AG8" si="12">AE8+1</f>
        <v>31</v>
      </c>
      <c r="AH8" s="298"/>
      <c r="AI8" s="292">
        <f t="shared" ref="AI8" si="13">AG8+1</f>
        <v>32</v>
      </c>
      <c r="AJ8" s="298"/>
      <c r="AK8" s="107"/>
    </row>
    <row r="9" spans="1:37" ht="24.75" customHeight="1" thickBot="1" x14ac:dyDescent="0.25">
      <c r="A9" s="6"/>
      <c r="B9" s="297"/>
      <c r="C9" s="297"/>
      <c r="D9" s="297"/>
      <c r="E9" s="108" t="s">
        <v>13</v>
      </c>
      <c r="F9" s="108" t="s">
        <v>14</v>
      </c>
      <c r="G9" s="108" t="s">
        <v>13</v>
      </c>
      <c r="H9" s="108" t="s">
        <v>14</v>
      </c>
      <c r="I9" s="108" t="s">
        <v>13</v>
      </c>
      <c r="J9" s="108" t="s">
        <v>14</v>
      </c>
      <c r="K9" s="108" t="s">
        <v>13</v>
      </c>
      <c r="L9" s="108" t="s">
        <v>14</v>
      </c>
      <c r="M9" s="108" t="s">
        <v>13</v>
      </c>
      <c r="N9" s="108" t="s">
        <v>14</v>
      </c>
      <c r="O9" s="108" t="s">
        <v>13</v>
      </c>
      <c r="P9" s="108" t="s">
        <v>14</v>
      </c>
      <c r="Q9" s="108" t="s">
        <v>13</v>
      </c>
      <c r="R9" s="108" t="s">
        <v>14</v>
      </c>
      <c r="S9" s="108" t="s">
        <v>13</v>
      </c>
      <c r="T9" s="108" t="s">
        <v>14</v>
      </c>
      <c r="U9" s="108" t="s">
        <v>13</v>
      </c>
      <c r="V9" s="108" t="s">
        <v>14</v>
      </c>
      <c r="W9" s="108" t="s">
        <v>13</v>
      </c>
      <c r="X9" s="108" t="s">
        <v>14</v>
      </c>
      <c r="Y9" s="108" t="s">
        <v>13</v>
      </c>
      <c r="Z9" s="108" t="s">
        <v>14</v>
      </c>
      <c r="AA9" s="108" t="s">
        <v>13</v>
      </c>
      <c r="AB9" s="108" t="s">
        <v>14</v>
      </c>
      <c r="AC9" s="108" t="s">
        <v>13</v>
      </c>
      <c r="AD9" s="108" t="s">
        <v>14</v>
      </c>
      <c r="AE9" s="108" t="s">
        <v>13</v>
      </c>
      <c r="AF9" s="108" t="s">
        <v>14</v>
      </c>
      <c r="AG9" s="108" t="s">
        <v>13</v>
      </c>
      <c r="AH9" s="108" t="s">
        <v>14</v>
      </c>
      <c r="AI9" s="108" t="s">
        <v>13</v>
      </c>
      <c r="AJ9" s="108" t="s">
        <v>14</v>
      </c>
      <c r="AK9" s="107"/>
    </row>
    <row r="10" spans="1:37" ht="16.5" customHeight="1" x14ac:dyDescent="0.2">
      <c r="A10" s="6"/>
      <c r="B10" s="21">
        <v>1</v>
      </c>
      <c r="C10" s="11">
        <f>'Kelas X'!C8</f>
        <v>16383</v>
      </c>
      <c r="D10" s="133" t="str">
        <f>'Kelas X'!D8</f>
        <v>ADYPATI NUZHA PUTRA SAFII</v>
      </c>
      <c r="E10" s="12"/>
      <c r="F10" s="13"/>
      <c r="G10" s="12"/>
      <c r="H10" s="13"/>
      <c r="I10" s="12"/>
      <c r="J10" s="13"/>
      <c r="K10" s="12"/>
      <c r="L10" s="13"/>
      <c r="M10" s="12"/>
      <c r="N10" s="13"/>
      <c r="O10" s="12"/>
      <c r="P10" s="13"/>
      <c r="Q10" s="12"/>
      <c r="R10" s="13"/>
      <c r="S10" s="12"/>
      <c r="T10" s="13"/>
      <c r="U10" s="12"/>
      <c r="V10" s="13"/>
      <c r="W10" s="12"/>
      <c r="X10" s="13"/>
      <c r="Y10" s="12"/>
      <c r="Z10" s="13"/>
      <c r="AA10" s="12"/>
      <c r="AB10" s="13"/>
      <c r="AC10" s="12"/>
      <c r="AD10" s="13"/>
      <c r="AE10" s="12"/>
      <c r="AF10" s="13"/>
      <c r="AG10" s="12"/>
      <c r="AH10" s="13"/>
      <c r="AI10" s="12"/>
      <c r="AJ10" s="13"/>
      <c r="AK10" s="107"/>
    </row>
    <row r="11" spans="1:37" ht="16.5" customHeight="1" x14ac:dyDescent="0.2">
      <c r="A11" s="6"/>
      <c r="B11" s="135">
        <f t="shared" ref="B11:B50" si="14">B10+1</f>
        <v>2</v>
      </c>
      <c r="C11" s="11">
        <f>'Kelas X'!C9</f>
        <v>16384</v>
      </c>
      <c r="D11" s="134" t="str">
        <f>'Kelas X'!D9</f>
        <v>ALI AMIRUDIN CAHYO</v>
      </c>
      <c r="E11" s="14"/>
      <c r="F11" s="15"/>
      <c r="G11" s="14"/>
      <c r="H11" s="15"/>
      <c r="I11" s="14"/>
      <c r="J11" s="15"/>
      <c r="K11" s="14"/>
      <c r="L11" s="15"/>
      <c r="M11" s="14"/>
      <c r="N11" s="15"/>
      <c r="O11" s="14"/>
      <c r="P11" s="15"/>
      <c r="Q11" s="14"/>
      <c r="R11" s="15"/>
      <c r="S11" s="14"/>
      <c r="T11" s="15"/>
      <c r="U11" s="14"/>
      <c r="V11" s="15"/>
      <c r="W11" s="14"/>
      <c r="X11" s="15"/>
      <c r="Y11" s="14"/>
      <c r="Z11" s="15"/>
      <c r="AA11" s="14"/>
      <c r="AB11" s="15"/>
      <c r="AC11" s="14"/>
      <c r="AD11" s="15"/>
      <c r="AE11" s="14"/>
      <c r="AF11" s="15"/>
      <c r="AG11" s="14"/>
      <c r="AH11" s="15"/>
      <c r="AI11" s="14"/>
      <c r="AJ11" s="15"/>
      <c r="AK11" s="107"/>
    </row>
    <row r="12" spans="1:37" ht="16.5" customHeight="1" x14ac:dyDescent="0.2">
      <c r="A12" s="6"/>
      <c r="B12" s="135">
        <f t="shared" si="14"/>
        <v>3</v>
      </c>
      <c r="C12" s="11">
        <f>'Kelas X'!C10</f>
        <v>16385</v>
      </c>
      <c r="D12" s="134" t="str">
        <f>'Kelas X'!D10</f>
        <v>ANTASENA BANI NATAATMAJA</v>
      </c>
      <c r="E12" s="14"/>
      <c r="F12" s="15"/>
      <c r="G12" s="14"/>
      <c r="H12" s="15"/>
      <c r="I12" s="14"/>
      <c r="J12" s="15"/>
      <c r="K12" s="14"/>
      <c r="L12" s="15"/>
      <c r="M12" s="14"/>
      <c r="N12" s="15"/>
      <c r="O12" s="14"/>
      <c r="P12" s="15"/>
      <c r="Q12" s="14"/>
      <c r="R12" s="15"/>
      <c r="S12" s="14"/>
      <c r="T12" s="15"/>
      <c r="U12" s="14"/>
      <c r="V12" s="15"/>
      <c r="W12" s="14"/>
      <c r="X12" s="15"/>
      <c r="Y12" s="14"/>
      <c r="Z12" s="15"/>
      <c r="AA12" s="14"/>
      <c r="AB12" s="15"/>
      <c r="AC12" s="14"/>
      <c r="AD12" s="15"/>
      <c r="AE12" s="14"/>
      <c r="AF12" s="15"/>
      <c r="AG12" s="14"/>
      <c r="AH12" s="15"/>
      <c r="AI12" s="14"/>
      <c r="AJ12" s="15"/>
      <c r="AK12" s="107"/>
    </row>
    <row r="13" spans="1:37" ht="16.5" customHeight="1" x14ac:dyDescent="0.2">
      <c r="A13" s="6"/>
      <c r="B13" s="135">
        <f t="shared" si="14"/>
        <v>4</v>
      </c>
      <c r="C13" s="11">
        <f>'Kelas X'!C11</f>
        <v>16386</v>
      </c>
      <c r="D13" s="134" t="str">
        <f>'Kelas X'!D11</f>
        <v>ARIF HIDAYAT</v>
      </c>
      <c r="E13" s="14"/>
      <c r="F13" s="15"/>
      <c r="G13" s="14"/>
      <c r="H13" s="15"/>
      <c r="I13" s="14"/>
      <c r="J13" s="15"/>
      <c r="K13" s="14"/>
      <c r="L13" s="15"/>
      <c r="M13" s="14"/>
      <c r="N13" s="15"/>
      <c r="O13" s="14"/>
      <c r="P13" s="15"/>
      <c r="Q13" s="14"/>
      <c r="R13" s="15"/>
      <c r="S13" s="14"/>
      <c r="T13" s="15"/>
      <c r="U13" s="14"/>
      <c r="V13" s="15"/>
      <c r="W13" s="14"/>
      <c r="X13" s="15"/>
      <c r="Y13" s="14"/>
      <c r="Z13" s="15"/>
      <c r="AA13" s="14"/>
      <c r="AB13" s="15"/>
      <c r="AC13" s="14"/>
      <c r="AD13" s="15"/>
      <c r="AE13" s="14"/>
      <c r="AF13" s="15"/>
      <c r="AG13" s="14"/>
      <c r="AH13" s="15"/>
      <c r="AI13" s="14"/>
      <c r="AJ13" s="15"/>
      <c r="AK13" s="107"/>
    </row>
    <row r="14" spans="1:37" ht="16.5" customHeight="1" x14ac:dyDescent="0.2">
      <c r="A14" s="6"/>
      <c r="B14" s="135">
        <f t="shared" si="14"/>
        <v>5</v>
      </c>
      <c r="C14" s="11">
        <f>'Kelas X'!C12</f>
        <v>16387</v>
      </c>
      <c r="D14" s="134" t="str">
        <f>'Kelas X'!D12</f>
        <v>ARIO ABDILLAH MAZHAZ</v>
      </c>
      <c r="E14" s="14"/>
      <c r="F14" s="15"/>
      <c r="G14" s="14"/>
      <c r="H14" s="15"/>
      <c r="I14" s="14"/>
      <c r="J14" s="15"/>
      <c r="K14" s="14"/>
      <c r="L14" s="15"/>
      <c r="M14" s="14"/>
      <c r="N14" s="15"/>
      <c r="O14" s="14"/>
      <c r="P14" s="15"/>
      <c r="Q14" s="14"/>
      <c r="R14" s="15"/>
      <c r="S14" s="14"/>
      <c r="T14" s="15"/>
      <c r="U14" s="14"/>
      <c r="V14" s="15"/>
      <c r="W14" s="14"/>
      <c r="X14" s="15"/>
      <c r="Y14" s="14"/>
      <c r="Z14" s="15"/>
      <c r="AA14" s="14"/>
      <c r="AB14" s="15"/>
      <c r="AC14" s="14"/>
      <c r="AD14" s="15"/>
      <c r="AE14" s="14"/>
      <c r="AF14" s="15"/>
      <c r="AG14" s="14"/>
      <c r="AH14" s="15"/>
      <c r="AI14" s="14"/>
      <c r="AJ14" s="15"/>
      <c r="AK14" s="107"/>
    </row>
    <row r="15" spans="1:37" ht="16.5" customHeight="1" x14ac:dyDescent="0.2">
      <c r="A15" s="6"/>
      <c r="B15" s="135">
        <f t="shared" si="14"/>
        <v>6</v>
      </c>
      <c r="C15" s="11">
        <f>'Kelas X'!C13</f>
        <v>16388</v>
      </c>
      <c r="D15" s="134" t="str">
        <f>'Kelas X'!D13</f>
        <v>BIMA ARYASENO AR-RASYID</v>
      </c>
      <c r="E15" s="14"/>
      <c r="F15" s="15"/>
      <c r="G15" s="14"/>
      <c r="H15" s="15"/>
      <c r="I15" s="14"/>
      <c r="J15" s="15"/>
      <c r="K15" s="14"/>
      <c r="L15" s="15"/>
      <c r="M15" s="14"/>
      <c r="N15" s="15"/>
      <c r="O15" s="14"/>
      <c r="P15" s="15"/>
      <c r="Q15" s="14"/>
      <c r="R15" s="15"/>
      <c r="S15" s="14"/>
      <c r="T15" s="15"/>
      <c r="U15" s="14"/>
      <c r="V15" s="15"/>
      <c r="W15" s="14"/>
      <c r="X15" s="15"/>
      <c r="Y15" s="14"/>
      <c r="Z15" s="15"/>
      <c r="AA15" s="14"/>
      <c r="AB15" s="15"/>
      <c r="AC15" s="14"/>
      <c r="AD15" s="15"/>
      <c r="AE15" s="14"/>
      <c r="AF15" s="15"/>
      <c r="AG15" s="14"/>
      <c r="AH15" s="15"/>
      <c r="AI15" s="14"/>
      <c r="AJ15" s="15"/>
      <c r="AK15" s="107"/>
    </row>
    <row r="16" spans="1:37" ht="16.5" customHeight="1" x14ac:dyDescent="0.2">
      <c r="A16" s="6"/>
      <c r="B16" s="135">
        <f t="shared" si="14"/>
        <v>7</v>
      </c>
      <c r="C16" s="11">
        <f>'Kelas X'!C14</f>
        <v>16389</v>
      </c>
      <c r="D16" s="134" t="str">
        <f>'Kelas X'!D14</f>
        <v>DIMAS SAPUTRA</v>
      </c>
      <c r="E16" s="14"/>
      <c r="F16" s="15"/>
      <c r="G16" s="14"/>
      <c r="H16" s="15"/>
      <c r="I16" s="14"/>
      <c r="J16" s="15"/>
      <c r="K16" s="14"/>
      <c r="L16" s="15"/>
      <c r="M16" s="14"/>
      <c r="N16" s="15"/>
      <c r="O16" s="14"/>
      <c r="P16" s="15"/>
      <c r="Q16" s="14"/>
      <c r="R16" s="15"/>
      <c r="S16" s="14"/>
      <c r="T16" s="15"/>
      <c r="U16" s="14"/>
      <c r="V16" s="15"/>
      <c r="W16" s="14"/>
      <c r="X16" s="15"/>
      <c r="Y16" s="14"/>
      <c r="Z16" s="15"/>
      <c r="AA16" s="14"/>
      <c r="AB16" s="15"/>
      <c r="AC16" s="14"/>
      <c r="AD16" s="15"/>
      <c r="AE16" s="14"/>
      <c r="AF16" s="15"/>
      <c r="AG16" s="14"/>
      <c r="AH16" s="15"/>
      <c r="AI16" s="14"/>
      <c r="AJ16" s="15"/>
      <c r="AK16" s="107"/>
    </row>
    <row r="17" spans="1:37" ht="16.5" customHeight="1" x14ac:dyDescent="0.2">
      <c r="A17" s="6"/>
      <c r="B17" s="135">
        <f t="shared" si="14"/>
        <v>8</v>
      </c>
      <c r="C17" s="11">
        <f>'Kelas X'!C15</f>
        <v>16390</v>
      </c>
      <c r="D17" s="134" t="str">
        <f>'Kelas X'!D15</f>
        <v>FAITH AZARIA AZFA</v>
      </c>
      <c r="E17" s="14"/>
      <c r="F17" s="15"/>
      <c r="G17" s="14"/>
      <c r="H17" s="15"/>
      <c r="I17" s="14"/>
      <c r="J17" s="15"/>
      <c r="K17" s="14"/>
      <c r="L17" s="15"/>
      <c r="M17" s="14"/>
      <c r="N17" s="15"/>
      <c r="O17" s="14"/>
      <c r="P17" s="15"/>
      <c r="Q17" s="14"/>
      <c r="R17" s="15"/>
      <c r="S17" s="14"/>
      <c r="T17" s="15"/>
      <c r="U17" s="14"/>
      <c r="V17" s="15"/>
      <c r="W17" s="14"/>
      <c r="X17" s="15"/>
      <c r="Y17" s="14"/>
      <c r="Z17" s="15"/>
      <c r="AA17" s="14"/>
      <c r="AB17" s="15"/>
      <c r="AC17" s="14"/>
      <c r="AD17" s="15"/>
      <c r="AE17" s="14"/>
      <c r="AF17" s="15"/>
      <c r="AG17" s="14"/>
      <c r="AH17" s="15"/>
      <c r="AI17" s="14"/>
      <c r="AJ17" s="15"/>
      <c r="AK17" s="107"/>
    </row>
    <row r="18" spans="1:37" ht="16.5" customHeight="1" x14ac:dyDescent="0.2">
      <c r="A18" s="6"/>
      <c r="B18" s="135">
        <f t="shared" si="14"/>
        <v>9</v>
      </c>
      <c r="C18" s="11">
        <f>'Kelas X'!C16</f>
        <v>16391</v>
      </c>
      <c r="D18" s="134" t="str">
        <f>'Kelas X'!D16</f>
        <v>IBRAHIM AINUN M</v>
      </c>
      <c r="E18" s="14"/>
      <c r="F18" s="15"/>
      <c r="G18" s="14"/>
      <c r="H18" s="15"/>
      <c r="I18" s="14"/>
      <c r="J18" s="15"/>
      <c r="K18" s="14"/>
      <c r="L18" s="15"/>
      <c r="M18" s="14"/>
      <c r="N18" s="15"/>
      <c r="O18" s="14"/>
      <c r="P18" s="15"/>
      <c r="Q18" s="14"/>
      <c r="R18" s="15"/>
      <c r="S18" s="14"/>
      <c r="T18" s="15"/>
      <c r="U18" s="14"/>
      <c r="V18" s="15"/>
      <c r="W18" s="14"/>
      <c r="X18" s="15"/>
      <c r="Y18" s="14"/>
      <c r="Z18" s="15"/>
      <c r="AA18" s="14"/>
      <c r="AB18" s="15"/>
      <c r="AC18" s="14"/>
      <c r="AD18" s="15"/>
      <c r="AE18" s="14"/>
      <c r="AF18" s="15"/>
      <c r="AG18" s="14"/>
      <c r="AH18" s="15"/>
      <c r="AI18" s="14"/>
      <c r="AJ18" s="15"/>
      <c r="AK18" s="107"/>
    </row>
    <row r="19" spans="1:37" ht="16.5" customHeight="1" x14ac:dyDescent="0.2">
      <c r="A19" s="6"/>
      <c r="B19" s="135">
        <f t="shared" si="14"/>
        <v>10</v>
      </c>
      <c r="C19" s="11">
        <f>'Kelas X'!C17</f>
        <v>16392</v>
      </c>
      <c r="D19" s="134" t="str">
        <f>'Kelas X'!D17</f>
        <v>ISNAREJA TURZAITA ZAIN</v>
      </c>
      <c r="E19" s="14"/>
      <c r="F19" s="15"/>
      <c r="G19" s="14"/>
      <c r="H19" s="15"/>
      <c r="I19" s="14"/>
      <c r="J19" s="15"/>
      <c r="K19" s="14"/>
      <c r="L19" s="15" t="s">
        <v>15</v>
      </c>
      <c r="M19" s="14"/>
      <c r="N19" s="15"/>
      <c r="O19" s="14"/>
      <c r="P19" s="15"/>
      <c r="Q19" s="14"/>
      <c r="R19" s="15"/>
      <c r="S19" s="14"/>
      <c r="T19" s="15"/>
      <c r="U19" s="14"/>
      <c r="V19" s="15"/>
      <c r="W19" s="14"/>
      <c r="X19" s="15"/>
      <c r="Y19" s="14"/>
      <c r="Z19" s="15"/>
      <c r="AA19" s="14"/>
      <c r="AB19" s="15"/>
      <c r="AC19" s="14"/>
      <c r="AD19" s="15"/>
      <c r="AE19" s="14"/>
      <c r="AF19" s="15"/>
      <c r="AG19" s="14"/>
      <c r="AH19" s="15"/>
      <c r="AI19" s="14"/>
      <c r="AJ19" s="15"/>
      <c r="AK19" s="107"/>
    </row>
    <row r="20" spans="1:37" ht="16.5" customHeight="1" x14ac:dyDescent="0.2">
      <c r="A20" s="6"/>
      <c r="B20" s="135">
        <f t="shared" si="14"/>
        <v>11</v>
      </c>
      <c r="C20" s="11">
        <f>'Kelas X'!C18</f>
        <v>16393</v>
      </c>
      <c r="D20" s="134" t="str">
        <f>'Kelas X'!D18</f>
        <v>MAHBUB HAYATULLOH NIDZOMI</v>
      </c>
      <c r="E20" s="14"/>
      <c r="F20" s="15"/>
      <c r="G20" s="14"/>
      <c r="H20" s="15"/>
      <c r="I20" s="14"/>
      <c r="J20" s="15"/>
      <c r="K20" s="14"/>
      <c r="L20" s="15"/>
      <c r="M20" s="14"/>
      <c r="N20" s="15"/>
      <c r="O20" s="14"/>
      <c r="P20" s="15"/>
      <c r="Q20" s="14"/>
      <c r="R20" s="15"/>
      <c r="S20" s="14"/>
      <c r="T20" s="15"/>
      <c r="U20" s="14"/>
      <c r="V20" s="15"/>
      <c r="W20" s="14"/>
      <c r="X20" s="15"/>
      <c r="Y20" s="14"/>
      <c r="Z20" s="15"/>
      <c r="AA20" s="14"/>
      <c r="AB20" s="15"/>
      <c r="AC20" s="14"/>
      <c r="AD20" s="15"/>
      <c r="AE20" s="14"/>
      <c r="AF20" s="15"/>
      <c r="AG20" s="14"/>
      <c r="AH20" s="15"/>
      <c r="AI20" s="14"/>
      <c r="AJ20" s="15"/>
      <c r="AK20" s="107"/>
    </row>
    <row r="21" spans="1:37" ht="16.5" customHeight="1" x14ac:dyDescent="0.2">
      <c r="A21" s="6"/>
      <c r="B21" s="135">
        <f t="shared" si="14"/>
        <v>12</v>
      </c>
      <c r="C21" s="11">
        <f>'Kelas X'!C19</f>
        <v>16394</v>
      </c>
      <c r="D21" s="134" t="str">
        <f>'Kelas X'!D19</f>
        <v>MOCH HALIM HILMI</v>
      </c>
      <c r="E21" s="14"/>
      <c r="F21" s="15"/>
      <c r="G21" s="14"/>
      <c r="H21" s="15"/>
      <c r="I21" s="14"/>
      <c r="J21" s="15"/>
      <c r="K21" s="14"/>
      <c r="L21" s="15"/>
      <c r="M21" s="14"/>
      <c r="N21" s="15"/>
      <c r="O21" s="14"/>
      <c r="P21" s="15"/>
      <c r="Q21" s="14"/>
      <c r="R21" s="15"/>
      <c r="S21" s="14"/>
      <c r="T21" s="15"/>
      <c r="U21" s="14"/>
      <c r="V21" s="15"/>
      <c r="W21" s="14"/>
      <c r="X21" s="15"/>
      <c r="Y21" s="14"/>
      <c r="Z21" s="15"/>
      <c r="AA21" s="14"/>
      <c r="AB21" s="15"/>
      <c r="AC21" s="14"/>
      <c r="AD21" s="15"/>
      <c r="AE21" s="14"/>
      <c r="AF21" s="15"/>
      <c r="AG21" s="14"/>
      <c r="AH21" s="15"/>
      <c r="AI21" s="14"/>
      <c r="AJ21" s="15"/>
      <c r="AK21" s="107"/>
    </row>
    <row r="22" spans="1:37" ht="16.5" customHeight="1" x14ac:dyDescent="0.2">
      <c r="A22" s="6"/>
      <c r="B22" s="135">
        <f t="shared" si="14"/>
        <v>13</v>
      </c>
      <c r="C22" s="11">
        <f>'Kelas X'!C20</f>
        <v>16395</v>
      </c>
      <c r="D22" s="134" t="str">
        <f>'Kelas X'!D20</f>
        <v>MOCHAMAD VICKY AL FARIZI</v>
      </c>
      <c r="E22" s="14"/>
      <c r="F22" s="15"/>
      <c r="G22" s="14"/>
      <c r="H22" s="15"/>
      <c r="I22" s="14"/>
      <c r="J22" s="15"/>
      <c r="K22" s="14"/>
      <c r="L22" s="15"/>
      <c r="M22" s="14"/>
      <c r="N22" s="15"/>
      <c r="O22" s="14"/>
      <c r="P22" s="15"/>
      <c r="Q22" s="14"/>
      <c r="R22" s="15"/>
      <c r="S22" s="14"/>
      <c r="T22" s="15"/>
      <c r="U22" s="14"/>
      <c r="V22" s="15"/>
      <c r="W22" s="14"/>
      <c r="X22" s="15"/>
      <c r="Y22" s="14"/>
      <c r="Z22" s="15"/>
      <c r="AA22" s="14"/>
      <c r="AB22" s="15"/>
      <c r="AC22" s="14"/>
      <c r="AD22" s="15"/>
      <c r="AE22" s="14"/>
      <c r="AF22" s="15"/>
      <c r="AG22" s="14"/>
      <c r="AH22" s="15"/>
      <c r="AI22" s="14"/>
      <c r="AJ22" s="15"/>
      <c r="AK22" s="107"/>
    </row>
    <row r="23" spans="1:37" ht="16.5" customHeight="1" x14ac:dyDescent="0.2">
      <c r="A23" s="6"/>
      <c r="B23" s="135">
        <f t="shared" si="14"/>
        <v>14</v>
      </c>
      <c r="C23" s="11">
        <f>'Kelas X'!C21</f>
        <v>16396</v>
      </c>
      <c r="D23" s="134" t="str">
        <f>'Kelas X'!D21</f>
        <v>MOCHAMMAD RAFAILLAH ATHA</v>
      </c>
      <c r="E23" s="14"/>
      <c r="F23" s="15"/>
      <c r="G23" s="14"/>
      <c r="H23" s="15"/>
      <c r="I23" s="14"/>
      <c r="J23" s="15"/>
      <c r="K23" s="14"/>
      <c r="L23" s="15"/>
      <c r="M23" s="14"/>
      <c r="N23" s="15"/>
      <c r="O23" s="14"/>
      <c r="P23" s="15"/>
      <c r="Q23" s="14"/>
      <c r="R23" s="15"/>
      <c r="S23" s="14"/>
      <c r="T23" s="15"/>
      <c r="U23" s="14"/>
      <c r="V23" s="15"/>
      <c r="W23" s="14"/>
      <c r="X23" s="15"/>
      <c r="Y23" s="14"/>
      <c r="Z23" s="15"/>
      <c r="AA23" s="14"/>
      <c r="AB23" s="15"/>
      <c r="AC23" s="14"/>
      <c r="AD23" s="15"/>
      <c r="AE23" s="14"/>
      <c r="AF23" s="15"/>
      <c r="AG23" s="14"/>
      <c r="AH23" s="15"/>
      <c r="AI23" s="14"/>
      <c r="AJ23" s="15"/>
      <c r="AK23" s="107"/>
    </row>
    <row r="24" spans="1:37" ht="16.5" customHeight="1" x14ac:dyDescent="0.2">
      <c r="A24" s="6"/>
      <c r="B24" s="135">
        <f t="shared" si="14"/>
        <v>15</v>
      </c>
      <c r="C24" s="11">
        <f>'Kelas X'!C22</f>
        <v>16397</v>
      </c>
      <c r="D24" s="134" t="str">
        <f>'Kelas X'!D22</f>
        <v>MOHAMMAD THOWAF DZIKRON</v>
      </c>
      <c r="E24" s="14"/>
      <c r="F24" s="15"/>
      <c r="G24" s="14"/>
      <c r="H24" s="15"/>
      <c r="I24" s="14"/>
      <c r="J24" s="15"/>
      <c r="K24" s="14"/>
      <c r="L24" s="15"/>
      <c r="M24" s="14"/>
      <c r="N24" s="15"/>
      <c r="O24" s="14"/>
      <c r="P24" s="15"/>
      <c r="Q24" s="14"/>
      <c r="R24" s="15"/>
      <c r="S24" s="14"/>
      <c r="T24" s="15"/>
      <c r="U24" s="14"/>
      <c r="V24" s="15"/>
      <c r="W24" s="14"/>
      <c r="X24" s="15"/>
      <c r="Y24" s="14"/>
      <c r="Z24" s="15"/>
      <c r="AA24" s="14"/>
      <c r="AB24" s="15"/>
      <c r="AC24" s="14"/>
      <c r="AD24" s="15"/>
      <c r="AE24" s="14"/>
      <c r="AF24" s="15"/>
      <c r="AG24" s="14"/>
      <c r="AH24" s="15"/>
      <c r="AI24" s="14"/>
      <c r="AJ24" s="15"/>
      <c r="AK24" s="107"/>
    </row>
    <row r="25" spans="1:37" ht="16.5" customHeight="1" x14ac:dyDescent="0.2">
      <c r="A25" s="6"/>
      <c r="B25" s="135">
        <f t="shared" si="14"/>
        <v>16</v>
      </c>
      <c r="C25" s="11">
        <f>'Kelas X'!C23</f>
        <v>16398</v>
      </c>
      <c r="D25" s="134" t="str">
        <f>'Kelas X'!D23</f>
        <v>MOHAMMAD UFAIR BILBIR</v>
      </c>
      <c r="E25" s="14"/>
      <c r="F25" s="15"/>
      <c r="G25" s="14"/>
      <c r="H25" s="15"/>
      <c r="I25" s="14"/>
      <c r="J25" s="15"/>
      <c r="K25" s="14"/>
      <c r="L25" s="15"/>
      <c r="M25" s="14"/>
      <c r="N25" s="15"/>
      <c r="O25" s="14"/>
      <c r="P25" s="15"/>
      <c r="Q25" s="14"/>
      <c r="R25" s="15"/>
      <c r="S25" s="14"/>
      <c r="T25" s="15"/>
      <c r="U25" s="14"/>
      <c r="V25" s="15"/>
      <c r="W25" s="14"/>
      <c r="X25" s="15"/>
      <c r="Y25" s="14"/>
      <c r="Z25" s="15"/>
      <c r="AA25" s="14"/>
      <c r="AB25" s="15"/>
      <c r="AC25" s="14"/>
      <c r="AD25" s="15"/>
      <c r="AE25" s="14"/>
      <c r="AF25" s="15"/>
      <c r="AG25" s="14"/>
      <c r="AH25" s="15"/>
      <c r="AI25" s="14"/>
      <c r="AJ25" s="15"/>
      <c r="AK25" s="107"/>
    </row>
    <row r="26" spans="1:37" ht="16.5" customHeight="1" x14ac:dyDescent="0.2">
      <c r="A26" s="6"/>
      <c r="B26" s="135">
        <f t="shared" si="14"/>
        <v>17</v>
      </c>
      <c r="C26" s="11">
        <f>'Kelas X'!C24</f>
        <v>16399</v>
      </c>
      <c r="D26" s="134" t="str">
        <f>'Kelas X'!D24</f>
        <v>MUCHAMMAD AZZAM AL FARUQ</v>
      </c>
      <c r="E26" s="14"/>
      <c r="F26" s="15"/>
      <c r="G26" s="14"/>
      <c r="H26" s="15"/>
      <c r="I26" s="14"/>
      <c r="J26" s="15"/>
      <c r="K26" s="14"/>
      <c r="L26" s="15"/>
      <c r="M26" s="14"/>
      <c r="N26" s="15"/>
      <c r="O26" s="14"/>
      <c r="P26" s="15"/>
      <c r="Q26" s="14"/>
      <c r="R26" s="15"/>
      <c r="S26" s="14"/>
      <c r="T26" s="15"/>
      <c r="U26" s="14"/>
      <c r="V26" s="15"/>
      <c r="W26" s="14"/>
      <c r="X26" s="15"/>
      <c r="Y26" s="14"/>
      <c r="Z26" s="15"/>
      <c r="AA26" s="14"/>
      <c r="AB26" s="15"/>
      <c r="AC26" s="14"/>
      <c r="AD26" s="15"/>
      <c r="AE26" s="14"/>
      <c r="AF26" s="15"/>
      <c r="AG26" s="14"/>
      <c r="AH26" s="15"/>
      <c r="AI26" s="14"/>
      <c r="AJ26" s="15"/>
      <c r="AK26" s="107"/>
    </row>
    <row r="27" spans="1:37" ht="16.5" customHeight="1" x14ac:dyDescent="0.2">
      <c r="A27" s="6"/>
      <c r="B27" s="135">
        <f t="shared" si="14"/>
        <v>18</v>
      </c>
      <c r="C27" s="11">
        <f>'Kelas X'!C25</f>
        <v>16400</v>
      </c>
      <c r="D27" s="134" t="str">
        <f>'Kelas X'!D25</f>
        <v xml:space="preserve">MUH ARHAM </v>
      </c>
      <c r="E27" s="14"/>
      <c r="F27" s="15"/>
      <c r="G27" s="14"/>
      <c r="H27" s="15"/>
      <c r="I27" s="14"/>
      <c r="J27" s="15"/>
      <c r="K27" s="14"/>
      <c r="L27" s="15"/>
      <c r="M27" s="14"/>
      <c r="N27" s="15"/>
      <c r="O27" s="14"/>
      <c r="P27" s="15"/>
      <c r="Q27" s="14"/>
      <c r="R27" s="15"/>
      <c r="S27" s="14"/>
      <c r="T27" s="15"/>
      <c r="U27" s="14"/>
      <c r="V27" s="15"/>
      <c r="W27" s="14"/>
      <c r="X27" s="15"/>
      <c r="Y27" s="14"/>
      <c r="Z27" s="15"/>
      <c r="AA27" s="14"/>
      <c r="AB27" s="15"/>
      <c r="AC27" s="14"/>
      <c r="AD27" s="15"/>
      <c r="AE27" s="14"/>
      <c r="AF27" s="15"/>
      <c r="AG27" s="14"/>
      <c r="AH27" s="15"/>
      <c r="AI27" s="14"/>
      <c r="AJ27" s="15"/>
      <c r="AK27" s="107"/>
    </row>
    <row r="28" spans="1:37" ht="16.5" customHeight="1" x14ac:dyDescent="0.2">
      <c r="A28" s="6"/>
      <c r="B28" s="135">
        <f t="shared" si="14"/>
        <v>19</v>
      </c>
      <c r="C28" s="11">
        <f>'Kelas X'!C26</f>
        <v>16401</v>
      </c>
      <c r="D28" s="134" t="str">
        <f>'Kelas X'!D26</f>
        <v>MUHAMMAD ALFIN FARKHANA</v>
      </c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14"/>
      <c r="AB28" s="15"/>
      <c r="AC28" s="14"/>
      <c r="AD28" s="15"/>
      <c r="AE28" s="14"/>
      <c r="AF28" s="15"/>
      <c r="AG28" s="14"/>
      <c r="AH28" s="15"/>
      <c r="AI28" s="14"/>
      <c r="AJ28" s="15"/>
      <c r="AK28" s="107"/>
    </row>
    <row r="29" spans="1:37" ht="16.5" customHeight="1" x14ac:dyDescent="0.2">
      <c r="A29" s="6"/>
      <c r="B29" s="135">
        <f t="shared" si="14"/>
        <v>20</v>
      </c>
      <c r="C29" s="11">
        <f>'Kelas X'!C27</f>
        <v>16402</v>
      </c>
      <c r="D29" s="134" t="str">
        <f>'Kelas X'!D27</f>
        <v>MUHAMMAD ARIF ELSANDY</v>
      </c>
      <c r="E29" s="14"/>
      <c r="F29" s="15"/>
      <c r="G29" s="14"/>
      <c r="H29" s="15"/>
      <c r="I29" s="14"/>
      <c r="J29" s="15"/>
      <c r="K29" s="14"/>
      <c r="L29" s="15"/>
      <c r="M29" s="14"/>
      <c r="N29" s="15"/>
      <c r="O29" s="14"/>
      <c r="P29" s="15"/>
      <c r="Q29" s="14"/>
      <c r="R29" s="15"/>
      <c r="S29" s="14"/>
      <c r="T29" s="15"/>
      <c r="U29" s="14"/>
      <c r="V29" s="15"/>
      <c r="W29" s="14"/>
      <c r="X29" s="15"/>
      <c r="Y29" s="14"/>
      <c r="Z29" s="15"/>
      <c r="AA29" s="14"/>
      <c r="AB29" s="15"/>
      <c r="AC29" s="14"/>
      <c r="AD29" s="15"/>
      <c r="AE29" s="14"/>
      <c r="AF29" s="15"/>
      <c r="AG29" s="14"/>
      <c r="AH29" s="15"/>
      <c r="AI29" s="14"/>
      <c r="AJ29" s="15"/>
      <c r="AK29" s="107"/>
    </row>
    <row r="30" spans="1:37" ht="16.5" customHeight="1" x14ac:dyDescent="0.2">
      <c r="A30" s="6"/>
      <c r="B30" s="135">
        <f t="shared" si="14"/>
        <v>21</v>
      </c>
      <c r="C30" s="11">
        <f>'Kelas X'!C28</f>
        <v>16403</v>
      </c>
      <c r="D30" s="134" t="str">
        <f>'Kelas X'!D28</f>
        <v>MUHAMMAD NAUFAL AFKAR</v>
      </c>
      <c r="E30" s="14"/>
      <c r="F30" s="15"/>
      <c r="G30" s="14"/>
      <c r="H30" s="15"/>
      <c r="I30" s="14"/>
      <c r="J30" s="15"/>
      <c r="K30" s="14"/>
      <c r="L30" s="15"/>
      <c r="M30" s="14"/>
      <c r="N30" s="15"/>
      <c r="O30" s="14"/>
      <c r="P30" s="15"/>
      <c r="Q30" s="14"/>
      <c r="R30" s="15"/>
      <c r="S30" s="14"/>
      <c r="T30" s="15"/>
      <c r="U30" s="14"/>
      <c r="V30" s="15"/>
      <c r="W30" s="14"/>
      <c r="X30" s="15"/>
      <c r="Y30" s="14"/>
      <c r="Z30" s="15"/>
      <c r="AA30" s="14"/>
      <c r="AB30" s="15"/>
      <c r="AC30" s="14"/>
      <c r="AD30" s="15"/>
      <c r="AE30" s="14"/>
      <c r="AF30" s="15"/>
      <c r="AG30" s="14"/>
      <c r="AH30" s="15"/>
      <c r="AI30" s="14"/>
      <c r="AJ30" s="15"/>
      <c r="AK30" s="107"/>
    </row>
    <row r="31" spans="1:37" ht="16.5" customHeight="1" x14ac:dyDescent="0.2">
      <c r="A31" s="6"/>
      <c r="B31" s="135">
        <f t="shared" si="14"/>
        <v>22</v>
      </c>
      <c r="C31" s="11">
        <f>'Kelas X'!C29</f>
        <v>16404</v>
      </c>
      <c r="D31" s="134" t="str">
        <f>'Kelas X'!D29</f>
        <v>MUHAMMAD RAFSANJANI RAHMANA</v>
      </c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07"/>
    </row>
    <row r="32" spans="1:37" ht="16.5" customHeight="1" x14ac:dyDescent="0.2">
      <c r="A32" s="6"/>
      <c r="B32" s="135">
        <f t="shared" si="14"/>
        <v>23</v>
      </c>
      <c r="C32" s="11">
        <f>'Kelas X'!C30</f>
        <v>16405</v>
      </c>
      <c r="D32" s="134" t="str">
        <f>'Kelas X'!D30</f>
        <v>MUHAMMAD ROYYAN ALEANSYAH</v>
      </c>
      <c r="E32" s="14"/>
      <c r="F32" s="15"/>
      <c r="G32" s="14"/>
      <c r="H32" s="15"/>
      <c r="I32" s="14"/>
      <c r="J32" s="15"/>
      <c r="K32" s="14"/>
      <c r="L32" s="15"/>
      <c r="M32" s="14"/>
      <c r="N32" s="15"/>
      <c r="O32" s="14"/>
      <c r="P32" s="15"/>
      <c r="Q32" s="14"/>
      <c r="R32" s="15"/>
      <c r="S32" s="14"/>
      <c r="T32" s="15"/>
      <c r="U32" s="14"/>
      <c r="V32" s="15"/>
      <c r="W32" s="14"/>
      <c r="X32" s="15"/>
      <c r="Y32" s="14"/>
      <c r="Z32" s="15"/>
      <c r="AA32" s="14"/>
      <c r="AB32" s="15"/>
      <c r="AC32" s="14"/>
      <c r="AD32" s="15"/>
      <c r="AE32" s="14"/>
      <c r="AF32" s="15"/>
      <c r="AG32" s="14"/>
      <c r="AH32" s="15"/>
      <c r="AI32" s="14"/>
      <c r="AJ32" s="15"/>
      <c r="AK32" s="107"/>
    </row>
    <row r="33" spans="1:37" ht="16.5" customHeight="1" x14ac:dyDescent="0.2">
      <c r="A33" s="6"/>
      <c r="B33" s="135">
        <f t="shared" si="14"/>
        <v>24</v>
      </c>
      <c r="C33" s="11">
        <f>'Kelas X'!C31</f>
        <v>16406</v>
      </c>
      <c r="D33" s="134" t="str">
        <f>'Kelas X'!D31</f>
        <v>NADZHIF LUQMAN MUROD</v>
      </c>
      <c r="E33" s="14"/>
      <c r="F33" s="15"/>
      <c r="G33" s="14"/>
      <c r="H33" s="15"/>
      <c r="I33" s="14"/>
      <c r="J33" s="15"/>
      <c r="K33" s="14"/>
      <c r="L33" s="15"/>
      <c r="M33" s="14"/>
      <c r="N33" s="15"/>
      <c r="O33" s="14"/>
      <c r="P33" s="15"/>
      <c r="Q33" s="14"/>
      <c r="R33" s="15"/>
      <c r="S33" s="14"/>
      <c r="T33" s="15"/>
      <c r="U33" s="14"/>
      <c r="V33" s="15"/>
      <c r="W33" s="14"/>
      <c r="X33" s="15"/>
      <c r="Y33" s="14"/>
      <c r="Z33" s="15"/>
      <c r="AA33" s="14"/>
      <c r="AB33" s="15"/>
      <c r="AC33" s="14"/>
      <c r="AD33" s="15"/>
      <c r="AE33" s="14"/>
      <c r="AF33" s="15"/>
      <c r="AG33" s="14"/>
      <c r="AH33" s="15"/>
      <c r="AI33" s="14"/>
      <c r="AJ33" s="15"/>
      <c r="AK33" s="107"/>
    </row>
    <row r="34" spans="1:37" ht="16.5" customHeight="1" x14ac:dyDescent="0.2">
      <c r="A34" s="6"/>
      <c r="B34" s="135">
        <f t="shared" si="14"/>
        <v>25</v>
      </c>
      <c r="C34" s="11">
        <f>'Kelas X'!C32</f>
        <v>16407</v>
      </c>
      <c r="D34" s="134" t="str">
        <f>'Kelas X'!D32</f>
        <v>NIZAR AKBAR WARDANA</v>
      </c>
      <c r="E34" s="14"/>
      <c r="F34" s="15"/>
      <c r="G34" s="14"/>
      <c r="H34" s="15"/>
      <c r="I34" s="14"/>
      <c r="J34" s="15"/>
      <c r="K34" s="14"/>
      <c r="L34" s="15"/>
      <c r="M34" s="14"/>
      <c r="N34" s="15"/>
      <c r="O34" s="14"/>
      <c r="P34" s="15"/>
      <c r="Q34" s="14"/>
      <c r="R34" s="15"/>
      <c r="S34" s="14"/>
      <c r="T34" s="15"/>
      <c r="U34" s="14"/>
      <c r="V34" s="15"/>
      <c r="W34" s="14"/>
      <c r="X34" s="15"/>
      <c r="Y34" s="14"/>
      <c r="Z34" s="15"/>
      <c r="AA34" s="14"/>
      <c r="AB34" s="15"/>
      <c r="AC34" s="14"/>
      <c r="AD34" s="15"/>
      <c r="AE34" s="14"/>
      <c r="AF34" s="15"/>
      <c r="AG34" s="14"/>
      <c r="AH34" s="15"/>
      <c r="AI34" s="14"/>
      <c r="AJ34" s="15"/>
      <c r="AK34" s="107"/>
    </row>
    <row r="35" spans="1:37" ht="16.5" customHeight="1" x14ac:dyDescent="0.2">
      <c r="A35" s="6"/>
      <c r="B35" s="135">
        <f t="shared" si="14"/>
        <v>26</v>
      </c>
      <c r="C35" s="11">
        <f>'Kelas X'!C33</f>
        <v>16408</v>
      </c>
      <c r="D35" s="134" t="str">
        <f>'Kelas X'!D33</f>
        <v>RAIHAN SURYA AKBAR</v>
      </c>
      <c r="E35" s="14"/>
      <c r="F35" s="15"/>
      <c r="G35" s="14"/>
      <c r="H35" s="15"/>
      <c r="I35" s="14"/>
      <c r="J35" s="15"/>
      <c r="K35" s="14"/>
      <c r="L35" s="15"/>
      <c r="M35" s="14"/>
      <c r="N35" s="15"/>
      <c r="O35" s="14"/>
      <c r="P35" s="15"/>
      <c r="Q35" s="14"/>
      <c r="R35" s="15"/>
      <c r="S35" s="14"/>
      <c r="T35" s="15"/>
      <c r="U35" s="14"/>
      <c r="V35" s="15"/>
      <c r="W35" s="14"/>
      <c r="X35" s="15"/>
      <c r="Y35" s="14"/>
      <c r="Z35" s="15"/>
      <c r="AA35" s="14"/>
      <c r="AB35" s="15"/>
      <c r="AC35" s="14"/>
      <c r="AD35" s="15"/>
      <c r="AE35" s="14"/>
      <c r="AF35" s="15"/>
      <c r="AG35" s="14"/>
      <c r="AH35" s="15"/>
      <c r="AI35" s="14"/>
      <c r="AJ35" s="15"/>
      <c r="AK35" s="107"/>
    </row>
    <row r="36" spans="1:37" ht="16.5" customHeight="1" x14ac:dyDescent="0.2">
      <c r="A36" s="6"/>
      <c r="B36" s="135">
        <f t="shared" si="14"/>
        <v>27</v>
      </c>
      <c r="C36" s="11">
        <f>'Kelas X'!C34</f>
        <v>16409</v>
      </c>
      <c r="D36" s="134" t="str">
        <f>'Kelas X'!D34</f>
        <v>RASYA ALDIMAN</v>
      </c>
      <c r="E36" s="14"/>
      <c r="F36" s="15"/>
      <c r="G36" s="14"/>
      <c r="H36" s="15"/>
      <c r="I36" s="14"/>
      <c r="J36" s="15"/>
      <c r="K36" s="14"/>
      <c r="L36" s="15"/>
      <c r="M36" s="14"/>
      <c r="N36" s="15"/>
      <c r="O36" s="14"/>
      <c r="P36" s="15"/>
      <c r="Q36" s="14"/>
      <c r="R36" s="15"/>
      <c r="S36" s="14"/>
      <c r="T36" s="15"/>
      <c r="U36" s="14"/>
      <c r="V36" s="15"/>
      <c r="W36" s="14"/>
      <c r="X36" s="15"/>
      <c r="Y36" s="14"/>
      <c r="Z36" s="15"/>
      <c r="AA36" s="14"/>
      <c r="AB36" s="15"/>
      <c r="AC36" s="14"/>
      <c r="AD36" s="15"/>
      <c r="AE36" s="14"/>
      <c r="AF36" s="15"/>
      <c r="AG36" s="14"/>
      <c r="AH36" s="15"/>
      <c r="AI36" s="14"/>
      <c r="AJ36" s="15"/>
      <c r="AK36" s="107"/>
    </row>
    <row r="37" spans="1:37" ht="16.5" customHeight="1" x14ac:dyDescent="0.2">
      <c r="A37" s="6"/>
      <c r="B37" s="135">
        <f t="shared" si="14"/>
        <v>28</v>
      </c>
      <c r="C37" s="11">
        <f>'Kelas X'!C35</f>
        <v>0</v>
      </c>
      <c r="D37" s="134">
        <f>'Kelas X'!D35</f>
        <v>0</v>
      </c>
      <c r="E37" s="14"/>
      <c r="F37" s="15"/>
      <c r="G37" s="14"/>
      <c r="H37" s="15"/>
      <c r="I37" s="14"/>
      <c r="J37" s="15"/>
      <c r="K37" s="14"/>
      <c r="L37" s="15"/>
      <c r="M37" s="14"/>
      <c r="N37" s="15"/>
      <c r="O37" s="14"/>
      <c r="P37" s="15"/>
      <c r="Q37" s="14"/>
      <c r="R37" s="15"/>
      <c r="S37" s="14"/>
      <c r="T37" s="15"/>
      <c r="U37" s="14"/>
      <c r="V37" s="15"/>
      <c r="W37" s="14"/>
      <c r="X37" s="15"/>
      <c r="Y37" s="14"/>
      <c r="Z37" s="15"/>
      <c r="AA37" s="14"/>
      <c r="AB37" s="15"/>
      <c r="AC37" s="14"/>
      <c r="AD37" s="15"/>
      <c r="AE37" s="14"/>
      <c r="AF37" s="15"/>
      <c r="AG37" s="14"/>
      <c r="AH37" s="15"/>
      <c r="AI37" s="14"/>
      <c r="AJ37" s="15"/>
      <c r="AK37" s="107"/>
    </row>
    <row r="38" spans="1:37" ht="16.5" customHeight="1" x14ac:dyDescent="0.2">
      <c r="A38" s="6"/>
      <c r="B38" s="135">
        <f t="shared" si="14"/>
        <v>29</v>
      </c>
      <c r="C38" s="11">
        <f>'Kelas X'!C36</f>
        <v>0</v>
      </c>
      <c r="D38" s="134">
        <f>'Kelas X'!D36</f>
        <v>0</v>
      </c>
      <c r="E38" s="16"/>
      <c r="F38" s="17"/>
      <c r="G38" s="16"/>
      <c r="H38" s="17"/>
      <c r="I38" s="16"/>
      <c r="J38" s="17"/>
      <c r="K38" s="16"/>
      <c r="L38" s="17"/>
      <c r="M38" s="16"/>
      <c r="N38" s="17"/>
      <c r="O38" s="16"/>
      <c r="P38" s="17"/>
      <c r="Q38" s="16"/>
      <c r="R38" s="17"/>
      <c r="S38" s="16"/>
      <c r="T38" s="17"/>
      <c r="U38" s="16"/>
      <c r="V38" s="17"/>
      <c r="W38" s="16"/>
      <c r="X38" s="17"/>
      <c r="Y38" s="16"/>
      <c r="Z38" s="17"/>
      <c r="AA38" s="16"/>
      <c r="AB38" s="17"/>
      <c r="AC38" s="16"/>
      <c r="AD38" s="17"/>
      <c r="AE38" s="16"/>
      <c r="AF38" s="17"/>
      <c r="AG38" s="16"/>
      <c r="AH38" s="17"/>
      <c r="AI38" s="16"/>
      <c r="AJ38" s="17"/>
      <c r="AK38" s="107"/>
    </row>
    <row r="39" spans="1:37" ht="16.5" customHeight="1" x14ac:dyDescent="0.2">
      <c r="A39" s="6"/>
      <c r="B39" s="135">
        <f t="shared" si="14"/>
        <v>30</v>
      </c>
      <c r="C39" s="11">
        <f>'Kelas X'!C37</f>
        <v>0</v>
      </c>
      <c r="D39" s="134">
        <f>'Kelas X'!D37</f>
        <v>0</v>
      </c>
      <c r="E39" s="16"/>
      <c r="F39" s="17"/>
      <c r="G39" s="16"/>
      <c r="H39" s="17"/>
      <c r="I39" s="16"/>
      <c r="J39" s="17"/>
      <c r="K39" s="16"/>
      <c r="L39" s="17"/>
      <c r="M39" s="16"/>
      <c r="N39" s="17"/>
      <c r="O39" s="16"/>
      <c r="P39" s="17"/>
      <c r="Q39" s="16"/>
      <c r="R39" s="17"/>
      <c r="S39" s="16"/>
      <c r="T39" s="17"/>
      <c r="U39" s="16"/>
      <c r="V39" s="17"/>
      <c r="W39" s="16"/>
      <c r="X39" s="17"/>
      <c r="Y39" s="16"/>
      <c r="Z39" s="17"/>
      <c r="AA39" s="16"/>
      <c r="AB39" s="17"/>
      <c r="AC39" s="16"/>
      <c r="AD39" s="17"/>
      <c r="AE39" s="16"/>
      <c r="AF39" s="17"/>
      <c r="AG39" s="16"/>
      <c r="AH39" s="17"/>
      <c r="AI39" s="16"/>
      <c r="AJ39" s="17"/>
      <c r="AK39" s="107"/>
    </row>
    <row r="40" spans="1:37" ht="16.5" customHeight="1" x14ac:dyDescent="0.2">
      <c r="A40" s="6"/>
      <c r="B40" s="135">
        <f t="shared" si="14"/>
        <v>31</v>
      </c>
      <c r="C40" s="11">
        <f>'Kelas X'!C38</f>
        <v>0</v>
      </c>
      <c r="D40" s="134">
        <f>'Kelas X'!D38</f>
        <v>0</v>
      </c>
      <c r="E40" s="16"/>
      <c r="F40" s="17"/>
      <c r="G40" s="16"/>
      <c r="H40" s="17"/>
      <c r="I40" s="16"/>
      <c r="J40" s="17"/>
      <c r="K40" s="16"/>
      <c r="L40" s="17"/>
      <c r="M40" s="16"/>
      <c r="N40" s="17"/>
      <c r="O40" s="16"/>
      <c r="P40" s="17"/>
      <c r="Q40" s="16"/>
      <c r="R40" s="17"/>
      <c r="S40" s="16"/>
      <c r="T40" s="17"/>
      <c r="U40" s="16"/>
      <c r="V40" s="17"/>
      <c r="W40" s="16"/>
      <c r="X40" s="17"/>
      <c r="Y40" s="16"/>
      <c r="Z40" s="17"/>
      <c r="AA40" s="16"/>
      <c r="AB40" s="17"/>
      <c r="AC40" s="16"/>
      <c r="AD40" s="17"/>
      <c r="AE40" s="16"/>
      <c r="AF40" s="17"/>
      <c r="AG40" s="16"/>
      <c r="AH40" s="17"/>
      <c r="AI40" s="16"/>
      <c r="AJ40" s="17"/>
      <c r="AK40" s="107"/>
    </row>
    <row r="41" spans="1:37" ht="16.5" customHeight="1" x14ac:dyDescent="0.2">
      <c r="A41" s="6"/>
      <c r="B41" s="135">
        <f t="shared" si="14"/>
        <v>32</v>
      </c>
      <c r="C41" s="11">
        <f>'Kelas X'!C39</f>
        <v>0</v>
      </c>
      <c r="D41" s="134">
        <f>'Kelas X'!D39</f>
        <v>0</v>
      </c>
      <c r="E41" s="16"/>
      <c r="F41" s="17"/>
      <c r="G41" s="16"/>
      <c r="H41" s="17"/>
      <c r="I41" s="16"/>
      <c r="J41" s="17"/>
      <c r="K41" s="16"/>
      <c r="L41" s="17"/>
      <c r="M41" s="16"/>
      <c r="N41" s="17"/>
      <c r="O41" s="16"/>
      <c r="P41" s="17"/>
      <c r="Q41" s="16"/>
      <c r="R41" s="17"/>
      <c r="S41" s="16"/>
      <c r="T41" s="17"/>
      <c r="U41" s="16"/>
      <c r="V41" s="17"/>
      <c r="W41" s="16"/>
      <c r="X41" s="17"/>
      <c r="Y41" s="16"/>
      <c r="Z41" s="17"/>
      <c r="AA41" s="16"/>
      <c r="AB41" s="17"/>
      <c r="AC41" s="16"/>
      <c r="AD41" s="17"/>
      <c r="AE41" s="16"/>
      <c r="AF41" s="17"/>
      <c r="AG41" s="16"/>
      <c r="AH41" s="17"/>
      <c r="AI41" s="16"/>
      <c r="AJ41" s="17"/>
      <c r="AK41" s="107"/>
    </row>
    <row r="42" spans="1:37" ht="16.5" customHeight="1" x14ac:dyDescent="0.2">
      <c r="A42" s="6"/>
      <c r="B42" s="135">
        <f t="shared" si="14"/>
        <v>33</v>
      </c>
      <c r="C42" s="11">
        <f>'Kelas X'!C40</f>
        <v>0</v>
      </c>
      <c r="D42" s="134">
        <f>'Kelas X'!D40</f>
        <v>0</v>
      </c>
      <c r="E42" s="16"/>
      <c r="F42" s="17"/>
      <c r="G42" s="16"/>
      <c r="H42" s="17"/>
      <c r="I42" s="16"/>
      <c r="J42" s="17"/>
      <c r="K42" s="16"/>
      <c r="L42" s="17"/>
      <c r="M42" s="16"/>
      <c r="N42" s="17"/>
      <c r="O42" s="16"/>
      <c r="P42" s="17"/>
      <c r="Q42" s="16"/>
      <c r="R42" s="17"/>
      <c r="S42" s="16"/>
      <c r="T42" s="17"/>
      <c r="U42" s="16"/>
      <c r="V42" s="17"/>
      <c r="W42" s="16"/>
      <c r="X42" s="17"/>
      <c r="Y42" s="16"/>
      <c r="Z42" s="17"/>
      <c r="AA42" s="16"/>
      <c r="AB42" s="17"/>
      <c r="AC42" s="16"/>
      <c r="AD42" s="17"/>
      <c r="AE42" s="16"/>
      <c r="AF42" s="17"/>
      <c r="AG42" s="16"/>
      <c r="AH42" s="17"/>
      <c r="AI42" s="16"/>
      <c r="AJ42" s="17"/>
      <c r="AK42" s="107"/>
    </row>
    <row r="43" spans="1:37" ht="16.5" customHeight="1" x14ac:dyDescent="0.2">
      <c r="A43" s="6"/>
      <c r="B43" s="135">
        <f t="shared" si="14"/>
        <v>34</v>
      </c>
      <c r="C43" s="11">
        <f>'Kelas X'!C41</f>
        <v>0</v>
      </c>
      <c r="D43" s="134">
        <f>'Kelas X'!D41</f>
        <v>0</v>
      </c>
      <c r="E43" s="16"/>
      <c r="F43" s="17"/>
      <c r="G43" s="16"/>
      <c r="H43" s="17"/>
      <c r="I43" s="16"/>
      <c r="J43" s="17"/>
      <c r="K43" s="16"/>
      <c r="L43" s="17"/>
      <c r="M43" s="16"/>
      <c r="N43" s="17"/>
      <c r="O43" s="16"/>
      <c r="P43" s="17"/>
      <c r="Q43" s="16"/>
      <c r="R43" s="17"/>
      <c r="S43" s="16"/>
      <c r="T43" s="17"/>
      <c r="U43" s="16"/>
      <c r="V43" s="17"/>
      <c r="W43" s="16"/>
      <c r="X43" s="17"/>
      <c r="Y43" s="16"/>
      <c r="Z43" s="17"/>
      <c r="AA43" s="16"/>
      <c r="AB43" s="17"/>
      <c r="AC43" s="16"/>
      <c r="AD43" s="17"/>
      <c r="AE43" s="16"/>
      <c r="AF43" s="17"/>
      <c r="AG43" s="16"/>
      <c r="AH43" s="17"/>
      <c r="AI43" s="16"/>
      <c r="AJ43" s="17"/>
      <c r="AK43" s="107"/>
    </row>
    <row r="44" spans="1:37" ht="16.5" customHeight="1" x14ac:dyDescent="0.2">
      <c r="A44" s="6"/>
      <c r="B44" s="135">
        <f t="shared" si="14"/>
        <v>35</v>
      </c>
      <c r="C44" s="11">
        <f>'Kelas X'!C42</f>
        <v>0</v>
      </c>
      <c r="D44" s="134">
        <f>'Kelas X'!D42</f>
        <v>0</v>
      </c>
      <c r="E44" s="16"/>
      <c r="F44" s="17"/>
      <c r="G44" s="16"/>
      <c r="H44" s="17"/>
      <c r="I44" s="16"/>
      <c r="J44" s="17"/>
      <c r="K44" s="16"/>
      <c r="L44" s="17"/>
      <c r="M44" s="16"/>
      <c r="N44" s="17"/>
      <c r="O44" s="16"/>
      <c r="P44" s="17"/>
      <c r="Q44" s="16"/>
      <c r="R44" s="17"/>
      <c r="S44" s="16"/>
      <c r="T44" s="17"/>
      <c r="U44" s="16"/>
      <c r="V44" s="17"/>
      <c r="W44" s="16"/>
      <c r="X44" s="17"/>
      <c r="Y44" s="16"/>
      <c r="Z44" s="17"/>
      <c r="AA44" s="16"/>
      <c r="AB44" s="17"/>
      <c r="AC44" s="16"/>
      <c r="AD44" s="17"/>
      <c r="AE44" s="16"/>
      <c r="AF44" s="17"/>
      <c r="AG44" s="16"/>
      <c r="AH44" s="17"/>
      <c r="AI44" s="16"/>
      <c r="AJ44" s="17"/>
      <c r="AK44" s="107"/>
    </row>
    <row r="45" spans="1:37" ht="16.5" customHeight="1" x14ac:dyDescent="0.2">
      <c r="A45" s="6"/>
      <c r="B45" s="135">
        <f t="shared" si="14"/>
        <v>36</v>
      </c>
      <c r="C45" s="11">
        <f>'Kelas X'!C43</f>
        <v>0</v>
      </c>
      <c r="D45" s="134">
        <f>'Kelas X'!D43</f>
        <v>0</v>
      </c>
      <c r="E45" s="16"/>
      <c r="F45" s="17"/>
      <c r="G45" s="16"/>
      <c r="H45" s="17"/>
      <c r="I45" s="16"/>
      <c r="J45" s="17"/>
      <c r="K45" s="16"/>
      <c r="L45" s="17"/>
      <c r="M45" s="16"/>
      <c r="N45" s="17"/>
      <c r="O45" s="16"/>
      <c r="P45" s="17"/>
      <c r="Q45" s="16"/>
      <c r="R45" s="17"/>
      <c r="S45" s="16"/>
      <c r="T45" s="17"/>
      <c r="U45" s="16"/>
      <c r="V45" s="17"/>
      <c r="W45" s="16"/>
      <c r="X45" s="17"/>
      <c r="Y45" s="16"/>
      <c r="Z45" s="17"/>
      <c r="AA45" s="16"/>
      <c r="AB45" s="17"/>
      <c r="AC45" s="16"/>
      <c r="AD45" s="17"/>
      <c r="AE45" s="16"/>
      <c r="AF45" s="17"/>
      <c r="AG45" s="16"/>
      <c r="AH45" s="17"/>
      <c r="AI45" s="16"/>
      <c r="AJ45" s="17"/>
      <c r="AK45" s="107"/>
    </row>
    <row r="46" spans="1:37" ht="16.5" customHeight="1" x14ac:dyDescent="0.2">
      <c r="A46" s="6"/>
      <c r="B46" s="135">
        <f t="shared" si="14"/>
        <v>37</v>
      </c>
      <c r="C46" s="11">
        <f>'Kelas X'!C44</f>
        <v>0</v>
      </c>
      <c r="D46" s="134">
        <f>'Kelas X'!D44</f>
        <v>0</v>
      </c>
      <c r="E46" s="16"/>
      <c r="F46" s="17"/>
      <c r="G46" s="16"/>
      <c r="H46" s="17"/>
      <c r="I46" s="16"/>
      <c r="J46" s="17"/>
      <c r="K46" s="16"/>
      <c r="L46" s="17"/>
      <c r="M46" s="16"/>
      <c r="N46" s="17"/>
      <c r="O46" s="16"/>
      <c r="P46" s="17"/>
      <c r="Q46" s="16"/>
      <c r="R46" s="17"/>
      <c r="S46" s="16"/>
      <c r="T46" s="17"/>
      <c r="U46" s="16"/>
      <c r="V46" s="17"/>
      <c r="W46" s="16"/>
      <c r="X46" s="17"/>
      <c r="Y46" s="16"/>
      <c r="Z46" s="17"/>
      <c r="AA46" s="16"/>
      <c r="AB46" s="17"/>
      <c r="AC46" s="16"/>
      <c r="AD46" s="17"/>
      <c r="AE46" s="16"/>
      <c r="AF46" s="17"/>
      <c r="AG46" s="16"/>
      <c r="AH46" s="17"/>
      <c r="AI46" s="16"/>
      <c r="AJ46" s="17"/>
      <c r="AK46" s="107"/>
    </row>
    <row r="47" spans="1:37" ht="16.5" customHeight="1" x14ac:dyDescent="0.2">
      <c r="A47" s="6"/>
      <c r="B47" s="135">
        <f t="shared" si="14"/>
        <v>38</v>
      </c>
      <c r="C47" s="11">
        <f>'Kelas X'!C45</f>
        <v>0</v>
      </c>
      <c r="D47" s="134">
        <f>'Kelas X'!D45</f>
        <v>0</v>
      </c>
      <c r="E47" s="16"/>
      <c r="F47" s="17"/>
      <c r="G47" s="16"/>
      <c r="H47" s="17"/>
      <c r="I47" s="16"/>
      <c r="J47" s="17"/>
      <c r="K47" s="16"/>
      <c r="L47" s="17"/>
      <c r="M47" s="16"/>
      <c r="N47" s="17"/>
      <c r="O47" s="16"/>
      <c r="P47" s="17"/>
      <c r="Q47" s="16"/>
      <c r="R47" s="17"/>
      <c r="S47" s="16"/>
      <c r="T47" s="17"/>
      <c r="U47" s="16"/>
      <c r="V47" s="17"/>
      <c r="W47" s="16"/>
      <c r="X47" s="17"/>
      <c r="Y47" s="16"/>
      <c r="Z47" s="17"/>
      <c r="AA47" s="16"/>
      <c r="AB47" s="17"/>
      <c r="AC47" s="16"/>
      <c r="AD47" s="17"/>
      <c r="AE47" s="16"/>
      <c r="AF47" s="17"/>
      <c r="AG47" s="16"/>
      <c r="AH47" s="17"/>
      <c r="AI47" s="16"/>
      <c r="AJ47" s="17"/>
      <c r="AK47" s="107"/>
    </row>
    <row r="48" spans="1:37" ht="16.5" customHeight="1" x14ac:dyDescent="0.2">
      <c r="A48" s="6"/>
      <c r="B48" s="135">
        <f t="shared" si="14"/>
        <v>39</v>
      </c>
      <c r="C48" s="11">
        <f>'Kelas X'!C46</f>
        <v>0</v>
      </c>
      <c r="D48" s="134">
        <f>'Kelas X'!D46</f>
        <v>0</v>
      </c>
      <c r="E48" s="16"/>
      <c r="F48" s="17"/>
      <c r="G48" s="16"/>
      <c r="H48" s="17"/>
      <c r="I48" s="16"/>
      <c r="J48" s="17"/>
      <c r="K48" s="16"/>
      <c r="L48" s="17"/>
      <c r="M48" s="16"/>
      <c r="N48" s="17"/>
      <c r="O48" s="16"/>
      <c r="P48" s="17"/>
      <c r="Q48" s="16"/>
      <c r="R48" s="17"/>
      <c r="S48" s="16"/>
      <c r="T48" s="17"/>
      <c r="U48" s="16"/>
      <c r="V48" s="17"/>
      <c r="W48" s="16"/>
      <c r="X48" s="17"/>
      <c r="Y48" s="16"/>
      <c r="Z48" s="17"/>
      <c r="AA48" s="16"/>
      <c r="AB48" s="17"/>
      <c r="AC48" s="16"/>
      <c r="AD48" s="17"/>
      <c r="AE48" s="16"/>
      <c r="AF48" s="17"/>
      <c r="AG48" s="16"/>
      <c r="AH48" s="17"/>
      <c r="AI48" s="16"/>
      <c r="AJ48" s="17"/>
      <c r="AK48" s="107"/>
    </row>
    <row r="49" spans="1:37" ht="16.5" customHeight="1" x14ac:dyDescent="0.2">
      <c r="A49" s="6"/>
      <c r="B49" s="135">
        <f t="shared" si="14"/>
        <v>40</v>
      </c>
      <c r="C49" s="11">
        <f>'Kelas X'!C47</f>
        <v>0</v>
      </c>
      <c r="D49" s="134">
        <f>'Kelas X'!D47</f>
        <v>0</v>
      </c>
      <c r="E49" s="16"/>
      <c r="F49" s="17"/>
      <c r="G49" s="16"/>
      <c r="H49" s="17"/>
      <c r="I49" s="16"/>
      <c r="J49" s="17"/>
      <c r="K49" s="16"/>
      <c r="L49" s="17"/>
      <c r="M49" s="16"/>
      <c r="N49" s="17"/>
      <c r="O49" s="16"/>
      <c r="P49" s="17"/>
      <c r="Q49" s="16"/>
      <c r="R49" s="17"/>
      <c r="S49" s="16"/>
      <c r="T49" s="17"/>
      <c r="U49" s="16"/>
      <c r="V49" s="17"/>
      <c r="W49" s="16"/>
      <c r="X49" s="17"/>
      <c r="Y49" s="16"/>
      <c r="Z49" s="17"/>
      <c r="AA49" s="16"/>
      <c r="AB49" s="17"/>
      <c r="AC49" s="16"/>
      <c r="AD49" s="17"/>
      <c r="AE49" s="16"/>
      <c r="AF49" s="17"/>
      <c r="AG49" s="16"/>
      <c r="AH49" s="17"/>
      <c r="AI49" s="16"/>
      <c r="AJ49" s="17"/>
      <c r="AK49" s="107"/>
    </row>
    <row r="50" spans="1:37" ht="16.5" customHeight="1" thickBot="1" x14ac:dyDescent="0.25">
      <c r="A50" s="6"/>
      <c r="B50" s="143">
        <f t="shared" si="14"/>
        <v>41</v>
      </c>
      <c r="C50" s="48"/>
      <c r="D50" s="198"/>
      <c r="E50" s="18"/>
      <c r="F50" s="19"/>
      <c r="G50" s="18"/>
      <c r="H50" s="19"/>
      <c r="I50" s="18"/>
      <c r="J50" s="19"/>
      <c r="K50" s="18"/>
      <c r="L50" s="19"/>
      <c r="M50" s="18"/>
      <c r="N50" s="19"/>
      <c r="O50" s="18"/>
      <c r="P50" s="19"/>
      <c r="Q50" s="18"/>
      <c r="R50" s="19"/>
      <c r="S50" s="18"/>
      <c r="T50" s="19"/>
      <c r="U50" s="18"/>
      <c r="V50" s="19"/>
      <c r="W50" s="18"/>
      <c r="X50" s="19"/>
      <c r="Y50" s="18"/>
      <c r="Z50" s="19"/>
      <c r="AA50" s="18"/>
      <c r="AB50" s="19"/>
      <c r="AC50" s="18"/>
      <c r="AD50" s="19"/>
      <c r="AE50" s="18"/>
      <c r="AF50" s="19"/>
      <c r="AG50" s="18"/>
      <c r="AH50" s="19"/>
      <c r="AI50" s="18"/>
      <c r="AJ50" s="19"/>
      <c r="AK50" s="107"/>
    </row>
    <row r="51" spans="1:37" ht="16.5" customHeight="1" x14ac:dyDescent="0.2">
      <c r="A51" s="6"/>
      <c r="B51" s="8"/>
      <c r="C51" s="20"/>
      <c r="D51" s="33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149"/>
      <c r="AK51" s="6"/>
    </row>
    <row r="52" spans="1:37" ht="16.5" customHeight="1" thickBot="1" x14ac:dyDescent="0.25">
      <c r="A52" s="6"/>
      <c r="B52" s="8"/>
      <c r="C52" s="20"/>
      <c r="D52" s="33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150"/>
      <c r="AK52" s="6"/>
    </row>
    <row r="53" spans="1:37" ht="16.5" customHeight="1" x14ac:dyDescent="0.2">
      <c r="A53" s="6"/>
      <c r="B53" s="279"/>
      <c r="C53" s="280"/>
      <c r="D53" s="283" t="s">
        <v>3</v>
      </c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  <c r="AF53" s="284"/>
      <c r="AG53" s="284"/>
      <c r="AH53" s="284"/>
      <c r="AI53" s="284"/>
      <c r="AJ53" s="285"/>
      <c r="AK53" s="107"/>
    </row>
    <row r="54" spans="1:37" ht="16.5" customHeight="1" x14ac:dyDescent="0.2">
      <c r="A54" s="6"/>
      <c r="B54" s="281"/>
      <c r="C54" s="282"/>
      <c r="D54" s="286" t="s">
        <v>4</v>
      </c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  <c r="AE54" s="287"/>
      <c r="AF54" s="287"/>
      <c r="AG54" s="287"/>
      <c r="AH54" s="287"/>
      <c r="AI54" s="287"/>
      <c r="AJ54" s="288"/>
      <c r="AK54" s="107"/>
    </row>
    <row r="55" spans="1:37" ht="16.5" customHeight="1" x14ac:dyDescent="0.2">
      <c r="A55" s="6"/>
      <c r="B55" s="281"/>
      <c r="C55" s="282"/>
      <c r="D55" s="286" t="s">
        <v>547</v>
      </c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287"/>
      <c r="AA55" s="287"/>
      <c r="AB55" s="287"/>
      <c r="AC55" s="287"/>
      <c r="AD55" s="287"/>
      <c r="AE55" s="287"/>
      <c r="AF55" s="287"/>
      <c r="AG55" s="287"/>
      <c r="AH55" s="287"/>
      <c r="AI55" s="287"/>
      <c r="AJ55" s="288"/>
      <c r="AK55" s="107"/>
    </row>
    <row r="56" spans="1:37" ht="16.5" customHeight="1" thickBot="1" x14ac:dyDescent="0.25">
      <c r="A56" s="6"/>
      <c r="B56" s="281"/>
      <c r="C56" s="282"/>
      <c r="D56" s="289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1"/>
      <c r="AK56" s="107"/>
    </row>
    <row r="57" spans="1:37" ht="16.5" customHeight="1" thickBot="1" x14ac:dyDescent="0.25">
      <c r="A57" s="6"/>
      <c r="B57" s="283"/>
      <c r="C57" s="285"/>
      <c r="D57" s="24" t="s">
        <v>561</v>
      </c>
      <c r="E57" s="10" t="s">
        <v>11</v>
      </c>
      <c r="F57" s="10"/>
      <c r="G57" s="10"/>
      <c r="H57" s="10"/>
      <c r="I57" s="10"/>
      <c r="J57" s="149"/>
      <c r="K57" s="10"/>
      <c r="L57" s="10"/>
      <c r="M57" s="10"/>
      <c r="N57" s="10"/>
      <c r="O57" s="10"/>
      <c r="P57" s="10"/>
      <c r="Q57" s="10"/>
      <c r="R57" s="10"/>
      <c r="S57" s="10" t="s">
        <v>5</v>
      </c>
      <c r="T57" s="10"/>
      <c r="U57" s="10" t="s">
        <v>805</v>
      </c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58"/>
      <c r="AK57" s="6"/>
    </row>
    <row r="58" spans="1:37" ht="16.5" customHeight="1" thickBot="1" x14ac:dyDescent="0.25">
      <c r="A58" s="6"/>
      <c r="B58" s="294" t="s">
        <v>6</v>
      </c>
      <c r="C58" s="294"/>
      <c r="D58" s="295" t="s">
        <v>7</v>
      </c>
      <c r="E58" s="292" t="s">
        <v>519</v>
      </c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98"/>
      <c r="Q58" s="298"/>
      <c r="R58" s="298"/>
      <c r="S58" s="298"/>
      <c r="T58" s="298"/>
      <c r="U58" s="298"/>
      <c r="V58" s="298"/>
      <c r="W58" s="298"/>
      <c r="X58" s="298"/>
      <c r="Y58" s="298"/>
      <c r="Z58" s="298"/>
      <c r="AA58" s="298"/>
      <c r="AB58" s="298"/>
      <c r="AC58" s="298"/>
      <c r="AD58" s="298"/>
      <c r="AE58" s="298"/>
      <c r="AF58" s="298"/>
      <c r="AG58" s="298"/>
      <c r="AH58" s="298"/>
      <c r="AI58" s="298"/>
      <c r="AJ58" s="293"/>
    </row>
    <row r="59" spans="1:37" ht="16.5" customHeight="1" thickBot="1" x14ac:dyDescent="0.25">
      <c r="A59" s="6"/>
      <c r="B59" s="295" t="s">
        <v>8</v>
      </c>
      <c r="C59" s="295" t="s">
        <v>9</v>
      </c>
      <c r="D59" s="296"/>
      <c r="E59" s="292">
        <f>E8</f>
        <v>17</v>
      </c>
      <c r="F59" s="298"/>
      <c r="G59" s="292">
        <f>E59+1</f>
        <v>18</v>
      </c>
      <c r="H59" s="298"/>
      <c r="I59" s="292">
        <f t="shared" ref="I59" si="15">G59+1</f>
        <v>19</v>
      </c>
      <c r="J59" s="298"/>
      <c r="K59" s="292">
        <f t="shared" ref="K59" si="16">I59+1</f>
        <v>20</v>
      </c>
      <c r="L59" s="298"/>
      <c r="M59" s="292">
        <f t="shared" ref="M59" si="17">K59+1</f>
        <v>21</v>
      </c>
      <c r="N59" s="298"/>
      <c r="O59" s="292">
        <f t="shared" ref="O59" si="18">M59+1</f>
        <v>22</v>
      </c>
      <c r="P59" s="298"/>
      <c r="Q59" s="292">
        <f t="shared" ref="Q59" si="19">O59+1</f>
        <v>23</v>
      </c>
      <c r="R59" s="298"/>
      <c r="S59" s="292">
        <f t="shared" ref="S59" si="20">Q59+1</f>
        <v>24</v>
      </c>
      <c r="T59" s="298"/>
      <c r="U59" s="292">
        <f t="shared" ref="U59" si="21">S59+1</f>
        <v>25</v>
      </c>
      <c r="V59" s="298"/>
      <c r="W59" s="292">
        <f t="shared" ref="W59" si="22">U59+1</f>
        <v>26</v>
      </c>
      <c r="X59" s="298"/>
      <c r="Y59" s="292">
        <f t="shared" ref="Y59" si="23">W59+1</f>
        <v>27</v>
      </c>
      <c r="Z59" s="298"/>
      <c r="AA59" s="292">
        <f t="shared" ref="AA59" si="24">Y59+1</f>
        <v>28</v>
      </c>
      <c r="AB59" s="298"/>
      <c r="AC59" s="292">
        <f t="shared" ref="AC59" si="25">AA59+1</f>
        <v>29</v>
      </c>
      <c r="AD59" s="298"/>
      <c r="AE59" s="292">
        <f t="shared" ref="AE59" si="26">AC59+1</f>
        <v>30</v>
      </c>
      <c r="AF59" s="298"/>
      <c r="AG59" s="292">
        <f t="shared" ref="AG59" si="27">AE59+1</f>
        <v>31</v>
      </c>
      <c r="AH59" s="298"/>
      <c r="AI59" s="292">
        <f t="shared" ref="AI59" si="28">AG59+1</f>
        <v>32</v>
      </c>
      <c r="AJ59" s="293"/>
      <c r="AK59" s="6"/>
    </row>
    <row r="60" spans="1:37" ht="22.5" customHeight="1" thickBot="1" x14ac:dyDescent="0.25">
      <c r="A60" s="6"/>
      <c r="B60" s="297"/>
      <c r="C60" s="297"/>
      <c r="D60" s="297"/>
      <c r="E60" s="108" t="s">
        <v>13</v>
      </c>
      <c r="F60" s="108" t="s">
        <v>14</v>
      </c>
      <c r="G60" s="108" t="s">
        <v>13</v>
      </c>
      <c r="H60" s="108" t="s">
        <v>14</v>
      </c>
      <c r="I60" s="108" t="s">
        <v>13</v>
      </c>
      <c r="J60" s="108" t="s">
        <v>14</v>
      </c>
      <c r="K60" s="108" t="s">
        <v>13</v>
      </c>
      <c r="L60" s="108" t="s">
        <v>14</v>
      </c>
      <c r="M60" s="108" t="s">
        <v>13</v>
      </c>
      <c r="N60" s="108" t="s">
        <v>14</v>
      </c>
      <c r="O60" s="108" t="s">
        <v>13</v>
      </c>
      <c r="P60" s="108" t="s">
        <v>14</v>
      </c>
      <c r="Q60" s="108" t="s">
        <v>13</v>
      </c>
      <c r="R60" s="108" t="s">
        <v>14</v>
      </c>
      <c r="S60" s="108" t="s">
        <v>13</v>
      </c>
      <c r="T60" s="108" t="s">
        <v>14</v>
      </c>
      <c r="U60" s="108" t="s">
        <v>13</v>
      </c>
      <c r="V60" s="108" t="s">
        <v>14</v>
      </c>
      <c r="W60" s="108" t="s">
        <v>13</v>
      </c>
      <c r="X60" s="108" t="s">
        <v>14</v>
      </c>
      <c r="Y60" s="108" t="s">
        <v>13</v>
      </c>
      <c r="Z60" s="108" t="s">
        <v>14</v>
      </c>
      <c r="AA60" s="108" t="s">
        <v>13</v>
      </c>
      <c r="AB60" s="108" t="s">
        <v>14</v>
      </c>
      <c r="AC60" s="108" t="s">
        <v>13</v>
      </c>
      <c r="AD60" s="108" t="s">
        <v>14</v>
      </c>
      <c r="AE60" s="108" t="s">
        <v>13</v>
      </c>
      <c r="AF60" s="108" t="s">
        <v>14</v>
      </c>
      <c r="AG60" s="108" t="s">
        <v>13</v>
      </c>
      <c r="AH60" s="108" t="s">
        <v>14</v>
      </c>
      <c r="AI60" s="108" t="s">
        <v>13</v>
      </c>
      <c r="AJ60" s="252" t="s">
        <v>14</v>
      </c>
      <c r="AK60" s="6"/>
    </row>
    <row r="61" spans="1:37" ht="16.5" customHeight="1" x14ac:dyDescent="0.2">
      <c r="A61" s="6"/>
      <c r="B61" s="22">
        <v>1</v>
      </c>
      <c r="C61" s="21">
        <f>'Kelas X'!C57</f>
        <v>16410</v>
      </c>
      <c r="D61" s="133" t="str">
        <f>'Kelas X'!D57</f>
        <v>AHMAD AZAM NUR ZIDAN</v>
      </c>
      <c r="E61" s="110"/>
      <c r="F61" s="120"/>
      <c r="G61" s="118"/>
      <c r="H61" s="141"/>
      <c r="I61" s="110"/>
      <c r="J61" s="120"/>
      <c r="K61" s="118"/>
      <c r="L61" s="141"/>
      <c r="M61" s="110"/>
      <c r="N61" s="120"/>
      <c r="O61" s="118"/>
      <c r="P61" s="141"/>
      <c r="Q61" s="118"/>
      <c r="R61" s="141"/>
      <c r="S61" s="118"/>
      <c r="T61" s="141"/>
      <c r="U61" s="118"/>
      <c r="V61" s="141"/>
      <c r="W61" s="118"/>
      <c r="X61" s="141"/>
      <c r="Y61" s="118"/>
      <c r="Z61" s="141"/>
      <c r="AA61" s="118"/>
      <c r="AB61" s="141"/>
      <c r="AC61" s="118"/>
      <c r="AD61" s="141"/>
      <c r="AE61" s="118"/>
      <c r="AF61" s="141"/>
      <c r="AG61" s="118"/>
      <c r="AH61" s="141"/>
      <c r="AI61" s="118"/>
      <c r="AJ61" s="141"/>
      <c r="AK61" s="107"/>
    </row>
    <row r="62" spans="1:37" ht="16.5" customHeight="1" x14ac:dyDescent="0.2">
      <c r="A62" s="6"/>
      <c r="B62" s="135">
        <f t="shared" ref="B62:B100" si="29">B61+1</f>
        <v>2</v>
      </c>
      <c r="C62" s="21">
        <f>'Kelas X'!C58</f>
        <v>16411</v>
      </c>
      <c r="D62" s="159" t="str">
        <f>'Kelas X'!D58</f>
        <v>AHMAD DAFA MAULANA</v>
      </c>
      <c r="E62" s="110"/>
      <c r="F62" s="120"/>
      <c r="G62" s="14"/>
      <c r="H62" s="142"/>
      <c r="I62" s="110"/>
      <c r="J62" s="120"/>
      <c r="K62" s="14"/>
      <c r="L62" s="142"/>
      <c r="M62" s="110"/>
      <c r="N62" s="120"/>
      <c r="O62" s="14"/>
      <c r="P62" s="142"/>
      <c r="Q62" s="14"/>
      <c r="R62" s="142"/>
      <c r="S62" s="14"/>
      <c r="T62" s="142"/>
      <c r="U62" s="14"/>
      <c r="V62" s="142"/>
      <c r="W62" s="14"/>
      <c r="X62" s="142"/>
      <c r="Y62" s="14"/>
      <c r="Z62" s="142"/>
      <c r="AA62" s="14"/>
      <c r="AB62" s="142"/>
      <c r="AC62" s="14"/>
      <c r="AD62" s="142"/>
      <c r="AE62" s="14"/>
      <c r="AF62" s="142"/>
      <c r="AG62" s="14"/>
      <c r="AH62" s="142"/>
      <c r="AI62" s="14"/>
      <c r="AJ62" s="142"/>
      <c r="AK62" s="107"/>
    </row>
    <row r="63" spans="1:37" ht="16.5" customHeight="1" x14ac:dyDescent="0.2">
      <c r="A63" s="6"/>
      <c r="B63" s="135">
        <f t="shared" si="29"/>
        <v>3</v>
      </c>
      <c r="C63" s="21">
        <f>'Kelas X'!C59</f>
        <v>16412</v>
      </c>
      <c r="D63" s="159" t="str">
        <f>'Kelas X'!D59</f>
        <v>ALEANDRO ILHAM RAMADHAN</v>
      </c>
      <c r="E63" s="110"/>
      <c r="F63" s="120"/>
      <c r="G63" s="14"/>
      <c r="H63" s="142"/>
      <c r="I63" s="110"/>
      <c r="J63" s="120"/>
      <c r="K63" s="14"/>
      <c r="L63" s="142"/>
      <c r="M63" s="110"/>
      <c r="N63" s="120"/>
      <c r="O63" s="14"/>
      <c r="P63" s="142"/>
      <c r="Q63" s="14"/>
      <c r="R63" s="142"/>
      <c r="S63" s="14"/>
      <c r="T63" s="142"/>
      <c r="U63" s="14"/>
      <c r="V63" s="142"/>
      <c r="W63" s="14"/>
      <c r="X63" s="142"/>
      <c r="Y63" s="14"/>
      <c r="Z63" s="142"/>
      <c r="AA63" s="14"/>
      <c r="AB63" s="142"/>
      <c r="AC63" s="14"/>
      <c r="AD63" s="142"/>
      <c r="AE63" s="14"/>
      <c r="AF63" s="142"/>
      <c r="AG63" s="14"/>
      <c r="AH63" s="142"/>
      <c r="AI63" s="14"/>
      <c r="AJ63" s="142"/>
      <c r="AK63" s="107"/>
    </row>
    <row r="64" spans="1:37" ht="16.5" customHeight="1" x14ac:dyDescent="0.2">
      <c r="B64" s="135">
        <f t="shared" si="29"/>
        <v>4</v>
      </c>
      <c r="C64" s="21">
        <f>'Kelas X'!C60</f>
        <v>16413</v>
      </c>
      <c r="D64" s="159" t="str">
        <f>'Kelas X'!D60</f>
        <v>AULIA RACHMAN</v>
      </c>
      <c r="E64" s="110"/>
      <c r="F64" s="120"/>
      <c r="G64" s="14"/>
      <c r="H64" s="142"/>
      <c r="I64" s="110"/>
      <c r="J64" s="120"/>
      <c r="K64" s="14"/>
      <c r="L64" s="142"/>
      <c r="M64" s="110"/>
      <c r="N64" s="120"/>
      <c r="O64" s="14"/>
      <c r="P64" s="142"/>
      <c r="Q64" s="14"/>
      <c r="R64" s="142"/>
      <c r="S64" s="14"/>
      <c r="T64" s="142"/>
      <c r="U64" s="14"/>
      <c r="V64" s="142"/>
      <c r="W64" s="14"/>
      <c r="X64" s="142"/>
      <c r="Y64" s="14"/>
      <c r="Z64" s="142"/>
      <c r="AA64" s="14"/>
      <c r="AB64" s="142"/>
      <c r="AC64" s="14"/>
      <c r="AD64" s="142"/>
      <c r="AE64" s="14"/>
      <c r="AF64" s="142"/>
      <c r="AG64" s="14"/>
      <c r="AH64" s="142"/>
      <c r="AI64" s="14"/>
      <c r="AJ64" s="142"/>
      <c r="AK64" s="107"/>
    </row>
    <row r="65" spans="1:37" ht="16.5" customHeight="1" x14ac:dyDescent="0.2">
      <c r="A65" s="6"/>
      <c r="B65" s="135">
        <f t="shared" si="29"/>
        <v>5</v>
      </c>
      <c r="C65" s="21">
        <f>'Kelas X'!C61</f>
        <v>16414</v>
      </c>
      <c r="D65" s="159" t="str">
        <f>'Kelas X'!D61</f>
        <v>BIMA SYEHKA ZAELANI</v>
      </c>
      <c r="E65" s="110"/>
      <c r="F65" s="120"/>
      <c r="G65" s="14"/>
      <c r="H65" s="142"/>
      <c r="I65" s="110"/>
      <c r="J65" s="120"/>
      <c r="K65" s="14"/>
      <c r="L65" s="142"/>
      <c r="M65" s="110"/>
      <c r="N65" s="120"/>
      <c r="O65" s="14"/>
      <c r="P65" s="142"/>
      <c r="Q65" s="14"/>
      <c r="R65" s="142"/>
      <c r="S65" s="14"/>
      <c r="T65" s="142"/>
      <c r="U65" s="14"/>
      <c r="V65" s="142"/>
      <c r="W65" s="14"/>
      <c r="X65" s="142"/>
      <c r="Y65" s="14"/>
      <c r="Z65" s="142"/>
      <c r="AA65" s="14"/>
      <c r="AB65" s="142"/>
      <c r="AC65" s="14"/>
      <c r="AD65" s="142"/>
      <c r="AE65" s="14"/>
      <c r="AF65" s="142"/>
      <c r="AG65" s="14"/>
      <c r="AH65" s="142"/>
      <c r="AI65" s="14"/>
      <c r="AJ65" s="142"/>
      <c r="AK65" s="107"/>
    </row>
    <row r="66" spans="1:37" ht="16.5" customHeight="1" x14ac:dyDescent="0.2">
      <c r="A66" s="6"/>
      <c r="B66" s="135">
        <f t="shared" si="29"/>
        <v>6</v>
      </c>
      <c r="C66" s="21">
        <f>'Kelas X'!C62</f>
        <v>16415</v>
      </c>
      <c r="D66" s="159" t="str">
        <f>'Kelas X'!D62</f>
        <v>EVAN DESTHA SAPUTRA</v>
      </c>
      <c r="E66" s="110"/>
      <c r="F66" s="120"/>
      <c r="G66" s="14"/>
      <c r="H66" s="142"/>
      <c r="I66" s="110"/>
      <c r="J66" s="120"/>
      <c r="K66" s="14"/>
      <c r="L66" s="142"/>
      <c r="M66" s="110"/>
      <c r="N66" s="120"/>
      <c r="O66" s="14"/>
      <c r="P66" s="142"/>
      <c r="Q66" s="14"/>
      <c r="R66" s="142"/>
      <c r="S66" s="14"/>
      <c r="T66" s="142"/>
      <c r="U66" s="14"/>
      <c r="V66" s="142"/>
      <c r="W66" s="14"/>
      <c r="X66" s="142"/>
      <c r="Y66" s="14"/>
      <c r="Z66" s="142"/>
      <c r="AA66" s="14"/>
      <c r="AB66" s="142"/>
      <c r="AC66" s="14"/>
      <c r="AD66" s="142"/>
      <c r="AE66" s="14"/>
      <c r="AF66" s="142"/>
      <c r="AG66" s="14"/>
      <c r="AH66" s="142"/>
      <c r="AI66" s="14"/>
      <c r="AJ66" s="142"/>
      <c r="AK66" s="107"/>
    </row>
    <row r="67" spans="1:37" ht="16.5" customHeight="1" x14ac:dyDescent="0.2">
      <c r="A67" s="6"/>
      <c r="B67" s="135">
        <f t="shared" si="29"/>
        <v>7</v>
      </c>
      <c r="C67" s="21">
        <f>'Kelas X'!C63</f>
        <v>16416</v>
      </c>
      <c r="D67" s="159" t="str">
        <f>'Kelas X'!D63</f>
        <v>FAQIH ARSYAD</v>
      </c>
      <c r="E67" s="110"/>
      <c r="F67" s="120"/>
      <c r="G67" s="14"/>
      <c r="H67" s="142"/>
      <c r="I67" s="110"/>
      <c r="J67" s="120"/>
      <c r="K67" s="14"/>
      <c r="L67" s="142"/>
      <c r="M67" s="110"/>
      <c r="N67" s="120"/>
      <c r="O67" s="14"/>
      <c r="P67" s="142"/>
      <c r="Q67" s="14"/>
      <c r="R67" s="142"/>
      <c r="S67" s="14"/>
      <c r="T67" s="142"/>
      <c r="U67" s="14"/>
      <c r="V67" s="142"/>
      <c r="W67" s="14"/>
      <c r="X67" s="142"/>
      <c r="Y67" s="14"/>
      <c r="Z67" s="142"/>
      <c r="AA67" s="14"/>
      <c r="AB67" s="142"/>
      <c r="AC67" s="14"/>
      <c r="AD67" s="142"/>
      <c r="AE67" s="14"/>
      <c r="AF67" s="142"/>
      <c r="AG67" s="14"/>
      <c r="AH67" s="142"/>
      <c r="AI67" s="14"/>
      <c r="AJ67" s="142"/>
      <c r="AK67" s="107"/>
    </row>
    <row r="68" spans="1:37" ht="16.5" customHeight="1" x14ac:dyDescent="0.2">
      <c r="A68" s="6"/>
      <c r="B68" s="135">
        <f t="shared" si="29"/>
        <v>8</v>
      </c>
      <c r="C68" s="21">
        <f>'Kelas X'!C64</f>
        <v>16417</v>
      </c>
      <c r="D68" s="159" t="str">
        <f>'Kelas X'!D64</f>
        <v>FARID AHMAD SATRIA TAMA</v>
      </c>
      <c r="E68" s="110"/>
      <c r="F68" s="120"/>
      <c r="G68" s="14"/>
      <c r="H68" s="142"/>
      <c r="I68" s="110"/>
      <c r="J68" s="120"/>
      <c r="K68" s="14"/>
      <c r="L68" s="142"/>
      <c r="M68" s="110"/>
      <c r="N68" s="120"/>
      <c r="O68" s="14"/>
      <c r="P68" s="142"/>
      <c r="Q68" s="14"/>
      <c r="R68" s="142"/>
      <c r="S68" s="14"/>
      <c r="T68" s="142"/>
      <c r="U68" s="14"/>
      <c r="V68" s="142"/>
      <c r="W68" s="14"/>
      <c r="X68" s="142"/>
      <c r="Y68" s="14"/>
      <c r="Z68" s="142"/>
      <c r="AA68" s="14"/>
      <c r="AB68" s="142"/>
      <c r="AC68" s="14"/>
      <c r="AD68" s="142"/>
      <c r="AE68" s="14"/>
      <c r="AF68" s="142"/>
      <c r="AG68" s="14"/>
      <c r="AH68" s="142"/>
      <c r="AI68" s="14"/>
      <c r="AJ68" s="142"/>
      <c r="AK68" s="107"/>
    </row>
    <row r="69" spans="1:37" ht="16.5" customHeight="1" x14ac:dyDescent="0.2">
      <c r="A69" s="6"/>
      <c r="B69" s="135">
        <f t="shared" si="29"/>
        <v>9</v>
      </c>
      <c r="C69" s="21">
        <f>'Kelas X'!C65</f>
        <v>16418</v>
      </c>
      <c r="D69" s="159" t="str">
        <f>'Kelas X'!D65</f>
        <v>FELIX NABIHA RASHAD</v>
      </c>
      <c r="E69" s="110"/>
      <c r="F69" s="120"/>
      <c r="G69" s="14"/>
      <c r="H69" s="142"/>
      <c r="I69" s="110"/>
      <c r="J69" s="120"/>
      <c r="K69" s="14"/>
      <c r="L69" s="142"/>
      <c r="M69" s="110"/>
      <c r="N69" s="120"/>
      <c r="O69" s="14"/>
      <c r="P69" s="142"/>
      <c r="Q69" s="14"/>
      <c r="R69" s="142"/>
      <c r="S69" s="14"/>
      <c r="T69" s="142"/>
      <c r="U69" s="14"/>
      <c r="V69" s="142"/>
      <c r="W69" s="14"/>
      <c r="X69" s="142"/>
      <c r="Y69" s="14"/>
      <c r="Z69" s="142"/>
      <c r="AA69" s="14"/>
      <c r="AB69" s="142"/>
      <c r="AC69" s="14"/>
      <c r="AD69" s="142"/>
      <c r="AE69" s="14"/>
      <c r="AF69" s="142"/>
      <c r="AG69" s="14"/>
      <c r="AH69" s="142"/>
      <c r="AI69" s="14"/>
      <c r="AJ69" s="142"/>
      <c r="AK69" s="107"/>
    </row>
    <row r="70" spans="1:37" ht="16.5" customHeight="1" x14ac:dyDescent="0.2">
      <c r="A70" s="6"/>
      <c r="B70" s="135">
        <f t="shared" si="29"/>
        <v>10</v>
      </c>
      <c r="C70" s="21">
        <f>'Kelas X'!C66</f>
        <v>16419</v>
      </c>
      <c r="D70" s="159" t="str">
        <f>'Kelas X'!D66</f>
        <v>HABIB HIDAYATULLAH</v>
      </c>
      <c r="E70" s="110"/>
      <c r="F70" s="120"/>
      <c r="G70" s="14"/>
      <c r="H70" s="142"/>
      <c r="I70" s="110"/>
      <c r="J70" s="120"/>
      <c r="K70" s="14"/>
      <c r="L70" s="142"/>
      <c r="M70" s="110"/>
      <c r="N70" s="120"/>
      <c r="O70" s="14"/>
      <c r="P70" s="142"/>
      <c r="Q70" s="14"/>
      <c r="R70" s="142"/>
      <c r="S70" s="14"/>
      <c r="T70" s="142"/>
      <c r="U70" s="14"/>
      <c r="V70" s="142"/>
      <c r="W70" s="14"/>
      <c r="X70" s="142"/>
      <c r="Y70" s="14"/>
      <c r="Z70" s="142"/>
      <c r="AA70" s="14"/>
      <c r="AB70" s="142"/>
      <c r="AC70" s="14"/>
      <c r="AD70" s="142"/>
      <c r="AE70" s="14"/>
      <c r="AF70" s="142"/>
      <c r="AG70" s="14"/>
      <c r="AH70" s="142"/>
      <c r="AI70" s="14"/>
      <c r="AJ70" s="142"/>
      <c r="AK70" s="107"/>
    </row>
    <row r="71" spans="1:37" ht="16.5" customHeight="1" x14ac:dyDescent="0.2">
      <c r="A71" s="6"/>
      <c r="B71" s="135">
        <f t="shared" si="29"/>
        <v>11</v>
      </c>
      <c r="C71" s="21">
        <f>'Kelas X'!C67</f>
        <v>16420</v>
      </c>
      <c r="D71" s="159" t="str">
        <f>'Kelas X'!D67</f>
        <v>IHTISHAM IZAZ NAZMI</v>
      </c>
      <c r="E71" s="110"/>
      <c r="F71" s="120"/>
      <c r="G71" s="14"/>
      <c r="H71" s="142"/>
      <c r="I71" s="110"/>
      <c r="J71" s="120"/>
      <c r="K71" s="14"/>
      <c r="L71" s="142"/>
      <c r="M71" s="110"/>
      <c r="N71" s="120"/>
      <c r="O71" s="14"/>
      <c r="P71" s="142"/>
      <c r="Q71" s="14"/>
      <c r="R71" s="142"/>
      <c r="S71" s="14"/>
      <c r="T71" s="142"/>
      <c r="U71" s="14"/>
      <c r="V71" s="142"/>
      <c r="W71" s="14"/>
      <c r="X71" s="142"/>
      <c r="Y71" s="14"/>
      <c r="Z71" s="142"/>
      <c r="AA71" s="14"/>
      <c r="AB71" s="142"/>
      <c r="AC71" s="14"/>
      <c r="AD71" s="142"/>
      <c r="AE71" s="14"/>
      <c r="AF71" s="142"/>
      <c r="AG71" s="14"/>
      <c r="AH71" s="142"/>
      <c r="AI71" s="14"/>
      <c r="AJ71" s="142"/>
      <c r="AK71" s="107"/>
    </row>
    <row r="72" spans="1:37" ht="16.5" customHeight="1" x14ac:dyDescent="0.2">
      <c r="A72" s="6"/>
      <c r="B72" s="135">
        <f t="shared" si="29"/>
        <v>12</v>
      </c>
      <c r="C72" s="21">
        <f>'Kelas X'!C68</f>
        <v>16421</v>
      </c>
      <c r="D72" s="159" t="str">
        <f>'Kelas X'!D68</f>
        <v>KUMARA FIRJATULLAH MAHARDIKA</v>
      </c>
      <c r="E72" s="110"/>
      <c r="F72" s="120"/>
      <c r="G72" s="14"/>
      <c r="H72" s="142"/>
      <c r="I72" s="110"/>
      <c r="J72" s="120"/>
      <c r="K72" s="14"/>
      <c r="L72" s="142"/>
      <c r="M72" s="110"/>
      <c r="N72" s="120"/>
      <c r="O72" s="14"/>
      <c r="P72" s="142"/>
      <c r="Q72" s="14"/>
      <c r="R72" s="142"/>
      <c r="S72" s="14"/>
      <c r="T72" s="142"/>
      <c r="U72" s="14"/>
      <c r="V72" s="142"/>
      <c r="W72" s="14"/>
      <c r="X72" s="142"/>
      <c r="Y72" s="14"/>
      <c r="Z72" s="142"/>
      <c r="AA72" s="14"/>
      <c r="AB72" s="142"/>
      <c r="AC72" s="14"/>
      <c r="AD72" s="142"/>
      <c r="AE72" s="14"/>
      <c r="AF72" s="142"/>
      <c r="AG72" s="14"/>
      <c r="AH72" s="142"/>
      <c r="AI72" s="14"/>
      <c r="AJ72" s="142"/>
      <c r="AK72" s="107"/>
    </row>
    <row r="73" spans="1:37" ht="16.5" customHeight="1" x14ac:dyDescent="0.2">
      <c r="A73" s="6"/>
      <c r="B73" s="135">
        <f t="shared" si="29"/>
        <v>13</v>
      </c>
      <c r="C73" s="21">
        <f>'Kelas X'!C69</f>
        <v>16422</v>
      </c>
      <c r="D73" s="159" t="str">
        <f>'Kelas X'!D69</f>
        <v>M. AL AFHANTS SYIRIL WAFA</v>
      </c>
      <c r="E73" s="110"/>
      <c r="F73" s="120"/>
      <c r="G73" s="14"/>
      <c r="H73" s="142"/>
      <c r="I73" s="110"/>
      <c r="J73" s="120"/>
      <c r="K73" s="14"/>
      <c r="L73" s="142"/>
      <c r="M73" s="110"/>
      <c r="N73" s="120"/>
      <c r="O73" s="14"/>
      <c r="P73" s="142"/>
      <c r="Q73" s="14"/>
      <c r="R73" s="142"/>
      <c r="S73" s="14"/>
      <c r="T73" s="142"/>
      <c r="U73" s="14"/>
      <c r="V73" s="142"/>
      <c r="W73" s="14"/>
      <c r="X73" s="142"/>
      <c r="Y73" s="14"/>
      <c r="Z73" s="142"/>
      <c r="AA73" s="14"/>
      <c r="AB73" s="142"/>
      <c r="AC73" s="14"/>
      <c r="AD73" s="142"/>
      <c r="AE73" s="14"/>
      <c r="AF73" s="142"/>
      <c r="AG73" s="14"/>
      <c r="AH73" s="142"/>
      <c r="AI73" s="14"/>
      <c r="AJ73" s="142"/>
      <c r="AK73" s="107"/>
    </row>
    <row r="74" spans="1:37" ht="16.5" customHeight="1" x14ac:dyDescent="0.2">
      <c r="A74" s="6"/>
      <c r="B74" s="135">
        <f t="shared" si="29"/>
        <v>14</v>
      </c>
      <c r="C74" s="21">
        <f>'Kelas X'!C70</f>
        <v>16423</v>
      </c>
      <c r="D74" s="159" t="str">
        <f>'Kelas X'!D70</f>
        <v>M.DHIKA APRIANSYAH. Z</v>
      </c>
      <c r="E74" s="110"/>
      <c r="F74" s="120"/>
      <c r="G74" s="14"/>
      <c r="H74" s="142"/>
      <c r="I74" s="110"/>
      <c r="J74" s="120"/>
      <c r="K74" s="14"/>
      <c r="L74" s="142"/>
      <c r="M74" s="110"/>
      <c r="N74" s="120"/>
      <c r="O74" s="14"/>
      <c r="P74" s="142"/>
      <c r="Q74" s="14"/>
      <c r="R74" s="142"/>
      <c r="S74" s="14"/>
      <c r="T74" s="142"/>
      <c r="U74" s="14"/>
      <c r="V74" s="142"/>
      <c r="W74" s="14"/>
      <c r="X74" s="142"/>
      <c r="Y74" s="14"/>
      <c r="Z74" s="142"/>
      <c r="AA74" s="14"/>
      <c r="AB74" s="142"/>
      <c r="AC74" s="14"/>
      <c r="AD74" s="142"/>
      <c r="AE74" s="14"/>
      <c r="AF74" s="142"/>
      <c r="AG74" s="14"/>
      <c r="AH74" s="142"/>
      <c r="AI74" s="14"/>
      <c r="AJ74" s="142"/>
      <c r="AK74" s="107"/>
    </row>
    <row r="75" spans="1:37" ht="16.5" customHeight="1" x14ac:dyDescent="0.2">
      <c r="A75" s="6"/>
      <c r="B75" s="135">
        <f t="shared" si="29"/>
        <v>15</v>
      </c>
      <c r="C75" s="21">
        <f>'Kelas X'!C71</f>
        <v>16424</v>
      </c>
      <c r="D75" s="159" t="str">
        <f>'Kelas X'!D71</f>
        <v>MOCHAMMAD 'ALAMIL HUDA</v>
      </c>
      <c r="E75" s="110"/>
      <c r="F75" s="120"/>
      <c r="G75" s="14"/>
      <c r="H75" s="142"/>
      <c r="I75" s="110"/>
      <c r="J75" s="120"/>
      <c r="K75" s="14"/>
      <c r="L75" s="142"/>
      <c r="M75" s="110"/>
      <c r="N75" s="120"/>
      <c r="O75" s="14"/>
      <c r="P75" s="142"/>
      <c r="Q75" s="14"/>
      <c r="R75" s="142"/>
      <c r="S75" s="14"/>
      <c r="T75" s="142"/>
      <c r="U75" s="14"/>
      <c r="V75" s="142"/>
      <c r="W75" s="14"/>
      <c r="X75" s="142"/>
      <c r="Y75" s="14"/>
      <c r="Z75" s="142"/>
      <c r="AA75" s="14"/>
      <c r="AB75" s="142"/>
      <c r="AC75" s="14"/>
      <c r="AD75" s="142"/>
      <c r="AE75" s="14"/>
      <c r="AF75" s="142"/>
      <c r="AG75" s="14"/>
      <c r="AH75" s="142"/>
      <c r="AI75" s="14"/>
      <c r="AJ75" s="142"/>
      <c r="AK75" s="107"/>
    </row>
    <row r="76" spans="1:37" ht="16.5" customHeight="1" x14ac:dyDescent="0.2">
      <c r="A76" s="6"/>
      <c r="B76" s="135">
        <f t="shared" si="29"/>
        <v>16</v>
      </c>
      <c r="C76" s="21">
        <f>'Kelas X'!C72</f>
        <v>16425</v>
      </c>
      <c r="D76" s="159" t="str">
        <f>'Kelas X'!D72</f>
        <v>MUHAMAD FIKRI AL ISHAQI</v>
      </c>
      <c r="E76" s="110"/>
      <c r="F76" s="120"/>
      <c r="G76" s="14"/>
      <c r="H76" s="142"/>
      <c r="I76" s="110"/>
      <c r="J76" s="120"/>
      <c r="K76" s="14"/>
      <c r="L76" s="142"/>
      <c r="M76" s="110"/>
      <c r="N76" s="120"/>
      <c r="O76" s="14"/>
      <c r="P76" s="142"/>
      <c r="Q76" s="14"/>
      <c r="R76" s="142"/>
      <c r="S76" s="14"/>
      <c r="T76" s="142"/>
      <c r="U76" s="14"/>
      <c r="V76" s="142"/>
      <c r="W76" s="14"/>
      <c r="X76" s="142"/>
      <c r="Y76" s="14"/>
      <c r="Z76" s="142"/>
      <c r="AA76" s="14"/>
      <c r="AB76" s="142"/>
      <c r="AC76" s="14"/>
      <c r="AD76" s="142"/>
      <c r="AE76" s="14"/>
      <c r="AF76" s="142"/>
      <c r="AG76" s="14"/>
      <c r="AH76" s="142"/>
      <c r="AI76" s="14"/>
      <c r="AJ76" s="142"/>
      <c r="AK76" s="107"/>
    </row>
    <row r="77" spans="1:37" ht="16.5" customHeight="1" x14ac:dyDescent="0.2">
      <c r="A77" s="6"/>
      <c r="B77" s="135">
        <f t="shared" si="29"/>
        <v>17</v>
      </c>
      <c r="C77" s="21">
        <f>'Kelas X'!C73</f>
        <v>16426</v>
      </c>
      <c r="D77" s="159" t="str">
        <f>'Kelas X'!D73</f>
        <v>MUHAMMAD ADE RAISYA</v>
      </c>
      <c r="E77" s="110"/>
      <c r="F77" s="120"/>
      <c r="G77" s="14"/>
      <c r="H77" s="142"/>
      <c r="I77" s="110"/>
      <c r="J77" s="120"/>
      <c r="K77" s="14"/>
      <c r="L77" s="142"/>
      <c r="M77" s="110"/>
      <c r="N77" s="120"/>
      <c r="O77" s="14"/>
      <c r="P77" s="142"/>
      <c r="Q77" s="14"/>
      <c r="R77" s="142"/>
      <c r="S77" s="14"/>
      <c r="T77" s="142"/>
      <c r="U77" s="14"/>
      <c r="V77" s="142"/>
      <c r="W77" s="14"/>
      <c r="X77" s="142"/>
      <c r="Y77" s="14"/>
      <c r="Z77" s="142"/>
      <c r="AA77" s="14"/>
      <c r="AB77" s="142"/>
      <c r="AC77" s="14"/>
      <c r="AD77" s="142"/>
      <c r="AE77" s="14"/>
      <c r="AF77" s="142"/>
      <c r="AG77" s="14"/>
      <c r="AH77" s="142"/>
      <c r="AI77" s="14"/>
      <c r="AJ77" s="142"/>
      <c r="AK77" s="107"/>
    </row>
    <row r="78" spans="1:37" ht="16.5" customHeight="1" x14ac:dyDescent="0.2">
      <c r="A78" s="6"/>
      <c r="B78" s="135">
        <f t="shared" si="29"/>
        <v>18</v>
      </c>
      <c r="C78" s="21">
        <f>'Kelas X'!C74</f>
        <v>16427</v>
      </c>
      <c r="D78" s="159" t="str">
        <f>'Kelas X'!D74</f>
        <v>MUHAMMAD ADITYA JASTIN</v>
      </c>
      <c r="E78" s="110"/>
      <c r="F78" s="120"/>
      <c r="G78" s="14"/>
      <c r="H78" s="142"/>
      <c r="I78" s="110"/>
      <c r="J78" s="120"/>
      <c r="K78" s="14"/>
      <c r="L78" s="142"/>
      <c r="M78" s="110"/>
      <c r="N78" s="120"/>
      <c r="O78" s="14"/>
      <c r="P78" s="142"/>
      <c r="Q78" s="14"/>
      <c r="R78" s="142"/>
      <c r="S78" s="14"/>
      <c r="T78" s="142"/>
      <c r="U78" s="14"/>
      <c r="V78" s="142"/>
      <c r="W78" s="14"/>
      <c r="X78" s="142"/>
      <c r="Y78" s="14"/>
      <c r="Z78" s="142"/>
      <c r="AA78" s="14"/>
      <c r="AB78" s="142"/>
      <c r="AC78" s="14"/>
      <c r="AD78" s="142"/>
      <c r="AE78" s="14"/>
      <c r="AF78" s="142"/>
      <c r="AG78" s="14"/>
      <c r="AH78" s="142"/>
      <c r="AI78" s="14"/>
      <c r="AJ78" s="142"/>
      <c r="AK78" s="107"/>
    </row>
    <row r="79" spans="1:37" ht="16.5" customHeight="1" x14ac:dyDescent="0.2">
      <c r="A79" s="6"/>
      <c r="B79" s="135">
        <f t="shared" si="29"/>
        <v>19</v>
      </c>
      <c r="C79" s="21">
        <f>'Kelas X'!C75</f>
        <v>16428</v>
      </c>
      <c r="D79" s="159" t="str">
        <f>'Kelas X'!D75</f>
        <v>MUHAMMAD ANSHORI AL AKBAR</v>
      </c>
      <c r="E79" s="110"/>
      <c r="F79" s="120"/>
      <c r="G79" s="14"/>
      <c r="H79" s="142"/>
      <c r="I79" s="110"/>
      <c r="J79" s="120"/>
      <c r="K79" s="14"/>
      <c r="L79" s="142"/>
      <c r="M79" s="110"/>
      <c r="N79" s="120"/>
      <c r="O79" s="14"/>
      <c r="P79" s="142"/>
      <c r="Q79" s="14"/>
      <c r="R79" s="142"/>
      <c r="S79" s="14"/>
      <c r="T79" s="142"/>
      <c r="U79" s="14"/>
      <c r="V79" s="142"/>
      <c r="W79" s="14"/>
      <c r="X79" s="142"/>
      <c r="Y79" s="14"/>
      <c r="Z79" s="142"/>
      <c r="AA79" s="14"/>
      <c r="AB79" s="142"/>
      <c r="AC79" s="14"/>
      <c r="AD79" s="142"/>
      <c r="AE79" s="14"/>
      <c r="AF79" s="142"/>
      <c r="AG79" s="14"/>
      <c r="AH79" s="142"/>
      <c r="AI79" s="14"/>
      <c r="AJ79" s="142"/>
      <c r="AK79" s="107"/>
    </row>
    <row r="80" spans="1:37" ht="16.5" customHeight="1" x14ac:dyDescent="0.2">
      <c r="A80" s="6"/>
      <c r="B80" s="135">
        <f t="shared" si="29"/>
        <v>20</v>
      </c>
      <c r="C80" s="21">
        <f>'Kelas X'!C76</f>
        <v>16429</v>
      </c>
      <c r="D80" s="159" t="str">
        <f>'Kelas X'!D76</f>
        <v>MUHAMMAD DZAKIY AVICENNA AL ZAEN</v>
      </c>
      <c r="E80" s="110"/>
      <c r="F80" s="120"/>
      <c r="G80" s="14"/>
      <c r="H80" s="142"/>
      <c r="I80" s="110"/>
      <c r="J80" s="120"/>
      <c r="K80" s="14"/>
      <c r="L80" s="142"/>
      <c r="M80" s="110"/>
      <c r="N80" s="120"/>
      <c r="O80" s="14"/>
      <c r="P80" s="142"/>
      <c r="Q80" s="14"/>
      <c r="R80" s="142"/>
      <c r="S80" s="14"/>
      <c r="T80" s="142"/>
      <c r="U80" s="14"/>
      <c r="V80" s="142"/>
      <c r="W80" s="14"/>
      <c r="X80" s="142"/>
      <c r="Y80" s="14"/>
      <c r="Z80" s="142"/>
      <c r="AA80" s="14"/>
      <c r="AB80" s="142"/>
      <c r="AC80" s="14"/>
      <c r="AD80" s="142"/>
      <c r="AE80" s="14"/>
      <c r="AF80" s="142"/>
      <c r="AG80" s="14"/>
      <c r="AH80" s="142"/>
      <c r="AI80" s="14"/>
      <c r="AJ80" s="142"/>
      <c r="AK80" s="107"/>
    </row>
    <row r="81" spans="1:37" ht="16.5" customHeight="1" x14ac:dyDescent="0.2">
      <c r="A81" s="6"/>
      <c r="B81" s="135">
        <f t="shared" si="29"/>
        <v>21</v>
      </c>
      <c r="C81" s="21">
        <f>'Kelas X'!C77</f>
        <v>16430</v>
      </c>
      <c r="D81" s="159" t="str">
        <f>'Kelas X'!D77</f>
        <v>MUHAMMAD FAWWAZ TSAQIB</v>
      </c>
      <c r="E81" s="110"/>
      <c r="F81" s="120"/>
      <c r="G81" s="14"/>
      <c r="H81" s="142"/>
      <c r="I81" s="110"/>
      <c r="J81" s="120"/>
      <c r="K81" s="14"/>
      <c r="L81" s="142"/>
      <c r="M81" s="110"/>
      <c r="N81" s="120"/>
      <c r="O81" s="14"/>
      <c r="P81" s="142"/>
      <c r="Q81" s="14"/>
      <c r="R81" s="142"/>
      <c r="S81" s="14"/>
      <c r="T81" s="142"/>
      <c r="U81" s="14"/>
      <c r="V81" s="142"/>
      <c r="W81" s="14"/>
      <c r="X81" s="142"/>
      <c r="Y81" s="14"/>
      <c r="Z81" s="142"/>
      <c r="AA81" s="14"/>
      <c r="AB81" s="142"/>
      <c r="AC81" s="14"/>
      <c r="AD81" s="142"/>
      <c r="AE81" s="14"/>
      <c r="AF81" s="142"/>
      <c r="AG81" s="14"/>
      <c r="AH81" s="142"/>
      <c r="AI81" s="14"/>
      <c r="AJ81" s="142"/>
      <c r="AK81" s="107"/>
    </row>
    <row r="82" spans="1:37" ht="16.5" customHeight="1" x14ac:dyDescent="0.2">
      <c r="A82" s="6"/>
      <c r="B82" s="135">
        <f t="shared" si="29"/>
        <v>22</v>
      </c>
      <c r="C82" s="21">
        <f>'Kelas X'!C78</f>
        <v>16431</v>
      </c>
      <c r="D82" s="159" t="str">
        <f>'Kelas X'!D78</f>
        <v>MUHAMMAD RIFFAT MARDHOTILLAH</v>
      </c>
      <c r="E82" s="110"/>
      <c r="F82" s="120"/>
      <c r="G82" s="14"/>
      <c r="H82" s="142"/>
      <c r="I82" s="110"/>
      <c r="J82" s="120"/>
      <c r="K82" s="14"/>
      <c r="L82" s="142"/>
      <c r="M82" s="110"/>
      <c r="N82" s="120"/>
      <c r="O82" s="14"/>
      <c r="P82" s="142"/>
      <c r="Q82" s="14"/>
      <c r="R82" s="142"/>
      <c r="S82" s="14"/>
      <c r="T82" s="142"/>
      <c r="U82" s="14"/>
      <c r="V82" s="142"/>
      <c r="W82" s="14"/>
      <c r="X82" s="142"/>
      <c r="Y82" s="14"/>
      <c r="Z82" s="142"/>
      <c r="AA82" s="14"/>
      <c r="AB82" s="142"/>
      <c r="AC82" s="14"/>
      <c r="AD82" s="142"/>
      <c r="AE82" s="14"/>
      <c r="AF82" s="142"/>
      <c r="AG82" s="14"/>
      <c r="AH82" s="142"/>
      <c r="AI82" s="14"/>
      <c r="AJ82" s="142"/>
      <c r="AK82" s="107"/>
    </row>
    <row r="83" spans="1:37" ht="16.5" customHeight="1" x14ac:dyDescent="0.2">
      <c r="A83" s="6"/>
      <c r="B83" s="135">
        <f t="shared" si="29"/>
        <v>23</v>
      </c>
      <c r="C83" s="21">
        <f>'Kelas X'!C79</f>
        <v>16432</v>
      </c>
      <c r="D83" s="159" t="str">
        <f>'Kelas X'!D79</f>
        <v>RAFA HABIBULLAH DAVID PRATAMA</v>
      </c>
      <c r="E83" s="110"/>
      <c r="F83" s="120"/>
      <c r="G83" s="14"/>
      <c r="H83" s="142"/>
      <c r="I83" s="110"/>
      <c r="J83" s="120"/>
      <c r="K83" s="14"/>
      <c r="L83" s="142"/>
      <c r="M83" s="110"/>
      <c r="N83" s="120"/>
      <c r="O83" s="14"/>
      <c r="P83" s="142"/>
      <c r="Q83" s="14"/>
      <c r="R83" s="142"/>
      <c r="S83" s="14"/>
      <c r="T83" s="142"/>
      <c r="U83" s="14"/>
      <c r="V83" s="142"/>
      <c r="W83" s="14"/>
      <c r="X83" s="142"/>
      <c r="Y83" s="14"/>
      <c r="Z83" s="142"/>
      <c r="AA83" s="14"/>
      <c r="AB83" s="142"/>
      <c r="AC83" s="14"/>
      <c r="AD83" s="142"/>
      <c r="AE83" s="14"/>
      <c r="AF83" s="142"/>
      <c r="AG83" s="14"/>
      <c r="AH83" s="142"/>
      <c r="AI83" s="14"/>
      <c r="AJ83" s="142"/>
      <c r="AK83" s="107"/>
    </row>
    <row r="84" spans="1:37" ht="16.5" customHeight="1" x14ac:dyDescent="0.2">
      <c r="A84" s="6"/>
      <c r="B84" s="135">
        <f t="shared" si="29"/>
        <v>24</v>
      </c>
      <c r="C84" s="21">
        <f>'Kelas X'!C80</f>
        <v>16433</v>
      </c>
      <c r="D84" s="159" t="str">
        <f>'Kelas X'!D80</f>
        <v>RAYYAN NAROTAMA</v>
      </c>
      <c r="E84" s="110"/>
      <c r="F84" s="120"/>
      <c r="G84" s="14"/>
      <c r="H84" s="142"/>
      <c r="I84" s="110"/>
      <c r="J84" s="120"/>
      <c r="K84" s="14"/>
      <c r="L84" s="142"/>
      <c r="M84" s="110"/>
      <c r="N84" s="120"/>
      <c r="O84" s="14"/>
      <c r="P84" s="142"/>
      <c r="Q84" s="14"/>
      <c r="R84" s="142"/>
      <c r="S84" s="14"/>
      <c r="T84" s="142"/>
      <c r="U84" s="14"/>
      <c r="V84" s="142"/>
      <c r="W84" s="14"/>
      <c r="X84" s="142"/>
      <c r="Y84" s="14"/>
      <c r="Z84" s="142"/>
      <c r="AA84" s="14"/>
      <c r="AB84" s="142"/>
      <c r="AC84" s="14"/>
      <c r="AD84" s="142"/>
      <c r="AE84" s="14"/>
      <c r="AF84" s="142"/>
      <c r="AG84" s="14"/>
      <c r="AH84" s="142"/>
      <c r="AI84" s="14"/>
      <c r="AJ84" s="142"/>
      <c r="AK84" s="107"/>
    </row>
    <row r="85" spans="1:37" ht="16.5" customHeight="1" x14ac:dyDescent="0.2">
      <c r="A85" s="6"/>
      <c r="B85" s="135">
        <f t="shared" si="29"/>
        <v>25</v>
      </c>
      <c r="C85" s="21">
        <f>'Kelas X'!C81</f>
        <v>16434</v>
      </c>
      <c r="D85" s="159" t="str">
        <f>'Kelas X'!D81</f>
        <v>ROBETH FATIH EL NOFAT</v>
      </c>
      <c r="E85" s="110"/>
      <c r="F85" s="120"/>
      <c r="G85" s="14"/>
      <c r="H85" s="142"/>
      <c r="I85" s="110"/>
      <c r="J85" s="120"/>
      <c r="K85" s="14"/>
      <c r="L85" s="142"/>
      <c r="M85" s="110"/>
      <c r="N85" s="120"/>
      <c r="O85" s="14"/>
      <c r="P85" s="142"/>
      <c r="Q85" s="14"/>
      <c r="R85" s="142"/>
      <c r="S85" s="14"/>
      <c r="T85" s="142"/>
      <c r="U85" s="14"/>
      <c r="V85" s="142"/>
      <c r="W85" s="14"/>
      <c r="X85" s="142"/>
      <c r="Y85" s="14"/>
      <c r="Z85" s="142"/>
      <c r="AA85" s="14"/>
      <c r="AB85" s="142"/>
      <c r="AC85" s="14"/>
      <c r="AD85" s="142"/>
      <c r="AE85" s="14"/>
      <c r="AF85" s="142"/>
      <c r="AG85" s="14"/>
      <c r="AH85" s="142"/>
      <c r="AI85" s="14"/>
      <c r="AJ85" s="142"/>
      <c r="AK85" s="107"/>
    </row>
    <row r="86" spans="1:37" ht="16.5" customHeight="1" x14ac:dyDescent="0.2">
      <c r="A86" s="6"/>
      <c r="B86" s="135">
        <f t="shared" si="29"/>
        <v>26</v>
      </c>
      <c r="C86" s="21">
        <f>'Kelas X'!C82</f>
        <v>0</v>
      </c>
      <c r="D86" s="159">
        <f>'Kelas X'!D82</f>
        <v>0</v>
      </c>
      <c r="E86" s="110"/>
      <c r="F86" s="120"/>
      <c r="G86" s="14"/>
      <c r="H86" s="142"/>
      <c r="I86" s="110"/>
      <c r="J86" s="120"/>
      <c r="K86" s="14"/>
      <c r="L86" s="142"/>
      <c r="M86" s="110"/>
      <c r="N86" s="120"/>
      <c r="O86" s="14"/>
      <c r="P86" s="142"/>
      <c r="Q86" s="14"/>
      <c r="R86" s="142"/>
      <c r="S86" s="14"/>
      <c r="T86" s="142"/>
      <c r="U86" s="14"/>
      <c r="V86" s="142"/>
      <c r="W86" s="14"/>
      <c r="X86" s="142"/>
      <c r="Y86" s="14"/>
      <c r="Z86" s="142"/>
      <c r="AA86" s="14"/>
      <c r="AB86" s="142"/>
      <c r="AC86" s="14"/>
      <c r="AD86" s="142"/>
      <c r="AE86" s="14"/>
      <c r="AF86" s="142"/>
      <c r="AG86" s="14"/>
      <c r="AH86" s="142"/>
      <c r="AI86" s="14"/>
      <c r="AJ86" s="142"/>
      <c r="AK86" s="107"/>
    </row>
    <row r="87" spans="1:37" ht="16.5" customHeight="1" x14ac:dyDescent="0.2">
      <c r="A87" s="6"/>
      <c r="B87" s="135">
        <f t="shared" si="29"/>
        <v>27</v>
      </c>
      <c r="C87" s="21">
        <f>'Kelas X'!C83</f>
        <v>0</v>
      </c>
      <c r="D87" s="159">
        <f>'Kelas X'!D83</f>
        <v>0</v>
      </c>
      <c r="E87" s="110"/>
      <c r="F87" s="120"/>
      <c r="G87" s="14"/>
      <c r="H87" s="142"/>
      <c r="I87" s="110"/>
      <c r="J87" s="120"/>
      <c r="K87" s="14"/>
      <c r="L87" s="142"/>
      <c r="M87" s="110"/>
      <c r="N87" s="120"/>
      <c r="O87" s="14"/>
      <c r="P87" s="142"/>
      <c r="Q87" s="14"/>
      <c r="R87" s="142"/>
      <c r="S87" s="14"/>
      <c r="T87" s="142"/>
      <c r="U87" s="14"/>
      <c r="V87" s="142"/>
      <c r="W87" s="14"/>
      <c r="X87" s="142"/>
      <c r="Y87" s="14"/>
      <c r="Z87" s="142"/>
      <c r="AA87" s="14"/>
      <c r="AB87" s="142"/>
      <c r="AC87" s="14"/>
      <c r="AD87" s="142"/>
      <c r="AE87" s="14"/>
      <c r="AF87" s="142"/>
      <c r="AG87" s="14"/>
      <c r="AH87" s="142"/>
      <c r="AI87" s="14"/>
      <c r="AJ87" s="142"/>
      <c r="AK87" s="107"/>
    </row>
    <row r="88" spans="1:37" ht="16.5" customHeight="1" x14ac:dyDescent="0.2">
      <c r="A88" s="6"/>
      <c r="B88" s="135">
        <f t="shared" si="29"/>
        <v>28</v>
      </c>
      <c r="C88" s="21">
        <f>'Kelas X'!C84</f>
        <v>0</v>
      </c>
      <c r="D88" s="159">
        <f>'Kelas X'!D84</f>
        <v>0</v>
      </c>
      <c r="E88" s="110"/>
      <c r="F88" s="120"/>
      <c r="G88" s="14"/>
      <c r="H88" s="142"/>
      <c r="I88" s="110"/>
      <c r="J88" s="120"/>
      <c r="K88" s="14"/>
      <c r="L88" s="142"/>
      <c r="M88" s="110"/>
      <c r="N88" s="120"/>
      <c r="O88" s="14"/>
      <c r="P88" s="142"/>
      <c r="Q88" s="14"/>
      <c r="R88" s="142"/>
      <c r="S88" s="14"/>
      <c r="T88" s="142"/>
      <c r="U88" s="14"/>
      <c r="V88" s="142"/>
      <c r="W88" s="14"/>
      <c r="X88" s="142"/>
      <c r="Y88" s="14"/>
      <c r="Z88" s="142"/>
      <c r="AA88" s="14"/>
      <c r="AB88" s="142"/>
      <c r="AC88" s="14"/>
      <c r="AD88" s="142"/>
      <c r="AE88" s="14"/>
      <c r="AF88" s="142"/>
      <c r="AG88" s="14"/>
      <c r="AH88" s="142"/>
      <c r="AI88" s="14"/>
      <c r="AJ88" s="142"/>
      <c r="AK88" s="107"/>
    </row>
    <row r="89" spans="1:37" ht="16.5" customHeight="1" x14ac:dyDescent="0.2">
      <c r="A89" s="6"/>
      <c r="B89" s="135">
        <f t="shared" si="29"/>
        <v>29</v>
      </c>
      <c r="C89" s="21">
        <f>'Kelas X'!C85</f>
        <v>0</v>
      </c>
      <c r="D89" s="159">
        <f>'Kelas X'!D85</f>
        <v>0</v>
      </c>
      <c r="E89" s="110"/>
      <c r="F89" s="120"/>
      <c r="G89" s="14"/>
      <c r="H89" s="142"/>
      <c r="I89" s="110"/>
      <c r="J89" s="120"/>
      <c r="K89" s="14"/>
      <c r="L89" s="142"/>
      <c r="M89" s="110"/>
      <c r="N89" s="120"/>
      <c r="O89" s="14"/>
      <c r="P89" s="142"/>
      <c r="Q89" s="14"/>
      <c r="R89" s="142"/>
      <c r="S89" s="14"/>
      <c r="T89" s="142"/>
      <c r="U89" s="14"/>
      <c r="V89" s="142"/>
      <c r="W89" s="14"/>
      <c r="X89" s="142"/>
      <c r="Y89" s="14"/>
      <c r="Z89" s="142"/>
      <c r="AA89" s="14"/>
      <c r="AB89" s="142"/>
      <c r="AC89" s="14"/>
      <c r="AD89" s="142"/>
      <c r="AE89" s="14"/>
      <c r="AF89" s="142"/>
      <c r="AG89" s="14"/>
      <c r="AH89" s="142"/>
      <c r="AI89" s="14"/>
      <c r="AJ89" s="142"/>
      <c r="AK89" s="107"/>
    </row>
    <row r="90" spans="1:37" ht="16.5" customHeight="1" x14ac:dyDescent="0.2">
      <c r="A90" s="6"/>
      <c r="B90" s="135">
        <f t="shared" si="29"/>
        <v>30</v>
      </c>
      <c r="C90" s="21">
        <f>'Kelas X'!C86</f>
        <v>0</v>
      </c>
      <c r="D90" s="159">
        <f>'Kelas X'!D86</f>
        <v>0</v>
      </c>
      <c r="E90" s="110"/>
      <c r="F90" s="120"/>
      <c r="G90" s="14"/>
      <c r="H90" s="142"/>
      <c r="I90" s="110"/>
      <c r="J90" s="120"/>
      <c r="K90" s="14"/>
      <c r="L90" s="142"/>
      <c r="M90" s="110"/>
      <c r="N90" s="120"/>
      <c r="O90" s="14"/>
      <c r="P90" s="142"/>
      <c r="Q90" s="14"/>
      <c r="R90" s="142"/>
      <c r="S90" s="14"/>
      <c r="T90" s="142"/>
      <c r="U90" s="14"/>
      <c r="V90" s="142"/>
      <c r="W90" s="14"/>
      <c r="X90" s="142"/>
      <c r="Y90" s="14"/>
      <c r="Z90" s="142"/>
      <c r="AA90" s="14"/>
      <c r="AB90" s="142"/>
      <c r="AC90" s="14"/>
      <c r="AD90" s="142"/>
      <c r="AE90" s="14"/>
      <c r="AF90" s="142"/>
      <c r="AG90" s="14"/>
      <c r="AH90" s="142"/>
      <c r="AI90" s="14"/>
      <c r="AJ90" s="142"/>
      <c r="AK90" s="107"/>
    </row>
    <row r="91" spans="1:37" ht="16.5" customHeight="1" x14ac:dyDescent="0.2">
      <c r="A91" s="6"/>
      <c r="B91" s="135">
        <f t="shared" si="29"/>
        <v>31</v>
      </c>
      <c r="C91" s="21">
        <f>'Kelas X'!C87</f>
        <v>0</v>
      </c>
      <c r="D91" s="159">
        <f>'Kelas X'!D87</f>
        <v>0</v>
      </c>
      <c r="E91" s="110"/>
      <c r="F91" s="120"/>
      <c r="G91" s="14"/>
      <c r="H91" s="142"/>
      <c r="I91" s="110"/>
      <c r="J91" s="120"/>
      <c r="K91" s="14"/>
      <c r="L91" s="142"/>
      <c r="M91" s="110"/>
      <c r="N91" s="120"/>
      <c r="O91" s="14"/>
      <c r="P91" s="142"/>
      <c r="Q91" s="14"/>
      <c r="R91" s="142"/>
      <c r="S91" s="14"/>
      <c r="T91" s="142"/>
      <c r="U91" s="14"/>
      <c r="V91" s="142"/>
      <c r="W91" s="14"/>
      <c r="X91" s="142"/>
      <c r="Y91" s="14"/>
      <c r="Z91" s="142"/>
      <c r="AA91" s="14"/>
      <c r="AB91" s="142"/>
      <c r="AC91" s="14"/>
      <c r="AD91" s="142"/>
      <c r="AE91" s="14"/>
      <c r="AF91" s="142"/>
      <c r="AG91" s="14"/>
      <c r="AH91" s="142"/>
      <c r="AI91" s="14"/>
      <c r="AJ91" s="142"/>
      <c r="AK91" s="107"/>
    </row>
    <row r="92" spans="1:37" ht="16.5" customHeight="1" x14ac:dyDescent="0.2">
      <c r="A92" s="6"/>
      <c r="B92" s="135">
        <f t="shared" si="29"/>
        <v>32</v>
      </c>
      <c r="C92" s="21">
        <f>'Kelas X'!C88</f>
        <v>0</v>
      </c>
      <c r="D92" s="159">
        <f>'Kelas X'!D88</f>
        <v>0</v>
      </c>
      <c r="E92" s="110"/>
      <c r="F92" s="120"/>
      <c r="G92" s="14"/>
      <c r="H92" s="142"/>
      <c r="I92" s="110"/>
      <c r="J92" s="120"/>
      <c r="K92" s="14"/>
      <c r="L92" s="142"/>
      <c r="M92" s="110"/>
      <c r="N92" s="120"/>
      <c r="O92" s="14"/>
      <c r="P92" s="142"/>
      <c r="Q92" s="14"/>
      <c r="R92" s="142"/>
      <c r="S92" s="14"/>
      <c r="T92" s="142"/>
      <c r="U92" s="14"/>
      <c r="V92" s="142"/>
      <c r="W92" s="14"/>
      <c r="X92" s="142"/>
      <c r="Y92" s="14"/>
      <c r="Z92" s="142"/>
      <c r="AA92" s="14"/>
      <c r="AB92" s="142"/>
      <c r="AC92" s="14"/>
      <c r="AD92" s="142"/>
      <c r="AE92" s="14"/>
      <c r="AF92" s="142"/>
      <c r="AG92" s="14"/>
      <c r="AH92" s="142"/>
      <c r="AI92" s="14"/>
      <c r="AJ92" s="142"/>
      <c r="AK92" s="107"/>
    </row>
    <row r="93" spans="1:37" ht="16.5" customHeight="1" x14ac:dyDescent="0.2">
      <c r="A93" s="6"/>
      <c r="B93" s="135">
        <f t="shared" si="29"/>
        <v>33</v>
      </c>
      <c r="C93" s="21">
        <f>'Kelas X'!C89</f>
        <v>0</v>
      </c>
      <c r="D93" s="159">
        <f>'Kelas X'!D89</f>
        <v>0</v>
      </c>
      <c r="E93" s="110"/>
      <c r="F93" s="120"/>
      <c r="G93" s="14"/>
      <c r="H93" s="142"/>
      <c r="I93" s="110"/>
      <c r="J93" s="120"/>
      <c r="K93" s="14"/>
      <c r="L93" s="142"/>
      <c r="M93" s="110"/>
      <c r="N93" s="120"/>
      <c r="O93" s="14"/>
      <c r="P93" s="142"/>
      <c r="Q93" s="14"/>
      <c r="R93" s="142"/>
      <c r="S93" s="14"/>
      <c r="T93" s="142"/>
      <c r="U93" s="14"/>
      <c r="V93" s="142"/>
      <c r="W93" s="14"/>
      <c r="X93" s="142"/>
      <c r="Y93" s="14"/>
      <c r="Z93" s="142"/>
      <c r="AA93" s="14"/>
      <c r="AB93" s="142"/>
      <c r="AC93" s="14"/>
      <c r="AD93" s="142"/>
      <c r="AE93" s="14"/>
      <c r="AF93" s="142"/>
      <c r="AG93" s="14"/>
      <c r="AH93" s="142"/>
      <c r="AI93" s="14"/>
      <c r="AJ93" s="142"/>
      <c r="AK93" s="107"/>
    </row>
    <row r="94" spans="1:37" ht="16.5" customHeight="1" x14ac:dyDescent="0.2">
      <c r="A94" s="6"/>
      <c r="B94" s="135">
        <f t="shared" si="29"/>
        <v>34</v>
      </c>
      <c r="C94" s="21">
        <f>'Kelas X'!C90</f>
        <v>0</v>
      </c>
      <c r="D94" s="159">
        <f>'Kelas X'!D90</f>
        <v>0</v>
      </c>
      <c r="E94" s="110"/>
      <c r="F94" s="120"/>
      <c r="G94" s="14"/>
      <c r="H94" s="142"/>
      <c r="I94" s="110"/>
      <c r="J94" s="120"/>
      <c r="K94" s="14"/>
      <c r="L94" s="142"/>
      <c r="M94" s="110"/>
      <c r="N94" s="120"/>
      <c r="O94" s="14"/>
      <c r="P94" s="142"/>
      <c r="Q94" s="14"/>
      <c r="R94" s="142"/>
      <c r="S94" s="14"/>
      <c r="T94" s="142"/>
      <c r="U94" s="14"/>
      <c r="V94" s="142"/>
      <c r="W94" s="14"/>
      <c r="X94" s="142"/>
      <c r="Y94" s="14"/>
      <c r="Z94" s="142"/>
      <c r="AA94" s="14"/>
      <c r="AB94" s="142"/>
      <c r="AC94" s="14"/>
      <c r="AD94" s="142"/>
      <c r="AE94" s="14"/>
      <c r="AF94" s="142"/>
      <c r="AG94" s="14"/>
      <c r="AH94" s="142"/>
      <c r="AI94" s="14"/>
      <c r="AJ94" s="142"/>
      <c r="AK94" s="107"/>
    </row>
    <row r="95" spans="1:37" ht="16.5" customHeight="1" x14ac:dyDescent="0.2">
      <c r="A95" s="6"/>
      <c r="B95" s="135">
        <f t="shared" si="29"/>
        <v>35</v>
      </c>
      <c r="C95" s="21">
        <f>'Kelas X'!C91</f>
        <v>0</v>
      </c>
      <c r="D95" s="159">
        <f>'Kelas X'!D91</f>
        <v>0</v>
      </c>
      <c r="E95" s="110"/>
      <c r="F95" s="120"/>
      <c r="G95" s="14"/>
      <c r="H95" s="142"/>
      <c r="I95" s="110"/>
      <c r="J95" s="120"/>
      <c r="K95" s="14"/>
      <c r="L95" s="142"/>
      <c r="M95" s="110"/>
      <c r="N95" s="120"/>
      <c r="O95" s="14"/>
      <c r="P95" s="142"/>
      <c r="Q95" s="14"/>
      <c r="R95" s="142"/>
      <c r="S95" s="14"/>
      <c r="T95" s="142"/>
      <c r="U95" s="14"/>
      <c r="V95" s="142"/>
      <c r="W95" s="14"/>
      <c r="X95" s="142"/>
      <c r="Y95" s="14"/>
      <c r="Z95" s="142"/>
      <c r="AA95" s="14"/>
      <c r="AB95" s="142"/>
      <c r="AC95" s="14"/>
      <c r="AD95" s="142"/>
      <c r="AE95" s="14"/>
      <c r="AF95" s="142"/>
      <c r="AG95" s="14"/>
      <c r="AH95" s="142"/>
      <c r="AI95" s="14"/>
      <c r="AJ95" s="142"/>
      <c r="AK95" s="107"/>
    </row>
    <row r="96" spans="1:37" ht="16.5" customHeight="1" x14ac:dyDescent="0.2">
      <c r="A96" s="6"/>
      <c r="B96" s="135">
        <f t="shared" si="29"/>
        <v>36</v>
      </c>
      <c r="C96" s="21">
        <f>'Kelas X'!C92</f>
        <v>0</v>
      </c>
      <c r="D96" s="159">
        <f>'Kelas X'!D92</f>
        <v>0</v>
      </c>
      <c r="E96" s="110"/>
      <c r="F96" s="120"/>
      <c r="G96" s="14"/>
      <c r="H96" s="142"/>
      <c r="I96" s="110"/>
      <c r="J96" s="120"/>
      <c r="K96" s="14"/>
      <c r="L96" s="142"/>
      <c r="M96" s="110"/>
      <c r="N96" s="120"/>
      <c r="O96" s="14"/>
      <c r="P96" s="142"/>
      <c r="Q96" s="14"/>
      <c r="R96" s="142"/>
      <c r="S96" s="14"/>
      <c r="T96" s="142"/>
      <c r="U96" s="14"/>
      <c r="V96" s="142"/>
      <c r="W96" s="14"/>
      <c r="X96" s="142"/>
      <c r="Y96" s="14"/>
      <c r="Z96" s="142"/>
      <c r="AA96" s="14"/>
      <c r="AB96" s="142"/>
      <c r="AC96" s="14"/>
      <c r="AD96" s="142"/>
      <c r="AE96" s="14"/>
      <c r="AF96" s="142"/>
      <c r="AG96" s="14"/>
      <c r="AH96" s="142"/>
      <c r="AI96" s="14"/>
      <c r="AJ96" s="142"/>
      <c r="AK96" s="107"/>
    </row>
    <row r="97" spans="1:37" ht="16.5" customHeight="1" x14ac:dyDescent="0.2">
      <c r="A97" s="6"/>
      <c r="B97" s="135">
        <f t="shared" si="29"/>
        <v>37</v>
      </c>
      <c r="C97" s="21">
        <f>'Kelas X'!C93</f>
        <v>0</v>
      </c>
      <c r="D97" s="159">
        <f>'Kelas X'!D93</f>
        <v>0</v>
      </c>
      <c r="E97" s="110"/>
      <c r="F97" s="120"/>
      <c r="G97" s="14"/>
      <c r="H97" s="142"/>
      <c r="I97" s="110"/>
      <c r="J97" s="120"/>
      <c r="K97" s="14"/>
      <c r="L97" s="142"/>
      <c r="M97" s="110"/>
      <c r="N97" s="120"/>
      <c r="O97" s="14"/>
      <c r="P97" s="142"/>
      <c r="Q97" s="14"/>
      <c r="R97" s="142"/>
      <c r="S97" s="14"/>
      <c r="T97" s="142"/>
      <c r="U97" s="14"/>
      <c r="V97" s="142"/>
      <c r="W97" s="14"/>
      <c r="X97" s="142"/>
      <c r="Y97" s="14"/>
      <c r="Z97" s="142"/>
      <c r="AA97" s="14"/>
      <c r="AB97" s="142"/>
      <c r="AC97" s="14"/>
      <c r="AD97" s="142"/>
      <c r="AE97" s="14"/>
      <c r="AF97" s="142"/>
      <c r="AG97" s="14"/>
      <c r="AH97" s="142"/>
      <c r="AI97" s="14"/>
      <c r="AJ97" s="142"/>
      <c r="AK97" s="107"/>
    </row>
    <row r="98" spans="1:37" ht="16.5" customHeight="1" x14ac:dyDescent="0.2">
      <c r="A98" s="6"/>
      <c r="B98" s="135">
        <f t="shared" si="29"/>
        <v>38</v>
      </c>
      <c r="C98" s="21">
        <f>'Kelas X'!C94</f>
        <v>0</v>
      </c>
      <c r="D98" s="159">
        <f>'Kelas X'!D94</f>
        <v>0</v>
      </c>
      <c r="E98" s="110"/>
      <c r="F98" s="120"/>
      <c r="G98" s="14"/>
      <c r="H98" s="142"/>
      <c r="I98" s="110"/>
      <c r="J98" s="120"/>
      <c r="K98" s="14"/>
      <c r="L98" s="142"/>
      <c r="M98" s="110"/>
      <c r="N98" s="120"/>
      <c r="O98" s="14"/>
      <c r="P98" s="142"/>
      <c r="Q98" s="14"/>
      <c r="R98" s="142"/>
      <c r="S98" s="14"/>
      <c r="T98" s="142"/>
      <c r="U98" s="14"/>
      <c r="V98" s="142"/>
      <c r="W98" s="14"/>
      <c r="X98" s="142"/>
      <c r="Y98" s="14"/>
      <c r="Z98" s="142"/>
      <c r="AA98" s="14"/>
      <c r="AB98" s="142"/>
      <c r="AC98" s="14"/>
      <c r="AD98" s="142"/>
      <c r="AE98" s="14"/>
      <c r="AF98" s="142"/>
      <c r="AG98" s="14"/>
      <c r="AH98" s="142"/>
      <c r="AI98" s="14"/>
      <c r="AJ98" s="142"/>
      <c r="AK98" s="107"/>
    </row>
    <row r="99" spans="1:37" ht="16.5" customHeight="1" x14ac:dyDescent="0.2">
      <c r="A99" s="6"/>
      <c r="B99" s="135">
        <f t="shared" si="29"/>
        <v>39</v>
      </c>
      <c r="C99" s="21">
        <f>'Kelas X'!C95</f>
        <v>0</v>
      </c>
      <c r="D99" s="159">
        <f>'Kelas X'!D95</f>
        <v>0</v>
      </c>
      <c r="E99" s="110"/>
      <c r="F99" s="120"/>
      <c r="G99" s="14"/>
      <c r="H99" s="142"/>
      <c r="I99" s="110"/>
      <c r="J99" s="120"/>
      <c r="K99" s="14"/>
      <c r="L99" s="142"/>
      <c r="M99" s="110"/>
      <c r="N99" s="120"/>
      <c r="O99" s="14"/>
      <c r="P99" s="142"/>
      <c r="Q99" s="14"/>
      <c r="R99" s="142"/>
      <c r="S99" s="14"/>
      <c r="T99" s="142"/>
      <c r="U99" s="14"/>
      <c r="V99" s="142"/>
      <c r="W99" s="14"/>
      <c r="X99" s="142"/>
      <c r="Y99" s="14"/>
      <c r="Z99" s="142"/>
      <c r="AA99" s="14"/>
      <c r="AB99" s="142"/>
      <c r="AC99" s="14"/>
      <c r="AD99" s="142"/>
      <c r="AE99" s="14"/>
      <c r="AF99" s="142"/>
      <c r="AG99" s="14"/>
      <c r="AH99" s="142"/>
      <c r="AI99" s="14"/>
      <c r="AJ99" s="142"/>
      <c r="AK99" s="107"/>
    </row>
    <row r="100" spans="1:37" ht="16.5" customHeight="1" thickBot="1" x14ac:dyDescent="0.25">
      <c r="A100" s="6"/>
      <c r="B100" s="143">
        <f t="shared" si="29"/>
        <v>40</v>
      </c>
      <c r="C100" s="143"/>
      <c r="D100" s="198"/>
      <c r="E100" s="112"/>
      <c r="F100" s="122"/>
      <c r="G100" s="18"/>
      <c r="H100" s="146"/>
      <c r="I100" s="112"/>
      <c r="J100" s="122"/>
      <c r="K100" s="18"/>
      <c r="L100" s="146"/>
      <c r="M100" s="112"/>
      <c r="N100" s="122"/>
      <c r="O100" s="18"/>
      <c r="P100" s="146"/>
      <c r="Q100" s="18"/>
      <c r="R100" s="146"/>
      <c r="S100" s="18"/>
      <c r="T100" s="146"/>
      <c r="U100" s="18"/>
      <c r="V100" s="146"/>
      <c r="W100" s="18"/>
      <c r="X100" s="146"/>
      <c r="Y100" s="18"/>
      <c r="Z100" s="146"/>
      <c r="AA100" s="140"/>
      <c r="AB100" s="140"/>
      <c r="AC100" s="18"/>
      <c r="AD100" s="146"/>
      <c r="AE100" s="18"/>
      <c r="AF100" s="146"/>
      <c r="AG100" s="18"/>
      <c r="AH100" s="146"/>
      <c r="AI100" s="18"/>
      <c r="AJ100" s="146"/>
      <c r="AK100" s="107"/>
    </row>
    <row r="101" spans="1:37" ht="16.5" customHeight="1" x14ac:dyDescent="0.2">
      <c r="A101" s="6"/>
      <c r="B101" s="8"/>
      <c r="C101" s="20"/>
      <c r="D101" s="23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149"/>
      <c r="AK101" s="6"/>
    </row>
    <row r="102" spans="1:37" ht="16.5" customHeight="1" thickBo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150"/>
      <c r="AK102" s="6"/>
    </row>
    <row r="103" spans="1:37" ht="16.5" customHeight="1" x14ac:dyDescent="0.2">
      <c r="A103" s="6"/>
      <c r="B103" s="279"/>
      <c r="C103" s="280"/>
      <c r="D103" s="283" t="s">
        <v>3</v>
      </c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284"/>
      <c r="AD103" s="284"/>
      <c r="AE103" s="284"/>
      <c r="AF103" s="284"/>
      <c r="AG103" s="284"/>
      <c r="AH103" s="284"/>
      <c r="AI103" s="284"/>
      <c r="AJ103" s="285"/>
      <c r="AK103" s="107"/>
    </row>
    <row r="104" spans="1:37" ht="16.5" customHeight="1" x14ac:dyDescent="0.2">
      <c r="A104" s="6"/>
      <c r="B104" s="281"/>
      <c r="C104" s="282"/>
      <c r="D104" s="286" t="s">
        <v>4</v>
      </c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7"/>
      <c r="AH104" s="287"/>
      <c r="AI104" s="287"/>
      <c r="AJ104" s="288"/>
      <c r="AK104" s="107"/>
    </row>
    <row r="105" spans="1:37" ht="16.5" customHeight="1" x14ac:dyDescent="0.2">
      <c r="A105" s="6"/>
      <c r="B105" s="281"/>
      <c r="C105" s="282"/>
      <c r="D105" s="286" t="s">
        <v>547</v>
      </c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7"/>
      <c r="AH105" s="287"/>
      <c r="AI105" s="287"/>
      <c r="AJ105" s="288"/>
      <c r="AK105" s="107"/>
    </row>
    <row r="106" spans="1:37" ht="16.5" customHeight="1" thickBot="1" x14ac:dyDescent="0.25">
      <c r="A106" s="6"/>
      <c r="B106" s="281"/>
      <c r="C106" s="282"/>
      <c r="D106" s="289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90"/>
      <c r="AB106" s="290"/>
      <c r="AC106" s="290"/>
      <c r="AD106" s="290"/>
      <c r="AE106" s="290"/>
      <c r="AF106" s="290"/>
      <c r="AG106" s="290"/>
      <c r="AH106" s="290"/>
      <c r="AI106" s="290"/>
      <c r="AJ106" s="291"/>
      <c r="AK106" s="107"/>
    </row>
    <row r="107" spans="1:37" ht="16.5" customHeight="1" thickBot="1" x14ac:dyDescent="0.25">
      <c r="A107" s="6"/>
      <c r="B107" s="292"/>
      <c r="C107" s="293"/>
      <c r="D107" s="9" t="s">
        <v>800</v>
      </c>
      <c r="E107" s="10" t="s">
        <v>11</v>
      </c>
      <c r="F107" s="10"/>
      <c r="G107" s="10"/>
      <c r="H107" s="10"/>
      <c r="I107" s="10"/>
      <c r="J107" s="149"/>
      <c r="K107" s="10"/>
      <c r="L107" s="10"/>
      <c r="M107" s="10"/>
      <c r="N107" s="10"/>
      <c r="O107" s="10"/>
      <c r="P107" s="10"/>
      <c r="Q107" s="10"/>
      <c r="R107" s="10"/>
      <c r="S107" s="10" t="s">
        <v>5</v>
      </c>
      <c r="T107" s="10"/>
      <c r="U107" s="299" t="s">
        <v>821</v>
      </c>
      <c r="V107" s="299"/>
      <c r="W107" s="299"/>
      <c r="X107" s="299"/>
      <c r="Y107" s="299"/>
      <c r="Z107" s="299"/>
      <c r="AA107" s="299"/>
      <c r="AB107" s="299"/>
      <c r="AC107" s="299"/>
      <c r="AD107" s="10"/>
      <c r="AE107" s="10"/>
      <c r="AF107" s="10"/>
      <c r="AG107" s="10"/>
      <c r="AH107" s="10"/>
      <c r="AI107" s="10"/>
      <c r="AJ107" s="158"/>
      <c r="AK107" s="107"/>
    </row>
    <row r="108" spans="1:37" ht="16.5" customHeight="1" thickBot="1" x14ac:dyDescent="0.25">
      <c r="A108" s="6"/>
      <c r="B108" s="294" t="s">
        <v>6</v>
      </c>
      <c r="C108" s="294"/>
      <c r="D108" s="295" t="s">
        <v>7</v>
      </c>
      <c r="E108" s="292" t="s">
        <v>519</v>
      </c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  <c r="Q108" s="298"/>
      <c r="R108" s="298"/>
      <c r="S108" s="298"/>
      <c r="T108" s="298"/>
      <c r="U108" s="298"/>
      <c r="V108" s="298"/>
      <c r="W108" s="298"/>
      <c r="X108" s="298"/>
      <c r="Y108" s="298"/>
      <c r="Z108" s="298"/>
      <c r="AA108" s="298"/>
      <c r="AB108" s="298"/>
      <c r="AC108" s="298"/>
      <c r="AD108" s="298"/>
      <c r="AE108" s="298"/>
      <c r="AF108" s="298"/>
      <c r="AG108" s="298"/>
      <c r="AH108" s="298"/>
      <c r="AI108" s="298"/>
      <c r="AJ108" s="293"/>
      <c r="AK108" s="107"/>
    </row>
    <row r="109" spans="1:37" ht="16.5" customHeight="1" thickBot="1" x14ac:dyDescent="0.25">
      <c r="A109" s="6"/>
      <c r="B109" s="295" t="s">
        <v>8</v>
      </c>
      <c r="C109" s="295" t="s">
        <v>9</v>
      </c>
      <c r="D109" s="296"/>
      <c r="E109" s="292">
        <f>E8</f>
        <v>17</v>
      </c>
      <c r="F109" s="298"/>
      <c r="G109" s="292">
        <f>E109+1</f>
        <v>18</v>
      </c>
      <c r="H109" s="298"/>
      <c r="I109" s="292">
        <f t="shared" ref="I109" si="30">G109+1</f>
        <v>19</v>
      </c>
      <c r="J109" s="298"/>
      <c r="K109" s="292">
        <f t="shared" ref="K109" si="31">I109+1</f>
        <v>20</v>
      </c>
      <c r="L109" s="298"/>
      <c r="M109" s="292">
        <f t="shared" ref="M109" si="32">K109+1</f>
        <v>21</v>
      </c>
      <c r="N109" s="298"/>
      <c r="O109" s="292">
        <f t="shared" ref="O109" si="33">M109+1</f>
        <v>22</v>
      </c>
      <c r="P109" s="298"/>
      <c r="Q109" s="292">
        <f t="shared" ref="Q109" si="34">O109+1</f>
        <v>23</v>
      </c>
      <c r="R109" s="298"/>
      <c r="S109" s="292">
        <f t="shared" ref="S109" si="35">Q109+1</f>
        <v>24</v>
      </c>
      <c r="T109" s="298"/>
      <c r="U109" s="292">
        <f t="shared" ref="U109" si="36">S109+1</f>
        <v>25</v>
      </c>
      <c r="V109" s="298"/>
      <c r="W109" s="292">
        <f t="shared" ref="W109" si="37">U109+1</f>
        <v>26</v>
      </c>
      <c r="X109" s="298"/>
      <c r="Y109" s="292">
        <f t="shared" ref="Y109" si="38">W109+1</f>
        <v>27</v>
      </c>
      <c r="Z109" s="298"/>
      <c r="AA109" s="292">
        <f t="shared" ref="AA109" si="39">Y109+1</f>
        <v>28</v>
      </c>
      <c r="AB109" s="298"/>
      <c r="AC109" s="292">
        <f t="shared" ref="AC109" si="40">AA109+1</f>
        <v>29</v>
      </c>
      <c r="AD109" s="298"/>
      <c r="AE109" s="292">
        <f t="shared" ref="AE109" si="41">AC109+1</f>
        <v>30</v>
      </c>
      <c r="AF109" s="298"/>
      <c r="AG109" s="292">
        <f t="shared" ref="AG109" si="42">AE109+1</f>
        <v>31</v>
      </c>
      <c r="AH109" s="298"/>
      <c r="AI109" s="292">
        <f t="shared" ref="AI109" si="43">AG109+1</f>
        <v>32</v>
      </c>
      <c r="AJ109" s="298"/>
      <c r="AK109" s="107"/>
    </row>
    <row r="110" spans="1:37" ht="23.25" customHeight="1" thickBot="1" x14ac:dyDescent="0.25">
      <c r="A110" s="6"/>
      <c r="B110" s="297"/>
      <c r="C110" s="297"/>
      <c r="D110" s="297"/>
      <c r="E110" s="108" t="s">
        <v>13</v>
      </c>
      <c r="F110" s="108" t="s">
        <v>14</v>
      </c>
      <c r="G110" s="108" t="s">
        <v>13</v>
      </c>
      <c r="H110" s="108" t="s">
        <v>14</v>
      </c>
      <c r="I110" s="108" t="s">
        <v>13</v>
      </c>
      <c r="J110" s="108" t="s">
        <v>14</v>
      </c>
      <c r="K110" s="108" t="s">
        <v>13</v>
      </c>
      <c r="L110" s="108" t="s">
        <v>14</v>
      </c>
      <c r="M110" s="108" t="s">
        <v>13</v>
      </c>
      <c r="N110" s="108" t="s">
        <v>14</v>
      </c>
      <c r="O110" s="108" t="s">
        <v>13</v>
      </c>
      <c r="P110" s="108" t="s">
        <v>14</v>
      </c>
      <c r="Q110" s="108" t="s">
        <v>13</v>
      </c>
      <c r="R110" s="108" t="s">
        <v>14</v>
      </c>
      <c r="S110" s="108" t="s">
        <v>13</v>
      </c>
      <c r="T110" s="108" t="s">
        <v>14</v>
      </c>
      <c r="U110" s="108" t="s">
        <v>13</v>
      </c>
      <c r="V110" s="108" t="s">
        <v>14</v>
      </c>
      <c r="W110" s="108" t="s">
        <v>13</v>
      </c>
      <c r="X110" s="108" t="s">
        <v>14</v>
      </c>
      <c r="Y110" s="108" t="s">
        <v>13</v>
      </c>
      <c r="Z110" s="108" t="s">
        <v>14</v>
      </c>
      <c r="AA110" s="108" t="s">
        <v>13</v>
      </c>
      <c r="AB110" s="108" t="s">
        <v>14</v>
      </c>
      <c r="AC110" s="108" t="s">
        <v>13</v>
      </c>
      <c r="AD110" s="108" t="s">
        <v>14</v>
      </c>
      <c r="AE110" s="108" t="s">
        <v>13</v>
      </c>
      <c r="AF110" s="108" t="s">
        <v>14</v>
      </c>
      <c r="AG110" s="108" t="s">
        <v>13</v>
      </c>
      <c r="AH110" s="108" t="s">
        <v>14</v>
      </c>
      <c r="AI110" s="108" t="s">
        <v>13</v>
      </c>
      <c r="AJ110" s="108" t="s">
        <v>14</v>
      </c>
      <c r="AK110" s="107"/>
    </row>
    <row r="111" spans="1:37" ht="16.5" customHeight="1" x14ac:dyDescent="0.2">
      <c r="A111" s="6"/>
      <c r="B111" s="21">
        <v>1</v>
      </c>
      <c r="C111" s="21">
        <f>'Kelas X'!C105</f>
        <v>16435</v>
      </c>
      <c r="D111" s="34" t="str">
        <f>'Kelas X'!D105</f>
        <v>ACHMAD FAQI NUR FADLI</v>
      </c>
      <c r="E111" s="12"/>
      <c r="F111" s="13"/>
      <c r="G111" s="12"/>
      <c r="H111" s="13"/>
      <c r="I111" s="12"/>
      <c r="J111" s="13"/>
      <c r="K111" s="12"/>
      <c r="L111" s="13"/>
      <c r="M111" s="12"/>
      <c r="N111" s="13"/>
      <c r="O111" s="12"/>
      <c r="P111" s="13"/>
      <c r="Q111" s="12"/>
      <c r="R111" s="13"/>
      <c r="S111" s="12"/>
      <c r="T111" s="13"/>
      <c r="U111" s="12"/>
      <c r="V111" s="13"/>
      <c r="W111" s="12"/>
      <c r="X111" s="13"/>
      <c r="Y111" s="12"/>
      <c r="Z111" s="13"/>
      <c r="AA111" s="12"/>
      <c r="AB111" s="13"/>
      <c r="AC111" s="12"/>
      <c r="AD111" s="13"/>
      <c r="AE111" s="12"/>
      <c r="AF111" s="13"/>
      <c r="AG111" s="12"/>
      <c r="AH111" s="13"/>
      <c r="AI111" s="12"/>
      <c r="AJ111" s="13"/>
      <c r="AK111" s="107"/>
    </row>
    <row r="112" spans="1:37" ht="16.5" customHeight="1" x14ac:dyDescent="0.2">
      <c r="A112" s="6"/>
      <c r="B112" s="135">
        <f t="shared" ref="B112:B149" si="44">B111+1</f>
        <v>2</v>
      </c>
      <c r="C112" s="21">
        <f>'Kelas X'!C106</f>
        <v>16436</v>
      </c>
      <c r="D112" s="34" t="str">
        <f>'Kelas X'!D106</f>
        <v>AFFAN ARDANA NAZARADILA</v>
      </c>
      <c r="E112" s="14"/>
      <c r="F112" s="15"/>
      <c r="G112" s="14"/>
      <c r="H112" s="15"/>
      <c r="I112" s="14"/>
      <c r="J112" s="15"/>
      <c r="K112" s="14"/>
      <c r="L112" s="15"/>
      <c r="M112" s="14"/>
      <c r="N112" s="15"/>
      <c r="O112" s="14"/>
      <c r="P112" s="15"/>
      <c r="Q112" s="14"/>
      <c r="R112" s="15"/>
      <c r="S112" s="14"/>
      <c r="T112" s="15"/>
      <c r="U112" s="14"/>
      <c r="V112" s="15"/>
      <c r="W112" s="14"/>
      <c r="X112" s="15"/>
      <c r="Y112" s="14"/>
      <c r="Z112" s="15"/>
      <c r="AA112" s="14"/>
      <c r="AB112" s="15"/>
      <c r="AC112" s="14"/>
      <c r="AD112" s="15"/>
      <c r="AE112" s="14"/>
      <c r="AF112" s="15"/>
      <c r="AG112" s="14"/>
      <c r="AH112" s="15"/>
      <c r="AI112" s="14"/>
      <c r="AJ112" s="15"/>
      <c r="AK112" s="107"/>
    </row>
    <row r="113" spans="1:37" ht="16.5" customHeight="1" x14ac:dyDescent="0.2">
      <c r="A113" s="6"/>
      <c r="B113" s="135">
        <f t="shared" si="44"/>
        <v>3</v>
      </c>
      <c r="C113" s="21">
        <f>'Kelas X'!C107</f>
        <v>16437</v>
      </c>
      <c r="D113" s="34" t="str">
        <f>'Kelas X'!D107</f>
        <v>AHMAD AZZAM MINANUROHMAN</v>
      </c>
      <c r="E113" s="14"/>
      <c r="F113" s="15"/>
      <c r="G113" s="14"/>
      <c r="H113" s="15"/>
      <c r="I113" s="14"/>
      <c r="J113" s="15"/>
      <c r="K113" s="14"/>
      <c r="L113" s="15"/>
      <c r="M113" s="14"/>
      <c r="N113" s="15"/>
      <c r="O113" s="14"/>
      <c r="P113" s="15"/>
      <c r="Q113" s="14"/>
      <c r="R113" s="15"/>
      <c r="S113" s="14"/>
      <c r="T113" s="15"/>
      <c r="U113" s="14"/>
      <c r="V113" s="15"/>
      <c r="W113" s="14"/>
      <c r="X113" s="15"/>
      <c r="Y113" s="14"/>
      <c r="Z113" s="15"/>
      <c r="AA113" s="14"/>
      <c r="AB113" s="15"/>
      <c r="AC113" s="14"/>
      <c r="AD113" s="15"/>
      <c r="AE113" s="14"/>
      <c r="AF113" s="15"/>
      <c r="AG113" s="14"/>
      <c r="AH113" s="15"/>
      <c r="AI113" s="14"/>
      <c r="AJ113" s="15"/>
      <c r="AK113" s="107"/>
    </row>
    <row r="114" spans="1:37" ht="16.5" customHeight="1" x14ac:dyDescent="0.2">
      <c r="A114" s="6"/>
      <c r="B114" s="135">
        <f t="shared" si="44"/>
        <v>4</v>
      </c>
      <c r="C114" s="21">
        <f>'Kelas X'!C108</f>
        <v>16438</v>
      </c>
      <c r="D114" s="34" t="str">
        <f>'Kelas X'!D108</f>
        <v>AHMAD HABIBUR ROHMAN ANWARY</v>
      </c>
      <c r="E114" s="14"/>
      <c r="F114" s="15"/>
      <c r="G114" s="14"/>
      <c r="H114" s="15"/>
      <c r="I114" s="14"/>
      <c r="J114" s="15"/>
      <c r="K114" s="14"/>
      <c r="L114" s="15"/>
      <c r="M114" s="14"/>
      <c r="N114" s="15"/>
      <c r="O114" s="14"/>
      <c r="P114" s="15"/>
      <c r="Q114" s="14"/>
      <c r="R114" s="15"/>
      <c r="S114" s="14"/>
      <c r="T114" s="15"/>
      <c r="U114" s="14"/>
      <c r="V114" s="15"/>
      <c r="W114" s="14"/>
      <c r="X114" s="15"/>
      <c r="Y114" s="14"/>
      <c r="Z114" s="15"/>
      <c r="AA114" s="14"/>
      <c r="AB114" s="15"/>
      <c r="AC114" s="14"/>
      <c r="AD114" s="15"/>
      <c r="AE114" s="14"/>
      <c r="AF114" s="15"/>
      <c r="AG114" s="14"/>
      <c r="AH114" s="15"/>
      <c r="AI114" s="14"/>
      <c r="AJ114" s="15"/>
      <c r="AK114" s="107"/>
    </row>
    <row r="115" spans="1:37" ht="16.5" customHeight="1" x14ac:dyDescent="0.2">
      <c r="A115" s="6"/>
      <c r="B115" s="135">
        <f t="shared" si="44"/>
        <v>5</v>
      </c>
      <c r="C115" s="21">
        <f>'Kelas X'!C109</f>
        <v>16439</v>
      </c>
      <c r="D115" s="34" t="str">
        <f>'Kelas X'!D109</f>
        <v>APRIAN SAFWAN AFFANDI</v>
      </c>
      <c r="E115" s="14"/>
      <c r="F115" s="15"/>
      <c r="G115" s="14"/>
      <c r="H115" s="15"/>
      <c r="I115" s="14"/>
      <c r="J115" s="15"/>
      <c r="K115" s="14"/>
      <c r="L115" s="15"/>
      <c r="M115" s="14"/>
      <c r="N115" s="15"/>
      <c r="O115" s="14"/>
      <c r="P115" s="15"/>
      <c r="Q115" s="14"/>
      <c r="R115" s="15"/>
      <c r="S115" s="14"/>
      <c r="T115" s="15"/>
      <c r="U115" s="14"/>
      <c r="V115" s="15"/>
      <c r="W115" s="14"/>
      <c r="X115" s="15"/>
      <c r="Y115" s="14"/>
      <c r="Z115" s="15"/>
      <c r="AA115" s="14"/>
      <c r="AB115" s="15"/>
      <c r="AC115" s="14"/>
      <c r="AD115" s="15"/>
      <c r="AE115" s="14"/>
      <c r="AF115" s="15"/>
      <c r="AG115" s="14"/>
      <c r="AH115" s="15"/>
      <c r="AI115" s="14"/>
      <c r="AJ115" s="15"/>
      <c r="AK115" s="107"/>
    </row>
    <row r="116" spans="1:37" ht="16.5" customHeight="1" x14ac:dyDescent="0.2">
      <c r="A116" s="6"/>
      <c r="B116" s="135">
        <f t="shared" si="44"/>
        <v>6</v>
      </c>
      <c r="C116" s="21">
        <f>'Kelas X'!C110</f>
        <v>16440</v>
      </c>
      <c r="D116" s="34" t="str">
        <f>'Kelas X'!D110</f>
        <v>ARSAKHA AQILA HADI</v>
      </c>
      <c r="E116" s="14"/>
      <c r="F116" s="15"/>
      <c r="G116" s="14"/>
      <c r="H116" s="15"/>
      <c r="I116" s="14"/>
      <c r="J116" s="15"/>
      <c r="K116" s="14"/>
      <c r="L116" s="15"/>
      <c r="M116" s="14"/>
      <c r="N116" s="15"/>
      <c r="O116" s="14"/>
      <c r="P116" s="15"/>
      <c r="Q116" s="14"/>
      <c r="R116" s="15"/>
      <c r="S116" s="14"/>
      <c r="T116" s="15"/>
      <c r="U116" s="14"/>
      <c r="V116" s="15"/>
      <c r="W116" s="14"/>
      <c r="X116" s="15"/>
      <c r="Y116" s="14"/>
      <c r="Z116" s="15"/>
      <c r="AA116" s="14"/>
      <c r="AB116" s="15"/>
      <c r="AC116" s="14"/>
      <c r="AD116" s="15"/>
      <c r="AE116" s="14"/>
      <c r="AF116" s="15"/>
      <c r="AG116" s="14"/>
      <c r="AH116" s="15"/>
      <c r="AI116" s="14"/>
      <c r="AJ116" s="15"/>
      <c r="AK116" s="107"/>
    </row>
    <row r="117" spans="1:37" ht="16.5" customHeight="1" x14ac:dyDescent="0.2">
      <c r="A117" s="6"/>
      <c r="B117" s="135">
        <f t="shared" si="44"/>
        <v>7</v>
      </c>
      <c r="C117" s="21">
        <f>'Kelas X'!C111</f>
        <v>16441</v>
      </c>
      <c r="D117" s="34" t="str">
        <f>'Kelas X'!D111</f>
        <v>FAZA ABDUH HAIKAL</v>
      </c>
      <c r="E117" s="14"/>
      <c r="F117" s="15"/>
      <c r="G117" s="14"/>
      <c r="H117" s="15"/>
      <c r="I117" s="14"/>
      <c r="J117" s="15"/>
      <c r="K117" s="14"/>
      <c r="L117" s="15"/>
      <c r="M117" s="14"/>
      <c r="N117" s="15"/>
      <c r="O117" s="14"/>
      <c r="P117" s="15"/>
      <c r="Q117" s="14"/>
      <c r="R117" s="15"/>
      <c r="S117" s="14"/>
      <c r="T117" s="15"/>
      <c r="U117" s="14"/>
      <c r="V117" s="15"/>
      <c r="W117" s="14"/>
      <c r="X117" s="15"/>
      <c r="Y117" s="14"/>
      <c r="Z117" s="15"/>
      <c r="AA117" s="14"/>
      <c r="AB117" s="15"/>
      <c r="AC117" s="14"/>
      <c r="AD117" s="15"/>
      <c r="AE117" s="14"/>
      <c r="AF117" s="15"/>
      <c r="AG117" s="14"/>
      <c r="AH117" s="15"/>
      <c r="AI117" s="14"/>
      <c r="AJ117" s="15"/>
      <c r="AK117" s="107"/>
    </row>
    <row r="118" spans="1:37" ht="16.5" customHeight="1" x14ac:dyDescent="0.2">
      <c r="A118" s="6"/>
      <c r="B118" s="135">
        <f t="shared" si="44"/>
        <v>8</v>
      </c>
      <c r="C118" s="21">
        <f>'Kelas X'!C112</f>
        <v>16442</v>
      </c>
      <c r="D118" s="34" t="str">
        <f>'Kelas X'!D112</f>
        <v>M. FATAN SAID</v>
      </c>
      <c r="E118" s="14"/>
      <c r="F118" s="15"/>
      <c r="G118" s="14"/>
      <c r="H118" s="15"/>
      <c r="I118" s="14"/>
      <c r="J118" s="15"/>
      <c r="K118" s="14"/>
      <c r="L118" s="15"/>
      <c r="M118" s="14"/>
      <c r="N118" s="15"/>
      <c r="O118" s="14"/>
      <c r="P118" s="15"/>
      <c r="Q118" s="14"/>
      <c r="R118" s="15"/>
      <c r="S118" s="14"/>
      <c r="T118" s="15"/>
      <c r="U118" s="14"/>
      <c r="V118" s="15"/>
      <c r="W118" s="14"/>
      <c r="X118" s="15"/>
      <c r="Y118" s="14"/>
      <c r="Z118" s="15"/>
      <c r="AA118" s="14"/>
      <c r="AB118" s="15"/>
      <c r="AC118" s="14"/>
      <c r="AD118" s="15"/>
      <c r="AE118" s="14"/>
      <c r="AF118" s="15"/>
      <c r="AG118" s="14"/>
      <c r="AH118" s="15"/>
      <c r="AI118" s="14"/>
      <c r="AJ118" s="15"/>
      <c r="AK118" s="107"/>
    </row>
    <row r="119" spans="1:37" ht="16.5" customHeight="1" x14ac:dyDescent="0.2">
      <c r="A119" s="6"/>
      <c r="B119" s="135">
        <f t="shared" si="44"/>
        <v>9</v>
      </c>
      <c r="C119" s="21">
        <f>'Kelas X'!C113</f>
        <v>16443</v>
      </c>
      <c r="D119" s="34" t="str">
        <f>'Kelas X'!D113</f>
        <v>MAKHIN MUKTI</v>
      </c>
      <c r="E119" s="14"/>
      <c r="F119" s="15"/>
      <c r="G119" s="14"/>
      <c r="H119" s="15"/>
      <c r="I119" s="14"/>
      <c r="J119" s="15"/>
      <c r="K119" s="14"/>
      <c r="L119" s="15"/>
      <c r="M119" s="14"/>
      <c r="N119" s="15"/>
      <c r="O119" s="14"/>
      <c r="P119" s="15"/>
      <c r="Q119" s="14"/>
      <c r="R119" s="15"/>
      <c r="S119" s="14"/>
      <c r="T119" s="15"/>
      <c r="U119" s="14"/>
      <c r="V119" s="15"/>
      <c r="W119" s="14"/>
      <c r="X119" s="15"/>
      <c r="Y119" s="14"/>
      <c r="Z119" s="15"/>
      <c r="AA119" s="14"/>
      <c r="AB119" s="15"/>
      <c r="AC119" s="14"/>
      <c r="AD119" s="15"/>
      <c r="AE119" s="14"/>
      <c r="AF119" s="15"/>
      <c r="AG119" s="14"/>
      <c r="AH119" s="15"/>
      <c r="AI119" s="14"/>
      <c r="AJ119" s="15"/>
      <c r="AK119" s="107"/>
    </row>
    <row r="120" spans="1:37" ht="16.5" customHeight="1" x14ac:dyDescent="0.2">
      <c r="A120" s="6"/>
      <c r="B120" s="135">
        <f t="shared" si="44"/>
        <v>10</v>
      </c>
      <c r="C120" s="21">
        <f>'Kelas X'!C114</f>
        <v>16444</v>
      </c>
      <c r="D120" s="34" t="str">
        <f>'Kelas X'!D114</f>
        <v>MAS FAHAD MAULANA ALKAUTSARI</v>
      </c>
      <c r="E120" s="14"/>
      <c r="F120" s="15"/>
      <c r="G120" s="14"/>
      <c r="H120" s="15"/>
      <c r="I120" s="14"/>
      <c r="J120" s="15"/>
      <c r="K120" s="14"/>
      <c r="L120" s="15"/>
      <c r="M120" s="14"/>
      <c r="N120" s="15"/>
      <c r="O120" s="14"/>
      <c r="P120" s="15"/>
      <c r="Q120" s="14"/>
      <c r="R120" s="15"/>
      <c r="S120" s="14"/>
      <c r="T120" s="15"/>
      <c r="U120" s="14"/>
      <c r="V120" s="15"/>
      <c r="W120" s="14"/>
      <c r="X120" s="15"/>
      <c r="Y120" s="14"/>
      <c r="Z120" s="15"/>
      <c r="AA120" s="14"/>
      <c r="AB120" s="15"/>
      <c r="AC120" s="14"/>
      <c r="AD120" s="15"/>
      <c r="AE120" s="14"/>
      <c r="AF120" s="15"/>
      <c r="AG120" s="14"/>
      <c r="AH120" s="15"/>
      <c r="AI120" s="14"/>
      <c r="AJ120" s="15"/>
      <c r="AK120" s="107"/>
    </row>
    <row r="121" spans="1:37" ht="16.5" customHeight="1" x14ac:dyDescent="0.2">
      <c r="A121" s="6"/>
      <c r="B121" s="135">
        <f t="shared" si="44"/>
        <v>11</v>
      </c>
      <c r="C121" s="21">
        <f>'Kelas X'!C115</f>
        <v>16445</v>
      </c>
      <c r="D121" s="34" t="str">
        <f>'Kelas X'!D115</f>
        <v>MOCHAMMAD RIDHO KUSBIANTORO</v>
      </c>
      <c r="E121" s="14"/>
      <c r="F121" s="15"/>
      <c r="G121" s="14"/>
      <c r="H121" s="15"/>
      <c r="I121" s="14"/>
      <c r="J121" s="15"/>
      <c r="K121" s="14"/>
      <c r="L121" s="15"/>
      <c r="M121" s="14"/>
      <c r="N121" s="15"/>
      <c r="O121" s="14"/>
      <c r="P121" s="15"/>
      <c r="Q121" s="14"/>
      <c r="R121" s="15"/>
      <c r="S121" s="14"/>
      <c r="T121" s="15"/>
      <c r="U121" s="14"/>
      <c r="V121" s="15"/>
      <c r="W121" s="14"/>
      <c r="X121" s="15"/>
      <c r="Y121" s="14"/>
      <c r="Z121" s="15"/>
      <c r="AA121" s="14"/>
      <c r="AB121" s="15"/>
      <c r="AC121" s="14"/>
      <c r="AD121" s="15"/>
      <c r="AE121" s="14"/>
      <c r="AF121" s="15"/>
      <c r="AG121" s="14"/>
      <c r="AH121" s="15"/>
      <c r="AI121" s="14"/>
      <c r="AJ121" s="15"/>
      <c r="AK121" s="107"/>
    </row>
    <row r="122" spans="1:37" ht="16.5" customHeight="1" x14ac:dyDescent="0.2">
      <c r="A122" s="6"/>
      <c r="B122" s="135">
        <f t="shared" si="44"/>
        <v>12</v>
      </c>
      <c r="C122" s="21">
        <f>'Kelas X'!C116</f>
        <v>16446</v>
      </c>
      <c r="D122" s="34" t="str">
        <f>'Kelas X'!D116</f>
        <v>MUHAMAD FAHRI NURJAMAN</v>
      </c>
      <c r="E122" s="14"/>
      <c r="F122" s="15"/>
      <c r="G122" s="14"/>
      <c r="H122" s="15"/>
      <c r="I122" s="14"/>
      <c r="J122" s="15"/>
      <c r="K122" s="14"/>
      <c r="L122" s="15"/>
      <c r="M122" s="14"/>
      <c r="N122" s="15"/>
      <c r="O122" s="14"/>
      <c r="P122" s="15"/>
      <c r="Q122" s="14"/>
      <c r="R122" s="15"/>
      <c r="S122" s="14"/>
      <c r="T122" s="15"/>
      <c r="U122" s="14"/>
      <c r="V122" s="15"/>
      <c r="W122" s="14"/>
      <c r="X122" s="15"/>
      <c r="Y122" s="14"/>
      <c r="Z122" s="15"/>
      <c r="AA122" s="14"/>
      <c r="AB122" s="15"/>
      <c r="AC122" s="14"/>
      <c r="AD122" s="15"/>
      <c r="AE122" s="14"/>
      <c r="AF122" s="15"/>
      <c r="AG122" s="14"/>
      <c r="AH122" s="15"/>
      <c r="AI122" s="14"/>
      <c r="AJ122" s="15"/>
      <c r="AK122" s="107"/>
    </row>
    <row r="123" spans="1:37" ht="16.5" customHeight="1" x14ac:dyDescent="0.2">
      <c r="A123" s="6"/>
      <c r="B123" s="135">
        <f t="shared" si="44"/>
        <v>13</v>
      </c>
      <c r="C123" s="21">
        <f>'Kelas X'!C117</f>
        <v>16447</v>
      </c>
      <c r="D123" s="34" t="str">
        <f>'Kelas X'!D117</f>
        <v>MUHAMMAD BUDI MULYA ARI SUJAYA</v>
      </c>
      <c r="E123" s="14"/>
      <c r="F123" s="15"/>
      <c r="G123" s="14"/>
      <c r="H123" s="15"/>
      <c r="I123" s="14"/>
      <c r="J123" s="15"/>
      <c r="K123" s="14"/>
      <c r="L123" s="15"/>
      <c r="M123" s="14"/>
      <c r="N123" s="15"/>
      <c r="O123" s="14"/>
      <c r="P123" s="15"/>
      <c r="Q123" s="14"/>
      <c r="R123" s="15"/>
      <c r="S123" s="14"/>
      <c r="T123" s="15"/>
      <c r="U123" s="14"/>
      <c r="V123" s="15"/>
      <c r="W123" s="14"/>
      <c r="X123" s="15"/>
      <c r="Y123" s="14"/>
      <c r="Z123" s="15"/>
      <c r="AA123" s="14"/>
      <c r="AB123" s="15"/>
      <c r="AC123" s="14"/>
      <c r="AD123" s="15"/>
      <c r="AE123" s="14"/>
      <c r="AF123" s="15"/>
      <c r="AG123" s="14"/>
      <c r="AH123" s="15"/>
      <c r="AI123" s="14"/>
      <c r="AJ123" s="15"/>
      <c r="AK123" s="107"/>
    </row>
    <row r="124" spans="1:37" ht="16.5" customHeight="1" x14ac:dyDescent="0.2">
      <c r="A124" s="6"/>
      <c r="B124" s="135">
        <f t="shared" si="44"/>
        <v>14</v>
      </c>
      <c r="C124" s="21">
        <f>'Kelas X'!C118</f>
        <v>16448</v>
      </c>
      <c r="D124" s="34" t="str">
        <f>'Kelas X'!D118</f>
        <v>MUHAMMAD DAFFA FIDNANDA TAUFIQURRAHMAN</v>
      </c>
      <c r="E124" s="14"/>
      <c r="F124" s="15"/>
      <c r="G124" s="14"/>
      <c r="H124" s="15"/>
      <c r="I124" s="14"/>
      <c r="J124" s="15"/>
      <c r="K124" s="14"/>
      <c r="L124" s="15"/>
      <c r="M124" s="14"/>
      <c r="N124" s="15"/>
      <c r="O124" s="14"/>
      <c r="P124" s="15"/>
      <c r="Q124" s="14"/>
      <c r="R124" s="15"/>
      <c r="S124" s="14"/>
      <c r="T124" s="15"/>
      <c r="U124" s="14"/>
      <c r="V124" s="15"/>
      <c r="W124" s="14"/>
      <c r="X124" s="15"/>
      <c r="Y124" s="14"/>
      <c r="Z124" s="15"/>
      <c r="AA124" s="14"/>
      <c r="AB124" s="15"/>
      <c r="AC124" s="14"/>
      <c r="AD124" s="15"/>
      <c r="AE124" s="14"/>
      <c r="AF124" s="15"/>
      <c r="AG124" s="14"/>
      <c r="AH124" s="15"/>
      <c r="AI124" s="14"/>
      <c r="AJ124" s="15"/>
      <c r="AK124" s="107"/>
    </row>
    <row r="125" spans="1:37" ht="16.5" customHeight="1" x14ac:dyDescent="0.2">
      <c r="A125" s="6"/>
      <c r="B125" s="135">
        <f t="shared" si="44"/>
        <v>15</v>
      </c>
      <c r="C125" s="21">
        <f>'Kelas X'!C119</f>
        <v>16449</v>
      </c>
      <c r="D125" s="34" t="str">
        <f>'Kelas X'!D119</f>
        <v>MUHAMMAD FARRAS MUHSIN</v>
      </c>
      <c r="E125" s="14"/>
      <c r="F125" s="15"/>
      <c r="G125" s="14"/>
      <c r="H125" s="15"/>
      <c r="I125" s="14"/>
      <c r="J125" s="15"/>
      <c r="K125" s="14"/>
      <c r="L125" s="15"/>
      <c r="M125" s="14"/>
      <c r="N125" s="15"/>
      <c r="O125" s="14"/>
      <c r="P125" s="15"/>
      <c r="Q125" s="14"/>
      <c r="R125" s="15"/>
      <c r="S125" s="14"/>
      <c r="T125" s="15"/>
      <c r="U125" s="14"/>
      <c r="V125" s="15"/>
      <c r="W125" s="14"/>
      <c r="X125" s="15"/>
      <c r="Y125" s="14"/>
      <c r="Z125" s="15"/>
      <c r="AA125" s="14"/>
      <c r="AB125" s="15"/>
      <c r="AC125" s="14"/>
      <c r="AD125" s="15"/>
      <c r="AE125" s="14"/>
      <c r="AF125" s="15"/>
      <c r="AG125" s="14"/>
      <c r="AH125" s="15"/>
      <c r="AI125" s="14"/>
      <c r="AJ125" s="15"/>
      <c r="AK125" s="107"/>
    </row>
    <row r="126" spans="1:37" ht="16.5" customHeight="1" x14ac:dyDescent="0.2">
      <c r="A126" s="6"/>
      <c r="B126" s="135">
        <f t="shared" si="44"/>
        <v>16</v>
      </c>
      <c r="C126" s="21">
        <f>'Kelas X'!C120</f>
        <v>16450</v>
      </c>
      <c r="D126" s="34" t="str">
        <f>'Kelas X'!D120</f>
        <v>MUHAMMAD NAUFAL ELZAMI</v>
      </c>
      <c r="E126" s="14"/>
      <c r="F126" s="15"/>
      <c r="G126" s="14"/>
      <c r="H126" s="15"/>
      <c r="I126" s="14"/>
      <c r="J126" s="15"/>
      <c r="K126" s="14"/>
      <c r="L126" s="15"/>
      <c r="M126" s="14"/>
      <c r="N126" s="15"/>
      <c r="O126" s="14"/>
      <c r="P126" s="15"/>
      <c r="Q126" s="14"/>
      <c r="R126" s="15"/>
      <c r="S126" s="14"/>
      <c r="T126" s="15"/>
      <c r="U126" s="14"/>
      <c r="V126" s="15"/>
      <c r="W126" s="14"/>
      <c r="X126" s="15"/>
      <c r="Y126" s="14"/>
      <c r="Z126" s="15"/>
      <c r="AA126" s="14"/>
      <c r="AB126" s="15"/>
      <c r="AC126" s="14"/>
      <c r="AD126" s="15"/>
      <c r="AE126" s="14"/>
      <c r="AF126" s="15"/>
      <c r="AG126" s="14"/>
      <c r="AH126" s="15"/>
      <c r="AI126" s="14"/>
      <c r="AJ126" s="15"/>
      <c r="AK126" s="107"/>
    </row>
    <row r="127" spans="1:37" ht="16.5" customHeight="1" x14ac:dyDescent="0.2">
      <c r="A127" s="6"/>
      <c r="B127" s="135">
        <f t="shared" si="44"/>
        <v>17</v>
      </c>
      <c r="C127" s="21">
        <f>'Kelas X'!C121</f>
        <v>16451</v>
      </c>
      <c r="D127" s="34" t="str">
        <f>'Kelas X'!D121</f>
        <v>MUHAMMAD RIZKY AZHARI</v>
      </c>
      <c r="E127" s="14"/>
      <c r="F127" s="15"/>
      <c r="G127" s="14"/>
      <c r="H127" s="15"/>
      <c r="I127" s="14"/>
      <c r="J127" s="15"/>
      <c r="K127" s="14"/>
      <c r="L127" s="15"/>
      <c r="M127" s="14"/>
      <c r="N127" s="15"/>
      <c r="O127" s="14"/>
      <c r="P127" s="15"/>
      <c r="Q127" s="14"/>
      <c r="R127" s="15"/>
      <c r="S127" s="14"/>
      <c r="T127" s="15"/>
      <c r="U127" s="14"/>
      <c r="V127" s="15"/>
      <c r="W127" s="14"/>
      <c r="X127" s="15"/>
      <c r="Y127" s="14"/>
      <c r="Z127" s="15"/>
      <c r="AA127" s="14"/>
      <c r="AB127" s="15"/>
      <c r="AC127" s="14"/>
      <c r="AD127" s="15"/>
      <c r="AE127" s="14"/>
      <c r="AF127" s="15"/>
      <c r="AG127" s="14"/>
      <c r="AH127" s="15"/>
      <c r="AI127" s="14"/>
      <c r="AJ127" s="15"/>
      <c r="AK127" s="107"/>
    </row>
    <row r="128" spans="1:37" ht="16.5" customHeight="1" x14ac:dyDescent="0.2">
      <c r="A128" s="6"/>
      <c r="B128" s="135">
        <f t="shared" si="44"/>
        <v>18</v>
      </c>
      <c r="C128" s="21">
        <f>'Kelas X'!C122</f>
        <v>16452</v>
      </c>
      <c r="D128" s="34" t="str">
        <f>'Kelas X'!D122</f>
        <v>MUHAMMAD ULIL ABSOR</v>
      </c>
      <c r="E128" s="14"/>
      <c r="F128" s="15"/>
      <c r="G128" s="14"/>
      <c r="H128" s="15"/>
      <c r="I128" s="14"/>
      <c r="J128" s="15"/>
      <c r="K128" s="14"/>
      <c r="L128" s="15"/>
      <c r="M128" s="14"/>
      <c r="N128" s="15"/>
      <c r="O128" s="14"/>
      <c r="P128" s="15"/>
      <c r="Q128" s="14"/>
      <c r="R128" s="15"/>
      <c r="S128" s="14"/>
      <c r="T128" s="15"/>
      <c r="U128" s="14"/>
      <c r="V128" s="15"/>
      <c r="W128" s="14"/>
      <c r="X128" s="15"/>
      <c r="Y128" s="14"/>
      <c r="Z128" s="15"/>
      <c r="AA128" s="14"/>
      <c r="AB128" s="15"/>
      <c r="AC128" s="14"/>
      <c r="AD128" s="15"/>
      <c r="AE128" s="14"/>
      <c r="AF128" s="15"/>
      <c r="AG128" s="14"/>
      <c r="AH128" s="15"/>
      <c r="AI128" s="14"/>
      <c r="AJ128" s="15"/>
      <c r="AK128" s="107"/>
    </row>
    <row r="129" spans="1:37" ht="16.5" customHeight="1" x14ac:dyDescent="0.2">
      <c r="A129" s="6"/>
      <c r="B129" s="135">
        <f t="shared" si="44"/>
        <v>19</v>
      </c>
      <c r="C129" s="21">
        <f>'Kelas X'!C123</f>
        <v>16453</v>
      </c>
      <c r="D129" s="34" t="str">
        <f>'Kelas X'!D123</f>
        <v>MUHAMMAD XAVIAN JUANITO IHSAN</v>
      </c>
      <c r="E129" s="14"/>
      <c r="F129" s="15"/>
      <c r="G129" s="14"/>
      <c r="H129" s="15"/>
      <c r="I129" s="14"/>
      <c r="J129" s="15"/>
      <c r="K129" s="14"/>
      <c r="L129" s="15"/>
      <c r="M129" s="14"/>
      <c r="N129" s="15"/>
      <c r="O129" s="14"/>
      <c r="P129" s="15"/>
      <c r="Q129" s="14"/>
      <c r="R129" s="15"/>
      <c r="S129" s="14"/>
      <c r="T129" s="15"/>
      <c r="U129" s="14"/>
      <c r="V129" s="15"/>
      <c r="W129" s="14"/>
      <c r="X129" s="15"/>
      <c r="Y129" s="14"/>
      <c r="Z129" s="15"/>
      <c r="AA129" s="14"/>
      <c r="AB129" s="15"/>
      <c r="AC129" s="14"/>
      <c r="AD129" s="15"/>
      <c r="AE129" s="14"/>
      <c r="AF129" s="15"/>
      <c r="AG129" s="14"/>
      <c r="AH129" s="15"/>
      <c r="AI129" s="14"/>
      <c r="AJ129" s="15"/>
      <c r="AK129" s="107"/>
    </row>
    <row r="130" spans="1:37" ht="16.5" customHeight="1" x14ac:dyDescent="0.2">
      <c r="A130" s="6"/>
      <c r="B130" s="135">
        <f t="shared" si="44"/>
        <v>20</v>
      </c>
      <c r="C130" s="21">
        <f>'Kelas X'!C124</f>
        <v>16454</v>
      </c>
      <c r="D130" s="34" t="str">
        <f>'Kelas X'!D124</f>
        <v>PUTRA DEFA ZABIR RIZQULLAH</v>
      </c>
      <c r="E130" s="14"/>
      <c r="F130" s="15"/>
      <c r="G130" s="14"/>
      <c r="H130" s="15"/>
      <c r="I130" s="14"/>
      <c r="J130" s="15"/>
      <c r="K130" s="14"/>
      <c r="L130" s="15"/>
      <c r="M130" s="14"/>
      <c r="N130" s="15"/>
      <c r="O130" s="14"/>
      <c r="P130" s="15"/>
      <c r="Q130" s="14"/>
      <c r="R130" s="15"/>
      <c r="S130" s="14"/>
      <c r="T130" s="15"/>
      <c r="U130" s="14"/>
      <c r="V130" s="15"/>
      <c r="W130" s="14"/>
      <c r="X130" s="15"/>
      <c r="Y130" s="14"/>
      <c r="Z130" s="15"/>
      <c r="AA130" s="14"/>
      <c r="AB130" s="15"/>
      <c r="AC130" s="14"/>
      <c r="AD130" s="15"/>
      <c r="AE130" s="14"/>
      <c r="AF130" s="15"/>
      <c r="AG130" s="14"/>
      <c r="AH130" s="15"/>
      <c r="AI130" s="14"/>
      <c r="AJ130" s="15"/>
      <c r="AK130" s="107"/>
    </row>
    <row r="131" spans="1:37" ht="16.5" customHeight="1" x14ac:dyDescent="0.2">
      <c r="A131" s="6"/>
      <c r="B131" s="135">
        <f t="shared" si="44"/>
        <v>21</v>
      </c>
      <c r="C131" s="21">
        <f>'Kelas X'!C125</f>
        <v>16455</v>
      </c>
      <c r="D131" s="34" t="str">
        <f>'Kelas X'!D125</f>
        <v>RAIHAN FAUZI</v>
      </c>
      <c r="E131" s="14"/>
      <c r="F131" s="15"/>
      <c r="G131" s="14"/>
      <c r="H131" s="15"/>
      <c r="I131" s="14"/>
      <c r="J131" s="15"/>
      <c r="K131" s="14"/>
      <c r="L131" s="15"/>
      <c r="M131" s="14"/>
      <c r="N131" s="15"/>
      <c r="O131" s="14"/>
      <c r="P131" s="15"/>
      <c r="Q131" s="14"/>
      <c r="R131" s="15"/>
      <c r="S131" s="14"/>
      <c r="T131" s="15"/>
      <c r="U131" s="14"/>
      <c r="V131" s="15"/>
      <c r="W131" s="14"/>
      <c r="X131" s="15"/>
      <c r="Y131" s="14"/>
      <c r="Z131" s="15"/>
      <c r="AA131" s="14"/>
      <c r="AB131" s="15"/>
      <c r="AC131" s="14"/>
      <c r="AD131" s="15"/>
      <c r="AE131" s="14"/>
      <c r="AF131" s="15"/>
      <c r="AG131" s="14"/>
      <c r="AH131" s="15"/>
      <c r="AI131" s="14"/>
      <c r="AJ131" s="15"/>
      <c r="AK131" s="107"/>
    </row>
    <row r="132" spans="1:37" ht="16.5" customHeight="1" x14ac:dyDescent="0.2">
      <c r="A132" s="6"/>
      <c r="B132" s="135">
        <f t="shared" si="44"/>
        <v>22</v>
      </c>
      <c r="C132" s="21">
        <f>'Kelas X'!C126</f>
        <v>16456</v>
      </c>
      <c r="D132" s="34" t="str">
        <f>'Kelas X'!D126</f>
        <v>RESTU INDRA FEBRIAN</v>
      </c>
      <c r="E132" s="14"/>
      <c r="F132" s="15"/>
      <c r="G132" s="14"/>
      <c r="H132" s="15"/>
      <c r="I132" s="14"/>
      <c r="J132" s="15"/>
      <c r="K132" s="14"/>
      <c r="L132" s="15"/>
      <c r="M132" s="14"/>
      <c r="N132" s="15"/>
      <c r="O132" s="14"/>
      <c r="P132" s="15"/>
      <c r="Q132" s="14"/>
      <c r="R132" s="15"/>
      <c r="S132" s="14"/>
      <c r="T132" s="15"/>
      <c r="U132" s="14"/>
      <c r="V132" s="15"/>
      <c r="W132" s="14"/>
      <c r="X132" s="15"/>
      <c r="Y132" s="14"/>
      <c r="Z132" s="15"/>
      <c r="AA132" s="14"/>
      <c r="AB132" s="15"/>
      <c r="AC132" s="14"/>
      <c r="AD132" s="15"/>
      <c r="AE132" s="14"/>
      <c r="AF132" s="15"/>
      <c r="AG132" s="14"/>
      <c r="AH132" s="15"/>
      <c r="AI132" s="14"/>
      <c r="AJ132" s="15"/>
      <c r="AK132" s="107"/>
    </row>
    <row r="133" spans="1:37" ht="16.5" customHeight="1" x14ac:dyDescent="0.2">
      <c r="A133" s="6"/>
      <c r="B133" s="135">
        <f t="shared" si="44"/>
        <v>23</v>
      </c>
      <c r="C133" s="21">
        <f>'Kelas X'!C127</f>
        <v>16457</v>
      </c>
      <c r="D133" s="34" t="str">
        <f>'Kelas X'!D127</f>
        <v>ROZIQUL AKBAR AL-BAIHAQI</v>
      </c>
      <c r="E133" s="14"/>
      <c r="F133" s="15"/>
      <c r="G133" s="14"/>
      <c r="H133" s="15"/>
      <c r="I133" s="14"/>
      <c r="J133" s="15"/>
      <c r="K133" s="14"/>
      <c r="L133" s="15"/>
      <c r="M133" s="14"/>
      <c r="N133" s="15"/>
      <c r="O133" s="14"/>
      <c r="P133" s="15"/>
      <c r="Q133" s="14"/>
      <c r="R133" s="15"/>
      <c r="S133" s="14"/>
      <c r="T133" s="15"/>
      <c r="U133" s="14"/>
      <c r="V133" s="15"/>
      <c r="W133" s="14"/>
      <c r="X133" s="15"/>
      <c r="Y133" s="14"/>
      <c r="Z133" s="15"/>
      <c r="AA133" s="14"/>
      <c r="AB133" s="15"/>
      <c r="AC133" s="14"/>
      <c r="AD133" s="15"/>
      <c r="AE133" s="14"/>
      <c r="AF133" s="15"/>
      <c r="AG133" s="14"/>
      <c r="AH133" s="15"/>
      <c r="AI133" s="14"/>
      <c r="AJ133" s="15"/>
      <c r="AK133" s="107"/>
    </row>
    <row r="134" spans="1:37" ht="16.5" customHeight="1" x14ac:dyDescent="0.2">
      <c r="A134" s="6"/>
      <c r="B134" s="135">
        <f t="shared" si="44"/>
        <v>24</v>
      </c>
      <c r="C134" s="21">
        <f>'Kelas X'!C128</f>
        <v>16458</v>
      </c>
      <c r="D134" s="34" t="str">
        <f>'Kelas X'!D128</f>
        <v>SATRIA WIJAYA PRASETYA</v>
      </c>
      <c r="E134" s="14"/>
      <c r="F134" s="15"/>
      <c r="G134" s="14"/>
      <c r="H134" s="15"/>
      <c r="I134" s="14"/>
      <c r="J134" s="15"/>
      <c r="K134" s="14"/>
      <c r="L134" s="15"/>
      <c r="M134" s="14"/>
      <c r="N134" s="15"/>
      <c r="O134" s="14"/>
      <c r="P134" s="15"/>
      <c r="Q134" s="14"/>
      <c r="R134" s="15"/>
      <c r="S134" s="14"/>
      <c r="T134" s="15"/>
      <c r="U134" s="14"/>
      <c r="V134" s="15"/>
      <c r="W134" s="14"/>
      <c r="X134" s="15"/>
      <c r="Y134" s="14"/>
      <c r="Z134" s="15"/>
      <c r="AA134" s="14"/>
      <c r="AB134" s="15"/>
      <c r="AC134" s="14"/>
      <c r="AD134" s="15"/>
      <c r="AE134" s="14"/>
      <c r="AF134" s="15"/>
      <c r="AG134" s="14"/>
      <c r="AH134" s="15"/>
      <c r="AI134" s="14"/>
      <c r="AJ134" s="15"/>
      <c r="AK134" s="107"/>
    </row>
    <row r="135" spans="1:37" ht="16.5" customHeight="1" x14ac:dyDescent="0.2">
      <c r="A135" s="6"/>
      <c r="B135" s="135">
        <f t="shared" si="44"/>
        <v>25</v>
      </c>
      <c r="C135" s="21">
        <f>'Kelas X'!C129</f>
        <v>16459</v>
      </c>
      <c r="D135" s="34" t="str">
        <f>'Kelas X'!D129</f>
        <v>SHAFIY SHADIQ</v>
      </c>
      <c r="E135" s="14"/>
      <c r="F135" s="15"/>
      <c r="G135" s="14"/>
      <c r="H135" s="15"/>
      <c r="I135" s="14"/>
      <c r="J135" s="15"/>
      <c r="K135" s="14"/>
      <c r="L135" s="15"/>
      <c r="M135" s="14"/>
      <c r="N135" s="15"/>
      <c r="O135" s="14"/>
      <c r="P135" s="15"/>
      <c r="Q135" s="14"/>
      <c r="R135" s="15"/>
      <c r="S135" s="14"/>
      <c r="T135" s="15"/>
      <c r="U135" s="14"/>
      <c r="V135" s="15"/>
      <c r="W135" s="14"/>
      <c r="X135" s="15"/>
      <c r="Y135" s="14"/>
      <c r="Z135" s="15"/>
      <c r="AA135" s="14"/>
      <c r="AB135" s="15"/>
      <c r="AC135" s="14"/>
      <c r="AD135" s="15"/>
      <c r="AE135" s="14"/>
      <c r="AF135" s="15"/>
      <c r="AG135" s="14"/>
      <c r="AH135" s="15"/>
      <c r="AI135" s="14"/>
      <c r="AJ135" s="15"/>
      <c r="AK135" s="107"/>
    </row>
    <row r="136" spans="1:37" ht="16.5" customHeight="1" x14ac:dyDescent="0.2">
      <c r="A136" s="6"/>
      <c r="B136" s="135">
        <f t="shared" si="44"/>
        <v>26</v>
      </c>
      <c r="C136" s="21">
        <f>'Kelas X'!C130</f>
        <v>0</v>
      </c>
      <c r="D136" s="34">
        <f>'Kelas X'!D130</f>
        <v>0</v>
      </c>
      <c r="E136" s="14"/>
      <c r="F136" s="15"/>
      <c r="G136" s="14"/>
      <c r="H136" s="15"/>
      <c r="I136" s="14"/>
      <c r="J136" s="15"/>
      <c r="K136" s="14"/>
      <c r="L136" s="15"/>
      <c r="M136" s="14"/>
      <c r="N136" s="15"/>
      <c r="O136" s="14"/>
      <c r="P136" s="15"/>
      <c r="Q136" s="14"/>
      <c r="R136" s="15"/>
      <c r="S136" s="14"/>
      <c r="T136" s="15"/>
      <c r="U136" s="14"/>
      <c r="V136" s="15"/>
      <c r="W136" s="14"/>
      <c r="X136" s="15"/>
      <c r="Y136" s="14"/>
      <c r="Z136" s="15"/>
      <c r="AA136" s="14"/>
      <c r="AB136" s="15"/>
      <c r="AC136" s="14"/>
      <c r="AD136" s="15"/>
      <c r="AE136" s="14"/>
      <c r="AF136" s="15"/>
      <c r="AG136" s="14"/>
      <c r="AH136" s="15"/>
      <c r="AI136" s="14"/>
      <c r="AJ136" s="15"/>
      <c r="AK136" s="107"/>
    </row>
    <row r="137" spans="1:37" ht="16.5" customHeight="1" x14ac:dyDescent="0.2">
      <c r="A137" s="6"/>
      <c r="B137" s="135">
        <f t="shared" si="44"/>
        <v>27</v>
      </c>
      <c r="C137" s="21">
        <f>'Kelas X'!C131</f>
        <v>0</v>
      </c>
      <c r="D137" s="34">
        <f>'Kelas X'!D131</f>
        <v>0</v>
      </c>
      <c r="E137" s="14"/>
      <c r="F137" s="15"/>
      <c r="G137" s="14"/>
      <c r="H137" s="15"/>
      <c r="I137" s="14"/>
      <c r="J137" s="15"/>
      <c r="K137" s="14"/>
      <c r="L137" s="15"/>
      <c r="M137" s="14"/>
      <c r="N137" s="15"/>
      <c r="O137" s="14"/>
      <c r="P137" s="15"/>
      <c r="Q137" s="14"/>
      <c r="R137" s="15"/>
      <c r="S137" s="14"/>
      <c r="T137" s="15"/>
      <c r="U137" s="14"/>
      <c r="V137" s="15"/>
      <c r="W137" s="14"/>
      <c r="X137" s="15"/>
      <c r="Y137" s="14"/>
      <c r="Z137" s="15"/>
      <c r="AA137" s="14"/>
      <c r="AB137" s="15"/>
      <c r="AC137" s="14"/>
      <c r="AD137" s="15"/>
      <c r="AE137" s="14"/>
      <c r="AF137" s="15"/>
      <c r="AG137" s="14"/>
      <c r="AH137" s="15"/>
      <c r="AI137" s="14"/>
      <c r="AJ137" s="15"/>
      <c r="AK137" s="107"/>
    </row>
    <row r="138" spans="1:37" ht="16.5" customHeight="1" x14ac:dyDescent="0.2">
      <c r="A138" s="6"/>
      <c r="B138" s="135">
        <f t="shared" si="44"/>
        <v>28</v>
      </c>
      <c r="C138" s="21">
        <f>'Kelas X'!C132</f>
        <v>0</v>
      </c>
      <c r="D138" s="34">
        <f>'Kelas X'!D132</f>
        <v>0</v>
      </c>
      <c r="E138" s="14"/>
      <c r="F138" s="15"/>
      <c r="G138" s="14"/>
      <c r="H138" s="15"/>
      <c r="I138" s="14"/>
      <c r="J138" s="15"/>
      <c r="K138" s="14"/>
      <c r="L138" s="15"/>
      <c r="M138" s="14"/>
      <c r="N138" s="15"/>
      <c r="O138" s="14"/>
      <c r="P138" s="15"/>
      <c r="Q138" s="14"/>
      <c r="R138" s="15"/>
      <c r="S138" s="14"/>
      <c r="T138" s="15"/>
      <c r="U138" s="14"/>
      <c r="V138" s="15"/>
      <c r="W138" s="14"/>
      <c r="X138" s="15"/>
      <c r="Y138" s="14"/>
      <c r="Z138" s="15"/>
      <c r="AA138" s="14"/>
      <c r="AB138" s="15"/>
      <c r="AC138" s="14"/>
      <c r="AD138" s="15"/>
      <c r="AE138" s="14"/>
      <c r="AF138" s="15"/>
      <c r="AG138" s="14"/>
      <c r="AH138" s="15"/>
      <c r="AI138" s="14"/>
      <c r="AJ138" s="15"/>
      <c r="AK138" s="107"/>
    </row>
    <row r="139" spans="1:37" ht="16.5" customHeight="1" x14ac:dyDescent="0.2">
      <c r="A139" s="6"/>
      <c r="B139" s="135">
        <f t="shared" si="44"/>
        <v>29</v>
      </c>
      <c r="C139" s="21">
        <f>'Kelas X'!C133</f>
        <v>0</v>
      </c>
      <c r="D139" s="34">
        <f>'Kelas X'!D133</f>
        <v>0</v>
      </c>
      <c r="E139" s="16"/>
      <c r="F139" s="17"/>
      <c r="G139" s="16"/>
      <c r="H139" s="17"/>
      <c r="I139" s="16"/>
      <c r="J139" s="17"/>
      <c r="K139" s="16"/>
      <c r="L139" s="17"/>
      <c r="M139" s="16"/>
      <c r="N139" s="17"/>
      <c r="O139" s="16"/>
      <c r="P139" s="17"/>
      <c r="Q139" s="16"/>
      <c r="R139" s="17"/>
      <c r="S139" s="16"/>
      <c r="T139" s="17"/>
      <c r="U139" s="16"/>
      <c r="V139" s="17"/>
      <c r="W139" s="16"/>
      <c r="X139" s="17"/>
      <c r="Y139" s="16"/>
      <c r="Z139" s="17"/>
      <c r="AA139" s="16"/>
      <c r="AB139" s="17"/>
      <c r="AC139" s="16"/>
      <c r="AD139" s="17"/>
      <c r="AE139" s="16"/>
      <c r="AF139" s="17"/>
      <c r="AG139" s="16"/>
      <c r="AH139" s="17"/>
      <c r="AI139" s="16"/>
      <c r="AJ139" s="17"/>
      <c r="AK139" s="107"/>
    </row>
    <row r="140" spans="1:37" ht="16.5" customHeight="1" x14ac:dyDescent="0.2">
      <c r="A140" s="6"/>
      <c r="B140" s="135">
        <f t="shared" si="44"/>
        <v>30</v>
      </c>
      <c r="C140" s="21">
        <f>'Kelas X'!C134</f>
        <v>0</v>
      </c>
      <c r="D140" s="34">
        <f>'Kelas X'!D134</f>
        <v>0</v>
      </c>
      <c r="E140" s="16"/>
      <c r="F140" s="17"/>
      <c r="G140" s="16"/>
      <c r="H140" s="17"/>
      <c r="I140" s="16"/>
      <c r="J140" s="17"/>
      <c r="K140" s="16"/>
      <c r="L140" s="17"/>
      <c r="M140" s="16"/>
      <c r="N140" s="17"/>
      <c r="O140" s="16"/>
      <c r="P140" s="17"/>
      <c r="Q140" s="16"/>
      <c r="R140" s="17"/>
      <c r="S140" s="16"/>
      <c r="T140" s="17"/>
      <c r="U140" s="16"/>
      <c r="V140" s="17"/>
      <c r="W140" s="16"/>
      <c r="X140" s="17"/>
      <c r="Y140" s="16"/>
      <c r="Z140" s="17"/>
      <c r="AA140" s="16"/>
      <c r="AB140" s="17"/>
      <c r="AC140" s="16"/>
      <c r="AD140" s="17"/>
      <c r="AE140" s="16"/>
      <c r="AF140" s="17"/>
      <c r="AG140" s="16"/>
      <c r="AH140" s="17"/>
      <c r="AI140" s="16"/>
      <c r="AJ140" s="17"/>
      <c r="AK140" s="107"/>
    </row>
    <row r="141" spans="1:37" ht="16.5" customHeight="1" x14ac:dyDescent="0.2">
      <c r="A141" s="6"/>
      <c r="B141" s="135">
        <f t="shared" si="44"/>
        <v>31</v>
      </c>
      <c r="C141" s="21">
        <f>'Kelas X'!C135</f>
        <v>0</v>
      </c>
      <c r="D141" s="34">
        <f>'Kelas X'!D135</f>
        <v>0</v>
      </c>
      <c r="E141" s="16"/>
      <c r="F141" s="17"/>
      <c r="G141" s="16"/>
      <c r="H141" s="17"/>
      <c r="I141" s="16"/>
      <c r="J141" s="17"/>
      <c r="K141" s="16"/>
      <c r="L141" s="17"/>
      <c r="M141" s="16"/>
      <c r="N141" s="17"/>
      <c r="O141" s="16"/>
      <c r="P141" s="17"/>
      <c r="Q141" s="16"/>
      <c r="R141" s="17"/>
      <c r="S141" s="16"/>
      <c r="T141" s="17"/>
      <c r="U141" s="16"/>
      <c r="V141" s="17"/>
      <c r="W141" s="16"/>
      <c r="X141" s="17"/>
      <c r="Y141" s="16"/>
      <c r="Z141" s="17"/>
      <c r="AA141" s="16"/>
      <c r="AB141" s="17"/>
      <c r="AC141" s="16"/>
      <c r="AD141" s="17"/>
      <c r="AE141" s="16"/>
      <c r="AF141" s="17"/>
      <c r="AG141" s="16"/>
      <c r="AH141" s="17"/>
      <c r="AI141" s="16"/>
      <c r="AJ141" s="17"/>
      <c r="AK141" s="107"/>
    </row>
    <row r="142" spans="1:37" ht="16.5" customHeight="1" x14ac:dyDescent="0.2">
      <c r="A142" s="6"/>
      <c r="B142" s="135">
        <f t="shared" si="44"/>
        <v>32</v>
      </c>
      <c r="C142" s="21">
        <f>'Kelas X'!C136</f>
        <v>0</v>
      </c>
      <c r="D142" s="34">
        <f>'Kelas X'!D136</f>
        <v>0</v>
      </c>
      <c r="E142" s="16"/>
      <c r="F142" s="17"/>
      <c r="G142" s="16"/>
      <c r="H142" s="17"/>
      <c r="I142" s="16"/>
      <c r="J142" s="17"/>
      <c r="K142" s="16"/>
      <c r="L142" s="17"/>
      <c r="M142" s="16"/>
      <c r="N142" s="17"/>
      <c r="O142" s="16"/>
      <c r="P142" s="17"/>
      <c r="Q142" s="16"/>
      <c r="R142" s="17"/>
      <c r="S142" s="16"/>
      <c r="T142" s="17"/>
      <c r="U142" s="16"/>
      <c r="V142" s="17"/>
      <c r="W142" s="16"/>
      <c r="X142" s="17"/>
      <c r="Y142" s="16"/>
      <c r="Z142" s="17"/>
      <c r="AA142" s="16"/>
      <c r="AB142" s="17"/>
      <c r="AC142" s="16"/>
      <c r="AD142" s="17"/>
      <c r="AE142" s="16"/>
      <c r="AF142" s="17"/>
      <c r="AG142" s="16"/>
      <c r="AH142" s="17"/>
      <c r="AI142" s="16"/>
      <c r="AJ142" s="17"/>
      <c r="AK142" s="107"/>
    </row>
    <row r="143" spans="1:37" ht="16.5" customHeight="1" x14ac:dyDescent="0.2">
      <c r="A143" s="6"/>
      <c r="B143" s="135">
        <f t="shared" si="44"/>
        <v>33</v>
      </c>
      <c r="C143" s="21">
        <f>'Kelas X'!C137</f>
        <v>0</v>
      </c>
      <c r="D143" s="34">
        <f>'Kelas X'!D137</f>
        <v>0</v>
      </c>
      <c r="E143" s="16"/>
      <c r="F143" s="17"/>
      <c r="G143" s="16"/>
      <c r="H143" s="17"/>
      <c r="I143" s="16"/>
      <c r="J143" s="17"/>
      <c r="K143" s="16"/>
      <c r="L143" s="17"/>
      <c r="M143" s="16"/>
      <c r="N143" s="17"/>
      <c r="O143" s="16"/>
      <c r="P143" s="17"/>
      <c r="Q143" s="16"/>
      <c r="R143" s="17"/>
      <c r="S143" s="16"/>
      <c r="T143" s="17"/>
      <c r="U143" s="16"/>
      <c r="V143" s="17"/>
      <c r="W143" s="16"/>
      <c r="X143" s="17"/>
      <c r="Y143" s="16"/>
      <c r="Z143" s="17"/>
      <c r="AA143" s="16"/>
      <c r="AB143" s="17"/>
      <c r="AC143" s="16"/>
      <c r="AD143" s="17"/>
      <c r="AE143" s="16"/>
      <c r="AF143" s="17"/>
      <c r="AG143" s="16"/>
      <c r="AH143" s="17"/>
      <c r="AI143" s="16"/>
      <c r="AJ143" s="17"/>
      <c r="AK143" s="107"/>
    </row>
    <row r="144" spans="1:37" ht="16.5" customHeight="1" x14ac:dyDescent="0.2">
      <c r="A144" s="6"/>
      <c r="B144" s="135">
        <f t="shared" si="44"/>
        <v>34</v>
      </c>
      <c r="C144" s="21">
        <f>'Kelas X'!C138</f>
        <v>0</v>
      </c>
      <c r="D144" s="34">
        <f>'Kelas X'!D138</f>
        <v>0</v>
      </c>
      <c r="E144" s="16"/>
      <c r="F144" s="17"/>
      <c r="G144" s="16"/>
      <c r="H144" s="17"/>
      <c r="I144" s="16"/>
      <c r="J144" s="17"/>
      <c r="K144" s="16"/>
      <c r="L144" s="17"/>
      <c r="M144" s="16"/>
      <c r="N144" s="17"/>
      <c r="O144" s="16"/>
      <c r="P144" s="17"/>
      <c r="Q144" s="16"/>
      <c r="R144" s="17"/>
      <c r="S144" s="16"/>
      <c r="T144" s="17"/>
      <c r="U144" s="16"/>
      <c r="V144" s="17"/>
      <c r="W144" s="16"/>
      <c r="X144" s="17"/>
      <c r="Y144" s="16"/>
      <c r="Z144" s="17"/>
      <c r="AA144" s="16"/>
      <c r="AB144" s="17"/>
      <c r="AC144" s="16"/>
      <c r="AD144" s="17"/>
      <c r="AE144" s="16"/>
      <c r="AF144" s="17"/>
      <c r="AG144" s="16"/>
      <c r="AH144" s="17"/>
      <c r="AI144" s="16"/>
      <c r="AJ144" s="17"/>
      <c r="AK144" s="107"/>
    </row>
    <row r="145" spans="1:37" ht="16.5" customHeight="1" x14ac:dyDescent="0.2">
      <c r="A145" s="6"/>
      <c r="B145" s="135">
        <f t="shared" si="44"/>
        <v>35</v>
      </c>
      <c r="C145" s="21">
        <f>'Kelas X'!C139</f>
        <v>0</v>
      </c>
      <c r="D145" s="34">
        <f>'Kelas X'!D139</f>
        <v>0</v>
      </c>
      <c r="E145" s="16"/>
      <c r="F145" s="17"/>
      <c r="G145" s="16"/>
      <c r="H145" s="17"/>
      <c r="I145" s="16"/>
      <c r="J145" s="17"/>
      <c r="K145" s="16"/>
      <c r="L145" s="17"/>
      <c r="M145" s="16"/>
      <c r="N145" s="17"/>
      <c r="O145" s="16"/>
      <c r="P145" s="17"/>
      <c r="Q145" s="16"/>
      <c r="R145" s="17"/>
      <c r="S145" s="16"/>
      <c r="T145" s="17"/>
      <c r="U145" s="16"/>
      <c r="V145" s="17"/>
      <c r="W145" s="16"/>
      <c r="X145" s="17"/>
      <c r="Y145" s="16"/>
      <c r="Z145" s="17"/>
      <c r="AA145" s="16"/>
      <c r="AB145" s="17"/>
      <c r="AC145" s="16"/>
      <c r="AD145" s="17"/>
      <c r="AE145" s="16"/>
      <c r="AF145" s="17"/>
      <c r="AG145" s="16"/>
      <c r="AH145" s="17"/>
      <c r="AI145" s="16"/>
      <c r="AJ145" s="17"/>
      <c r="AK145" s="107"/>
    </row>
    <row r="146" spans="1:37" ht="16.5" customHeight="1" x14ac:dyDescent="0.2">
      <c r="A146" s="6"/>
      <c r="B146" s="135">
        <f t="shared" si="44"/>
        <v>36</v>
      </c>
      <c r="C146" s="21">
        <f>'Kelas X'!C140</f>
        <v>0</v>
      </c>
      <c r="D146" s="34">
        <f>'Kelas X'!D140</f>
        <v>0</v>
      </c>
      <c r="E146" s="16"/>
      <c r="F146" s="17"/>
      <c r="G146" s="16"/>
      <c r="H146" s="17"/>
      <c r="I146" s="16"/>
      <c r="J146" s="17"/>
      <c r="K146" s="16"/>
      <c r="L146" s="17"/>
      <c r="M146" s="16"/>
      <c r="N146" s="17"/>
      <c r="O146" s="16"/>
      <c r="P146" s="17"/>
      <c r="Q146" s="16"/>
      <c r="R146" s="17"/>
      <c r="S146" s="16"/>
      <c r="T146" s="17"/>
      <c r="U146" s="16"/>
      <c r="V146" s="17"/>
      <c r="W146" s="16"/>
      <c r="X146" s="17"/>
      <c r="Y146" s="16"/>
      <c r="Z146" s="17"/>
      <c r="AA146" s="16"/>
      <c r="AB146" s="17"/>
      <c r="AC146" s="16"/>
      <c r="AD146" s="17"/>
      <c r="AE146" s="16"/>
      <c r="AF146" s="17"/>
      <c r="AG146" s="16"/>
      <c r="AH146" s="17"/>
      <c r="AI146" s="16"/>
      <c r="AJ146" s="17"/>
      <c r="AK146" s="107"/>
    </row>
    <row r="147" spans="1:37" ht="16.5" customHeight="1" x14ac:dyDescent="0.2">
      <c r="A147" s="6"/>
      <c r="B147" s="135">
        <f t="shared" si="44"/>
        <v>37</v>
      </c>
      <c r="C147" s="21">
        <f>'Kelas X'!C141</f>
        <v>0</v>
      </c>
      <c r="D147" s="34">
        <f>'Kelas X'!D141</f>
        <v>0</v>
      </c>
      <c r="E147" s="16"/>
      <c r="F147" s="17"/>
      <c r="G147" s="16"/>
      <c r="H147" s="17"/>
      <c r="I147" s="16"/>
      <c r="J147" s="17"/>
      <c r="K147" s="16"/>
      <c r="L147" s="17"/>
      <c r="M147" s="16"/>
      <c r="N147" s="17"/>
      <c r="O147" s="16"/>
      <c r="P147" s="17"/>
      <c r="Q147" s="16"/>
      <c r="R147" s="17"/>
      <c r="S147" s="16"/>
      <c r="T147" s="17"/>
      <c r="U147" s="16"/>
      <c r="V147" s="17"/>
      <c r="W147" s="16"/>
      <c r="X147" s="17"/>
      <c r="Y147" s="16"/>
      <c r="Z147" s="17"/>
      <c r="AA147" s="16"/>
      <c r="AB147" s="17"/>
      <c r="AC147" s="16"/>
      <c r="AD147" s="17"/>
      <c r="AE147" s="16"/>
      <c r="AF147" s="17"/>
      <c r="AG147" s="16"/>
      <c r="AH147" s="17"/>
      <c r="AI147" s="16"/>
      <c r="AJ147" s="17"/>
      <c r="AK147" s="107"/>
    </row>
    <row r="148" spans="1:37" ht="16.5" customHeight="1" x14ac:dyDescent="0.2">
      <c r="A148" s="6"/>
      <c r="B148" s="135">
        <f t="shared" si="44"/>
        <v>38</v>
      </c>
      <c r="C148" s="21">
        <f>'Kelas X'!C142</f>
        <v>0</v>
      </c>
      <c r="D148" s="34">
        <f>'Kelas X'!D142</f>
        <v>0</v>
      </c>
      <c r="E148" s="16"/>
      <c r="F148" s="17"/>
      <c r="G148" s="16"/>
      <c r="H148" s="17"/>
      <c r="I148" s="16"/>
      <c r="J148" s="17"/>
      <c r="K148" s="16"/>
      <c r="L148" s="17"/>
      <c r="M148" s="16"/>
      <c r="N148" s="17"/>
      <c r="O148" s="16"/>
      <c r="P148" s="17"/>
      <c r="Q148" s="16"/>
      <c r="R148" s="17"/>
      <c r="S148" s="16"/>
      <c r="T148" s="17"/>
      <c r="U148" s="16"/>
      <c r="V148" s="17"/>
      <c r="W148" s="16"/>
      <c r="X148" s="17"/>
      <c r="Y148" s="16"/>
      <c r="Z148" s="17"/>
      <c r="AA148" s="16"/>
      <c r="AB148" s="17"/>
      <c r="AC148" s="16"/>
      <c r="AD148" s="17"/>
      <c r="AE148" s="16"/>
      <c r="AF148" s="17"/>
      <c r="AG148" s="16"/>
      <c r="AH148" s="17"/>
      <c r="AI148" s="16"/>
      <c r="AJ148" s="17"/>
      <c r="AK148" s="107"/>
    </row>
    <row r="149" spans="1:37" ht="16.5" customHeight="1" x14ac:dyDescent="0.2">
      <c r="A149" s="6"/>
      <c r="B149" s="135">
        <f t="shared" si="44"/>
        <v>39</v>
      </c>
      <c r="C149" s="21">
        <f>'Kelas X'!C143</f>
        <v>0</v>
      </c>
      <c r="D149" s="34">
        <f>'Kelas X'!D143</f>
        <v>0</v>
      </c>
      <c r="E149" s="16"/>
      <c r="F149" s="17"/>
      <c r="G149" s="16"/>
      <c r="H149" s="17"/>
      <c r="I149" s="16"/>
      <c r="J149" s="17"/>
      <c r="K149" s="16"/>
      <c r="L149" s="17"/>
      <c r="M149" s="16"/>
      <c r="N149" s="17"/>
      <c r="O149" s="16"/>
      <c r="P149" s="17"/>
      <c r="Q149" s="16"/>
      <c r="R149" s="17"/>
      <c r="S149" s="16"/>
      <c r="T149" s="17"/>
      <c r="U149" s="16"/>
      <c r="V149" s="17"/>
      <c r="W149" s="16"/>
      <c r="X149" s="17"/>
      <c r="Y149" s="16"/>
      <c r="Z149" s="17"/>
      <c r="AA149" s="16"/>
      <c r="AB149" s="17"/>
      <c r="AC149" s="16"/>
      <c r="AD149" s="17"/>
      <c r="AE149" s="16"/>
      <c r="AF149" s="17"/>
      <c r="AG149" s="16"/>
      <c r="AH149" s="17"/>
      <c r="AI149" s="16"/>
      <c r="AJ149" s="17"/>
      <c r="AK149" s="107"/>
    </row>
    <row r="150" spans="1:37" ht="16.5" customHeight="1" thickBot="1" x14ac:dyDescent="0.25">
      <c r="A150" s="6"/>
      <c r="B150" s="143">
        <v>40</v>
      </c>
      <c r="C150" s="144"/>
      <c r="D150" s="147"/>
      <c r="E150" s="18"/>
      <c r="F150" s="19"/>
      <c r="G150" s="18"/>
      <c r="H150" s="19"/>
      <c r="I150" s="18"/>
      <c r="J150" s="19"/>
      <c r="K150" s="18"/>
      <c r="L150" s="19"/>
      <c r="M150" s="18"/>
      <c r="N150" s="19"/>
      <c r="O150" s="18"/>
      <c r="P150" s="19"/>
      <c r="Q150" s="18"/>
      <c r="R150" s="19"/>
      <c r="S150" s="18"/>
      <c r="T150" s="19"/>
      <c r="U150" s="18"/>
      <c r="V150" s="19"/>
      <c r="W150" s="18"/>
      <c r="X150" s="19"/>
      <c r="Y150" s="18"/>
      <c r="Z150" s="19"/>
      <c r="AA150" s="18"/>
      <c r="AB150" s="19"/>
      <c r="AC150" s="18"/>
      <c r="AD150" s="19"/>
      <c r="AE150" s="18"/>
      <c r="AF150" s="19"/>
      <c r="AG150" s="18"/>
      <c r="AH150" s="19"/>
      <c r="AI150" s="18"/>
      <c r="AJ150" s="19"/>
      <c r="AK150" s="107"/>
    </row>
    <row r="151" spans="1:37" ht="16.5" customHeight="1" x14ac:dyDescent="0.2">
      <c r="A151" s="6"/>
      <c r="B151" s="6"/>
      <c r="C151" s="20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149"/>
      <c r="AK151" s="6"/>
    </row>
    <row r="152" spans="1:37" ht="16.5" customHeight="1" thickBo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150"/>
      <c r="AK152" s="6"/>
    </row>
    <row r="153" spans="1:37" ht="16.5" customHeight="1" x14ac:dyDescent="0.2">
      <c r="A153" s="6"/>
      <c r="B153" s="279"/>
      <c r="C153" s="280"/>
      <c r="D153" s="283" t="s">
        <v>3</v>
      </c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  <c r="AA153" s="284"/>
      <c r="AB153" s="284"/>
      <c r="AC153" s="284"/>
      <c r="AD153" s="284"/>
      <c r="AE153" s="284"/>
      <c r="AF153" s="284"/>
      <c r="AG153" s="284"/>
      <c r="AH153" s="284"/>
      <c r="AI153" s="284"/>
      <c r="AJ153" s="285"/>
      <c r="AK153" s="107"/>
    </row>
    <row r="154" spans="1:37" ht="16.5" customHeight="1" x14ac:dyDescent="0.2">
      <c r="A154" s="6"/>
      <c r="B154" s="281"/>
      <c r="C154" s="282"/>
      <c r="D154" s="286" t="s">
        <v>4</v>
      </c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87"/>
      <c r="AB154" s="287"/>
      <c r="AC154" s="287"/>
      <c r="AD154" s="287"/>
      <c r="AE154" s="287"/>
      <c r="AF154" s="287"/>
      <c r="AG154" s="287"/>
      <c r="AH154" s="287"/>
      <c r="AI154" s="287"/>
      <c r="AJ154" s="288"/>
      <c r="AK154" s="107"/>
    </row>
    <row r="155" spans="1:37" ht="16.5" customHeight="1" x14ac:dyDescent="0.2">
      <c r="A155" s="6"/>
      <c r="B155" s="281"/>
      <c r="C155" s="282"/>
      <c r="D155" s="286" t="s">
        <v>547</v>
      </c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  <c r="AA155" s="287"/>
      <c r="AB155" s="287"/>
      <c r="AC155" s="287"/>
      <c r="AD155" s="287"/>
      <c r="AE155" s="287"/>
      <c r="AF155" s="287"/>
      <c r="AG155" s="287"/>
      <c r="AH155" s="287"/>
      <c r="AI155" s="287"/>
      <c r="AJ155" s="288"/>
      <c r="AK155" s="107"/>
    </row>
    <row r="156" spans="1:37" ht="16.5" customHeight="1" thickBot="1" x14ac:dyDescent="0.25">
      <c r="A156" s="6"/>
      <c r="B156" s="281"/>
      <c r="C156" s="282"/>
      <c r="D156" s="289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90"/>
      <c r="AB156" s="290"/>
      <c r="AC156" s="290"/>
      <c r="AD156" s="290"/>
      <c r="AE156" s="290"/>
      <c r="AF156" s="290"/>
      <c r="AG156" s="290"/>
      <c r="AH156" s="290"/>
      <c r="AI156" s="290"/>
      <c r="AJ156" s="291"/>
      <c r="AK156" s="107"/>
    </row>
    <row r="157" spans="1:37" ht="16.5" customHeight="1" thickBot="1" x14ac:dyDescent="0.25">
      <c r="A157" s="6"/>
      <c r="B157" s="292"/>
      <c r="C157" s="293"/>
      <c r="D157" s="9" t="s">
        <v>801</v>
      </c>
      <c r="E157" s="10" t="s">
        <v>11</v>
      </c>
      <c r="F157" s="10"/>
      <c r="G157" s="10"/>
      <c r="H157" s="10"/>
      <c r="I157" s="10"/>
      <c r="J157" s="149"/>
      <c r="K157" s="10"/>
      <c r="L157" s="10"/>
      <c r="M157" s="10"/>
      <c r="N157" s="10"/>
      <c r="O157" s="10"/>
      <c r="P157" s="10"/>
      <c r="Q157" s="10"/>
      <c r="R157" s="10"/>
      <c r="S157" s="10" t="s">
        <v>5</v>
      </c>
      <c r="T157" s="10"/>
      <c r="U157" s="10" t="s">
        <v>806</v>
      </c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58"/>
      <c r="AK157" s="107"/>
    </row>
    <row r="158" spans="1:37" ht="16.5" customHeight="1" thickBot="1" x14ac:dyDescent="0.25">
      <c r="A158" s="6"/>
      <c r="B158" s="294" t="s">
        <v>6</v>
      </c>
      <c r="C158" s="294"/>
      <c r="D158" s="295" t="s">
        <v>7</v>
      </c>
      <c r="E158" s="292" t="s">
        <v>519</v>
      </c>
      <c r="F158" s="298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  <c r="R158" s="298"/>
      <c r="S158" s="298"/>
      <c r="T158" s="298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298"/>
      <c r="AG158" s="298"/>
      <c r="AH158" s="298"/>
      <c r="AI158" s="298"/>
      <c r="AJ158" s="293"/>
      <c r="AK158" s="107"/>
    </row>
    <row r="159" spans="1:37" ht="16.5" customHeight="1" thickBot="1" x14ac:dyDescent="0.25">
      <c r="A159" s="6"/>
      <c r="B159" s="295" t="s">
        <v>8</v>
      </c>
      <c r="C159" s="295" t="s">
        <v>9</v>
      </c>
      <c r="D159" s="296"/>
      <c r="E159" s="292">
        <f>E8</f>
        <v>17</v>
      </c>
      <c r="F159" s="298"/>
      <c r="G159" s="292">
        <f>E159+1</f>
        <v>18</v>
      </c>
      <c r="H159" s="298"/>
      <c r="I159" s="292">
        <f t="shared" ref="I159" si="45">G159+1</f>
        <v>19</v>
      </c>
      <c r="J159" s="298"/>
      <c r="K159" s="292">
        <f t="shared" ref="K159" si="46">I159+1</f>
        <v>20</v>
      </c>
      <c r="L159" s="298"/>
      <c r="M159" s="292">
        <f t="shared" ref="M159" si="47">K159+1</f>
        <v>21</v>
      </c>
      <c r="N159" s="298"/>
      <c r="O159" s="292">
        <f t="shared" ref="O159" si="48">M159+1</f>
        <v>22</v>
      </c>
      <c r="P159" s="298"/>
      <c r="Q159" s="292">
        <f t="shared" ref="Q159" si="49">O159+1</f>
        <v>23</v>
      </c>
      <c r="R159" s="298"/>
      <c r="S159" s="292">
        <f t="shared" ref="S159" si="50">Q159+1</f>
        <v>24</v>
      </c>
      <c r="T159" s="298"/>
      <c r="U159" s="292">
        <f t="shared" ref="U159" si="51">S159+1</f>
        <v>25</v>
      </c>
      <c r="V159" s="298"/>
      <c r="W159" s="292">
        <f t="shared" ref="W159" si="52">U159+1</f>
        <v>26</v>
      </c>
      <c r="X159" s="298"/>
      <c r="Y159" s="292">
        <f t="shared" ref="Y159" si="53">W159+1</f>
        <v>27</v>
      </c>
      <c r="Z159" s="298"/>
      <c r="AA159" s="292">
        <f t="shared" ref="AA159" si="54">Y159+1</f>
        <v>28</v>
      </c>
      <c r="AB159" s="298"/>
      <c r="AC159" s="292">
        <f t="shared" ref="AC159" si="55">AA159+1</f>
        <v>29</v>
      </c>
      <c r="AD159" s="298"/>
      <c r="AE159" s="292">
        <f t="shared" ref="AE159" si="56">AC159+1</f>
        <v>30</v>
      </c>
      <c r="AF159" s="298"/>
      <c r="AG159" s="292">
        <f t="shared" ref="AG159" si="57">AE159+1</f>
        <v>31</v>
      </c>
      <c r="AH159" s="298"/>
      <c r="AI159" s="292">
        <f t="shared" ref="AI159" si="58">AG159+1</f>
        <v>32</v>
      </c>
      <c r="AJ159" s="298"/>
      <c r="AK159" s="107"/>
    </row>
    <row r="160" spans="1:37" ht="24" customHeight="1" thickBot="1" x14ac:dyDescent="0.25">
      <c r="A160" s="6"/>
      <c r="B160" s="297"/>
      <c r="C160" s="297"/>
      <c r="D160" s="297"/>
      <c r="E160" s="108" t="s">
        <v>13</v>
      </c>
      <c r="F160" s="108" t="s">
        <v>14</v>
      </c>
      <c r="G160" s="108" t="s">
        <v>13</v>
      </c>
      <c r="H160" s="108" t="s">
        <v>14</v>
      </c>
      <c r="I160" s="108" t="s">
        <v>13</v>
      </c>
      <c r="J160" s="108" t="s">
        <v>14</v>
      </c>
      <c r="K160" s="108" t="s">
        <v>13</v>
      </c>
      <c r="L160" s="108" t="s">
        <v>14</v>
      </c>
      <c r="M160" s="108" t="s">
        <v>13</v>
      </c>
      <c r="N160" s="108" t="s">
        <v>14</v>
      </c>
      <c r="O160" s="108" t="s">
        <v>13</v>
      </c>
      <c r="P160" s="108" t="s">
        <v>14</v>
      </c>
      <c r="Q160" s="108" t="s">
        <v>13</v>
      </c>
      <c r="R160" s="108" t="s">
        <v>14</v>
      </c>
      <c r="S160" s="108" t="s">
        <v>13</v>
      </c>
      <c r="T160" s="108" t="s">
        <v>14</v>
      </c>
      <c r="U160" s="108" t="s">
        <v>13</v>
      </c>
      <c r="V160" s="108" t="s">
        <v>14</v>
      </c>
      <c r="W160" s="108" t="s">
        <v>13</v>
      </c>
      <c r="X160" s="108" t="s">
        <v>14</v>
      </c>
      <c r="Y160" s="108" t="s">
        <v>13</v>
      </c>
      <c r="Z160" s="108" t="s">
        <v>14</v>
      </c>
      <c r="AA160" s="108" t="s">
        <v>13</v>
      </c>
      <c r="AB160" s="108" t="s">
        <v>14</v>
      </c>
      <c r="AC160" s="108" t="s">
        <v>13</v>
      </c>
      <c r="AD160" s="108" t="s">
        <v>14</v>
      </c>
      <c r="AE160" s="108" t="s">
        <v>13</v>
      </c>
      <c r="AF160" s="108" t="s">
        <v>14</v>
      </c>
      <c r="AG160" s="108" t="s">
        <v>13</v>
      </c>
      <c r="AH160" s="108" t="s">
        <v>14</v>
      </c>
      <c r="AI160" s="108" t="s">
        <v>13</v>
      </c>
      <c r="AJ160" s="108" t="s">
        <v>14</v>
      </c>
      <c r="AK160" s="107"/>
    </row>
    <row r="161" spans="1:37" ht="16.5" customHeight="1" x14ac:dyDescent="0.2">
      <c r="A161" s="6"/>
      <c r="B161" s="21">
        <v>1</v>
      </c>
      <c r="C161" s="22">
        <f>'Kelas X'!C153</f>
        <v>16460</v>
      </c>
      <c r="D161" s="34" t="str">
        <f>'Kelas X'!D153</f>
        <v>ACHMAD SAHAL FAWA'ID</v>
      </c>
      <c r="E161" s="12"/>
      <c r="F161" s="13"/>
      <c r="G161" s="12"/>
      <c r="H161" s="13"/>
      <c r="I161" s="12"/>
      <c r="J161" s="13"/>
      <c r="K161" s="12"/>
      <c r="L161" s="13"/>
      <c r="M161" s="12"/>
      <c r="N161" s="13"/>
      <c r="O161" s="12"/>
      <c r="P161" s="13"/>
      <c r="Q161" s="12"/>
      <c r="R161" s="13"/>
      <c r="S161" s="12"/>
      <c r="T161" s="13"/>
      <c r="U161" s="12"/>
      <c r="V161" s="13"/>
      <c r="W161" s="12"/>
      <c r="X161" s="13"/>
      <c r="Y161" s="12"/>
      <c r="Z161" s="13"/>
      <c r="AA161" s="12"/>
      <c r="AB161" s="13"/>
      <c r="AC161" s="12"/>
      <c r="AD161" s="13"/>
      <c r="AE161" s="12"/>
      <c r="AF161" s="13"/>
      <c r="AG161" s="12"/>
      <c r="AH161" s="13"/>
      <c r="AI161" s="12"/>
      <c r="AJ161" s="13"/>
      <c r="AK161" s="107"/>
    </row>
    <row r="162" spans="1:37" ht="16.5" customHeight="1" x14ac:dyDescent="0.2">
      <c r="A162" s="6"/>
      <c r="B162" s="135">
        <f t="shared" ref="B162:B200" si="59">B161+1</f>
        <v>2</v>
      </c>
      <c r="C162" s="135">
        <f>'Kelas X'!C154</f>
        <v>16461</v>
      </c>
      <c r="D162" s="34" t="str">
        <f>'Kelas X'!D154</f>
        <v>ADAM RAUF NURDIANSYAH</v>
      </c>
      <c r="E162" s="14"/>
      <c r="F162" s="15"/>
      <c r="G162" s="14"/>
      <c r="H162" s="15"/>
      <c r="I162" s="14"/>
      <c r="J162" s="15"/>
      <c r="K162" s="14"/>
      <c r="L162" s="15"/>
      <c r="M162" s="14"/>
      <c r="N162" s="15"/>
      <c r="O162" s="14"/>
      <c r="P162" s="15"/>
      <c r="Q162" s="14"/>
      <c r="R162" s="15"/>
      <c r="S162" s="14"/>
      <c r="T162" s="15"/>
      <c r="U162" s="14"/>
      <c r="V162" s="15"/>
      <c r="W162" s="14"/>
      <c r="X162" s="15"/>
      <c r="Y162" s="14"/>
      <c r="Z162" s="15"/>
      <c r="AA162" s="14"/>
      <c r="AB162" s="15"/>
      <c r="AC162" s="14"/>
      <c r="AD162" s="15"/>
      <c r="AE162" s="14"/>
      <c r="AF162" s="15"/>
      <c r="AG162" s="14"/>
      <c r="AH162" s="15"/>
      <c r="AI162" s="14"/>
      <c r="AJ162" s="15"/>
      <c r="AK162" s="107"/>
    </row>
    <row r="163" spans="1:37" ht="16.5" customHeight="1" x14ac:dyDescent="0.2">
      <c r="A163" s="6"/>
      <c r="B163" s="135">
        <f t="shared" si="59"/>
        <v>3</v>
      </c>
      <c r="C163" s="135">
        <f>'Kelas X'!C155</f>
        <v>16462</v>
      </c>
      <c r="D163" s="34" t="str">
        <f>'Kelas X'!D155</f>
        <v>AHMAD HAMIM JAZULI</v>
      </c>
      <c r="E163" s="14"/>
      <c r="F163" s="15"/>
      <c r="G163" s="14"/>
      <c r="H163" s="15"/>
      <c r="I163" s="14"/>
      <c r="J163" s="15"/>
      <c r="K163" s="14"/>
      <c r="L163" s="15"/>
      <c r="M163" s="14"/>
      <c r="N163" s="15"/>
      <c r="O163" s="14"/>
      <c r="P163" s="15"/>
      <c r="Q163" s="14"/>
      <c r="R163" s="15"/>
      <c r="S163" s="14"/>
      <c r="T163" s="15"/>
      <c r="U163" s="14"/>
      <c r="V163" s="15"/>
      <c r="W163" s="14"/>
      <c r="X163" s="15"/>
      <c r="Y163" s="14"/>
      <c r="Z163" s="15"/>
      <c r="AA163" s="14"/>
      <c r="AB163" s="15"/>
      <c r="AC163" s="14"/>
      <c r="AD163" s="15"/>
      <c r="AE163" s="14"/>
      <c r="AF163" s="15"/>
      <c r="AG163" s="14"/>
      <c r="AH163" s="15"/>
      <c r="AI163" s="14"/>
      <c r="AJ163" s="15"/>
      <c r="AK163" s="107"/>
    </row>
    <row r="164" spans="1:37" ht="16.5" customHeight="1" x14ac:dyDescent="0.2">
      <c r="A164" s="6"/>
      <c r="B164" s="135">
        <f t="shared" si="59"/>
        <v>4</v>
      </c>
      <c r="C164" s="135">
        <f>'Kelas X'!C156</f>
        <v>16463</v>
      </c>
      <c r="D164" s="34" t="str">
        <f>'Kelas X'!D156</f>
        <v>ALVIETO ARYA GUNAWAN</v>
      </c>
      <c r="E164" s="14"/>
      <c r="F164" s="15"/>
      <c r="G164" s="14"/>
      <c r="H164" s="15"/>
      <c r="I164" s="14"/>
      <c r="J164" s="15"/>
      <c r="K164" s="14"/>
      <c r="L164" s="15"/>
      <c r="M164" s="14"/>
      <c r="N164" s="15"/>
      <c r="O164" s="14"/>
      <c r="P164" s="15"/>
      <c r="Q164" s="14"/>
      <c r="R164" s="15"/>
      <c r="S164" s="14"/>
      <c r="T164" s="15"/>
      <c r="U164" s="14"/>
      <c r="V164" s="15"/>
      <c r="W164" s="14"/>
      <c r="X164" s="15"/>
      <c r="Y164" s="14"/>
      <c r="Z164" s="15"/>
      <c r="AA164" s="14"/>
      <c r="AB164" s="15"/>
      <c r="AC164" s="14"/>
      <c r="AD164" s="15"/>
      <c r="AE164" s="14"/>
      <c r="AF164" s="15"/>
      <c r="AG164" s="14"/>
      <c r="AH164" s="15"/>
      <c r="AI164" s="14"/>
      <c r="AJ164" s="15"/>
      <c r="AK164" s="107"/>
    </row>
    <row r="165" spans="1:37" ht="16.5" customHeight="1" x14ac:dyDescent="0.2">
      <c r="A165" s="6"/>
      <c r="B165" s="135">
        <f t="shared" si="59"/>
        <v>5</v>
      </c>
      <c r="C165" s="135">
        <f>'Kelas X'!C157</f>
        <v>16464</v>
      </c>
      <c r="D165" s="34" t="str">
        <f>'Kelas X'!D157</f>
        <v>BALYA QARIM PUTRA UTOMO</v>
      </c>
      <c r="E165" s="14"/>
      <c r="F165" s="15"/>
      <c r="G165" s="14"/>
      <c r="H165" s="15"/>
      <c r="I165" s="14"/>
      <c r="J165" s="15"/>
      <c r="K165" s="14"/>
      <c r="L165" s="15"/>
      <c r="M165" s="14"/>
      <c r="N165" s="15"/>
      <c r="O165" s="14"/>
      <c r="P165" s="15"/>
      <c r="Q165" s="14"/>
      <c r="R165" s="15"/>
      <c r="S165" s="14"/>
      <c r="T165" s="15"/>
      <c r="U165" s="14"/>
      <c r="V165" s="15"/>
      <c r="W165" s="14"/>
      <c r="X165" s="15"/>
      <c r="Y165" s="14"/>
      <c r="Z165" s="15"/>
      <c r="AA165" s="14"/>
      <c r="AB165" s="15"/>
      <c r="AC165" s="14"/>
      <c r="AD165" s="15"/>
      <c r="AE165" s="14"/>
      <c r="AF165" s="15"/>
      <c r="AG165" s="14"/>
      <c r="AH165" s="15"/>
      <c r="AI165" s="14"/>
      <c r="AJ165" s="15"/>
      <c r="AK165" s="107"/>
    </row>
    <row r="166" spans="1:37" ht="16.5" customHeight="1" x14ac:dyDescent="0.2">
      <c r="A166" s="6"/>
      <c r="B166" s="135">
        <f t="shared" si="59"/>
        <v>6</v>
      </c>
      <c r="C166" s="135">
        <f>'Kelas X'!C158</f>
        <v>16465</v>
      </c>
      <c r="D166" s="34" t="str">
        <f>'Kelas X'!D158</f>
        <v>DANIAL MASYISY ANSHORI</v>
      </c>
      <c r="E166" s="14"/>
      <c r="F166" s="15"/>
      <c r="G166" s="14"/>
      <c r="H166" s="15"/>
      <c r="I166" s="14"/>
      <c r="J166" s="15"/>
      <c r="K166" s="14"/>
      <c r="L166" s="15"/>
      <c r="M166" s="14"/>
      <c r="N166" s="15"/>
      <c r="O166" s="14"/>
      <c r="P166" s="15"/>
      <c r="Q166" s="14"/>
      <c r="R166" s="15"/>
      <c r="S166" s="14"/>
      <c r="T166" s="15"/>
      <c r="U166" s="14"/>
      <c r="V166" s="15"/>
      <c r="W166" s="14"/>
      <c r="X166" s="15"/>
      <c r="Y166" s="14"/>
      <c r="Z166" s="15"/>
      <c r="AA166" s="14"/>
      <c r="AB166" s="15"/>
      <c r="AC166" s="14"/>
      <c r="AD166" s="15"/>
      <c r="AE166" s="14"/>
      <c r="AF166" s="15"/>
      <c r="AG166" s="14"/>
      <c r="AH166" s="15"/>
      <c r="AI166" s="14"/>
      <c r="AJ166" s="15"/>
      <c r="AK166" s="107"/>
    </row>
    <row r="167" spans="1:37" ht="16.5" customHeight="1" x14ac:dyDescent="0.2">
      <c r="A167" s="6"/>
      <c r="B167" s="135">
        <f t="shared" si="59"/>
        <v>7</v>
      </c>
      <c r="C167" s="135">
        <f>'Kelas X'!C159</f>
        <v>16466</v>
      </c>
      <c r="D167" s="34" t="str">
        <f>'Kelas X'!D159</f>
        <v>FADLI FERIZQO ZAMZAMY</v>
      </c>
      <c r="E167" s="14"/>
      <c r="F167" s="15"/>
      <c r="G167" s="14"/>
      <c r="H167" s="15"/>
      <c r="I167" s="14"/>
      <c r="J167" s="15"/>
      <c r="K167" s="14"/>
      <c r="L167" s="15"/>
      <c r="M167" s="14"/>
      <c r="N167" s="15"/>
      <c r="O167" s="14"/>
      <c r="P167" s="15"/>
      <c r="Q167" s="14"/>
      <c r="R167" s="15"/>
      <c r="S167" s="14"/>
      <c r="T167" s="15"/>
      <c r="U167" s="14"/>
      <c r="V167" s="15"/>
      <c r="W167" s="14"/>
      <c r="X167" s="15"/>
      <c r="Y167" s="14"/>
      <c r="Z167" s="15"/>
      <c r="AA167" s="14"/>
      <c r="AB167" s="15"/>
      <c r="AC167" s="14"/>
      <c r="AD167" s="15"/>
      <c r="AE167" s="14"/>
      <c r="AF167" s="15"/>
      <c r="AG167" s="14"/>
      <c r="AH167" s="15"/>
      <c r="AI167" s="14"/>
      <c r="AJ167" s="15"/>
      <c r="AK167" s="107"/>
    </row>
    <row r="168" spans="1:37" ht="16.5" customHeight="1" x14ac:dyDescent="0.2">
      <c r="A168" s="6"/>
      <c r="B168" s="135">
        <f t="shared" si="59"/>
        <v>8</v>
      </c>
      <c r="C168" s="135">
        <f>'Kelas X'!C160</f>
        <v>16467</v>
      </c>
      <c r="D168" s="34" t="str">
        <f>'Kelas X'!D160</f>
        <v>FAIZA RIDO RUSLANI</v>
      </c>
      <c r="E168" s="14"/>
      <c r="F168" s="15"/>
      <c r="G168" s="14"/>
      <c r="H168" s="15"/>
      <c r="I168" s="14"/>
      <c r="J168" s="15"/>
      <c r="K168" s="14"/>
      <c r="L168" s="15"/>
      <c r="M168" s="14"/>
      <c r="N168" s="15"/>
      <c r="O168" s="14"/>
      <c r="P168" s="15"/>
      <c r="Q168" s="14"/>
      <c r="R168" s="15"/>
      <c r="S168" s="14"/>
      <c r="T168" s="15"/>
      <c r="U168" s="14"/>
      <c r="V168" s="15"/>
      <c r="W168" s="14"/>
      <c r="X168" s="15"/>
      <c r="Y168" s="14"/>
      <c r="Z168" s="15"/>
      <c r="AA168" s="14"/>
      <c r="AB168" s="15"/>
      <c r="AC168" s="14"/>
      <c r="AD168" s="15"/>
      <c r="AE168" s="14"/>
      <c r="AF168" s="15"/>
      <c r="AG168" s="14"/>
      <c r="AH168" s="15"/>
      <c r="AI168" s="14"/>
      <c r="AJ168" s="15"/>
      <c r="AK168" s="107"/>
    </row>
    <row r="169" spans="1:37" ht="16.5" customHeight="1" x14ac:dyDescent="0.2">
      <c r="A169" s="6"/>
      <c r="B169" s="135">
        <f t="shared" si="59"/>
        <v>9</v>
      </c>
      <c r="C169" s="135">
        <f>'Kelas X'!C161</f>
        <v>16468</v>
      </c>
      <c r="D169" s="34" t="str">
        <f>'Kelas X'!D161</f>
        <v>M.ZAKKY NUR AL BAIHAQI</v>
      </c>
      <c r="E169" s="14"/>
      <c r="F169" s="15"/>
      <c r="G169" s="14"/>
      <c r="H169" s="15"/>
      <c r="I169" s="14"/>
      <c r="J169" s="15"/>
      <c r="K169" s="14"/>
      <c r="L169" s="15"/>
      <c r="M169" s="14"/>
      <c r="N169" s="15"/>
      <c r="O169" s="14"/>
      <c r="P169" s="15"/>
      <c r="Q169" s="14"/>
      <c r="R169" s="15"/>
      <c r="S169" s="14"/>
      <c r="T169" s="15"/>
      <c r="U169" s="14"/>
      <c r="V169" s="15"/>
      <c r="W169" s="14"/>
      <c r="X169" s="15"/>
      <c r="Y169" s="14"/>
      <c r="Z169" s="15"/>
      <c r="AA169" s="14"/>
      <c r="AB169" s="15"/>
      <c r="AC169" s="14"/>
      <c r="AD169" s="15"/>
      <c r="AE169" s="14"/>
      <c r="AF169" s="15"/>
      <c r="AG169" s="14"/>
      <c r="AH169" s="15"/>
      <c r="AI169" s="14"/>
      <c r="AJ169" s="15"/>
      <c r="AK169" s="107"/>
    </row>
    <row r="170" spans="1:37" ht="16.5" customHeight="1" x14ac:dyDescent="0.2">
      <c r="A170" s="6"/>
      <c r="B170" s="135">
        <f t="shared" si="59"/>
        <v>10</v>
      </c>
      <c r="C170" s="135">
        <f>'Kelas X'!C162</f>
        <v>16469</v>
      </c>
      <c r="D170" s="34" t="str">
        <f>'Kelas X'!D162</f>
        <v>MAHMOUD AHMADINEJAD</v>
      </c>
      <c r="E170" s="14"/>
      <c r="F170" s="15"/>
      <c r="G170" s="14"/>
      <c r="H170" s="15"/>
      <c r="I170" s="14"/>
      <c r="J170" s="15"/>
      <c r="K170" s="14"/>
      <c r="L170" s="15"/>
      <c r="M170" s="14"/>
      <c r="N170" s="15"/>
      <c r="O170" s="14"/>
      <c r="P170" s="15"/>
      <c r="Q170" s="14"/>
      <c r="R170" s="15"/>
      <c r="S170" s="14"/>
      <c r="T170" s="15"/>
      <c r="U170" s="14"/>
      <c r="V170" s="15"/>
      <c r="W170" s="14"/>
      <c r="X170" s="15"/>
      <c r="Y170" s="14"/>
      <c r="Z170" s="15"/>
      <c r="AA170" s="14"/>
      <c r="AB170" s="15"/>
      <c r="AC170" s="14"/>
      <c r="AD170" s="15"/>
      <c r="AE170" s="14"/>
      <c r="AF170" s="15"/>
      <c r="AG170" s="14"/>
      <c r="AH170" s="15"/>
      <c r="AI170" s="14"/>
      <c r="AJ170" s="15"/>
      <c r="AK170" s="107"/>
    </row>
    <row r="171" spans="1:37" ht="16.5" customHeight="1" x14ac:dyDescent="0.2">
      <c r="A171" s="6"/>
      <c r="B171" s="135">
        <f t="shared" si="59"/>
        <v>11</v>
      </c>
      <c r="C171" s="135">
        <f>'Kelas X'!C163</f>
        <v>16470</v>
      </c>
      <c r="D171" s="34" t="str">
        <f>'Kelas X'!D163</f>
        <v>MOH. DANISWARA MAHFUDZ AT-TIRMIDZI</v>
      </c>
      <c r="E171" s="14"/>
      <c r="F171" s="15"/>
      <c r="G171" s="14"/>
      <c r="H171" s="15"/>
      <c r="I171" s="14"/>
      <c r="J171" s="15"/>
      <c r="K171" s="14"/>
      <c r="L171" s="15"/>
      <c r="M171" s="14"/>
      <c r="N171" s="15"/>
      <c r="O171" s="14"/>
      <c r="P171" s="15"/>
      <c r="Q171" s="14"/>
      <c r="R171" s="15"/>
      <c r="S171" s="14"/>
      <c r="T171" s="15"/>
      <c r="U171" s="14"/>
      <c r="V171" s="15"/>
      <c r="W171" s="14"/>
      <c r="X171" s="15"/>
      <c r="Y171" s="14"/>
      <c r="Z171" s="15"/>
      <c r="AA171" s="14"/>
      <c r="AB171" s="15"/>
      <c r="AC171" s="14"/>
      <c r="AD171" s="15"/>
      <c r="AE171" s="14"/>
      <c r="AF171" s="15"/>
      <c r="AG171" s="14"/>
      <c r="AH171" s="15"/>
      <c r="AI171" s="14"/>
      <c r="AJ171" s="15"/>
      <c r="AK171" s="107"/>
    </row>
    <row r="172" spans="1:37" ht="16.5" customHeight="1" x14ac:dyDescent="0.2">
      <c r="A172" s="6"/>
      <c r="B172" s="135">
        <f t="shared" si="59"/>
        <v>12</v>
      </c>
      <c r="C172" s="135">
        <f>'Kelas X'!C164</f>
        <v>16471</v>
      </c>
      <c r="D172" s="34" t="str">
        <f>'Kelas X'!D164</f>
        <v>MUHAMAD FAUZI MUBAROK</v>
      </c>
      <c r="E172" s="14"/>
      <c r="F172" s="15"/>
      <c r="G172" s="14"/>
      <c r="H172" s="15"/>
      <c r="I172" s="14"/>
      <c r="J172" s="15"/>
      <c r="K172" s="14"/>
      <c r="L172" s="15"/>
      <c r="M172" s="14"/>
      <c r="N172" s="15"/>
      <c r="O172" s="14"/>
      <c r="P172" s="15"/>
      <c r="Q172" s="14"/>
      <c r="R172" s="15"/>
      <c r="S172" s="14"/>
      <c r="T172" s="15"/>
      <c r="U172" s="14"/>
      <c r="V172" s="15"/>
      <c r="W172" s="14"/>
      <c r="X172" s="15"/>
      <c r="Y172" s="14"/>
      <c r="Z172" s="15"/>
      <c r="AA172" s="14"/>
      <c r="AB172" s="15"/>
      <c r="AC172" s="14"/>
      <c r="AD172" s="15"/>
      <c r="AE172" s="14"/>
      <c r="AF172" s="15"/>
      <c r="AG172" s="14"/>
      <c r="AH172" s="15"/>
      <c r="AI172" s="14"/>
      <c r="AJ172" s="15"/>
      <c r="AK172" s="107"/>
    </row>
    <row r="173" spans="1:37" ht="16.5" customHeight="1" x14ac:dyDescent="0.2">
      <c r="A173" s="6"/>
      <c r="B173" s="135">
        <f t="shared" si="59"/>
        <v>13</v>
      </c>
      <c r="C173" s="135">
        <f>'Kelas X'!C165</f>
        <v>16472</v>
      </c>
      <c r="D173" s="34" t="str">
        <f>'Kelas X'!D165</f>
        <v>MUHAMAD IRSYAD FANANI</v>
      </c>
      <c r="E173" s="14"/>
      <c r="F173" s="15"/>
      <c r="G173" s="14"/>
      <c r="H173" s="15"/>
      <c r="I173" s="14"/>
      <c r="J173" s="15"/>
      <c r="K173" s="14"/>
      <c r="L173" s="15"/>
      <c r="M173" s="14"/>
      <c r="N173" s="15"/>
      <c r="O173" s="14"/>
      <c r="P173" s="15"/>
      <c r="Q173" s="14"/>
      <c r="R173" s="15"/>
      <c r="S173" s="14"/>
      <c r="T173" s="15"/>
      <c r="U173" s="14"/>
      <c r="V173" s="15"/>
      <c r="W173" s="14"/>
      <c r="X173" s="15"/>
      <c r="Y173" s="14"/>
      <c r="Z173" s="15"/>
      <c r="AA173" s="14"/>
      <c r="AB173" s="15"/>
      <c r="AC173" s="14"/>
      <c r="AD173" s="15"/>
      <c r="AE173" s="14"/>
      <c r="AF173" s="15"/>
      <c r="AG173" s="14"/>
      <c r="AH173" s="15"/>
      <c r="AI173" s="14"/>
      <c r="AJ173" s="15"/>
      <c r="AK173" s="107"/>
    </row>
    <row r="174" spans="1:37" ht="16.5" customHeight="1" x14ac:dyDescent="0.2">
      <c r="A174" s="6"/>
      <c r="B174" s="135">
        <f t="shared" si="59"/>
        <v>14</v>
      </c>
      <c r="C174" s="135">
        <f>'Kelas X'!C166</f>
        <v>16473</v>
      </c>
      <c r="D174" s="34" t="str">
        <f>'Kelas X'!D166</f>
        <v>MUHAMMAD AFIFUDDIN IRSYAD SALIM</v>
      </c>
      <c r="E174" s="14"/>
      <c r="F174" s="15"/>
      <c r="G174" s="14"/>
      <c r="H174" s="15"/>
      <c r="I174" s="14"/>
      <c r="J174" s="15"/>
      <c r="K174" s="14"/>
      <c r="L174" s="15"/>
      <c r="M174" s="14"/>
      <c r="N174" s="15"/>
      <c r="O174" s="14"/>
      <c r="P174" s="15"/>
      <c r="Q174" s="14"/>
      <c r="R174" s="15"/>
      <c r="S174" s="14"/>
      <c r="T174" s="15"/>
      <c r="U174" s="14"/>
      <c r="V174" s="15"/>
      <c r="W174" s="14"/>
      <c r="X174" s="15"/>
      <c r="Y174" s="14"/>
      <c r="Z174" s="15"/>
      <c r="AA174" s="14"/>
      <c r="AB174" s="15"/>
      <c r="AC174" s="14"/>
      <c r="AD174" s="15"/>
      <c r="AE174" s="14"/>
      <c r="AF174" s="15"/>
      <c r="AG174" s="14"/>
      <c r="AH174" s="15"/>
      <c r="AI174" s="14"/>
      <c r="AJ174" s="15"/>
      <c r="AK174" s="107"/>
    </row>
    <row r="175" spans="1:37" ht="16.5" customHeight="1" x14ac:dyDescent="0.2">
      <c r="A175" s="6"/>
      <c r="B175" s="135">
        <f t="shared" si="59"/>
        <v>15</v>
      </c>
      <c r="C175" s="135">
        <f>'Kelas X'!C167</f>
        <v>16474</v>
      </c>
      <c r="D175" s="34" t="str">
        <f>'Kelas X'!D167</f>
        <v>MUHAMMAD ARRAFI</v>
      </c>
      <c r="E175" s="14"/>
      <c r="F175" s="15"/>
      <c r="G175" s="14"/>
      <c r="H175" s="15"/>
      <c r="I175" s="14"/>
      <c r="J175" s="15"/>
      <c r="K175" s="14"/>
      <c r="L175" s="15"/>
      <c r="M175" s="14"/>
      <c r="N175" s="15"/>
      <c r="O175" s="14"/>
      <c r="P175" s="15"/>
      <c r="Q175" s="14"/>
      <c r="R175" s="15"/>
      <c r="S175" s="14"/>
      <c r="T175" s="15"/>
      <c r="U175" s="14"/>
      <c r="V175" s="15"/>
      <c r="W175" s="14"/>
      <c r="X175" s="15"/>
      <c r="Y175" s="14"/>
      <c r="Z175" s="15"/>
      <c r="AA175" s="14"/>
      <c r="AB175" s="15"/>
      <c r="AC175" s="14"/>
      <c r="AD175" s="15"/>
      <c r="AE175" s="14"/>
      <c r="AF175" s="15"/>
      <c r="AG175" s="14"/>
      <c r="AH175" s="15"/>
      <c r="AI175" s="14"/>
      <c r="AJ175" s="15"/>
      <c r="AK175" s="107"/>
    </row>
    <row r="176" spans="1:37" ht="16.5" customHeight="1" x14ac:dyDescent="0.2">
      <c r="A176" s="6"/>
      <c r="B176" s="135">
        <f t="shared" si="59"/>
        <v>16</v>
      </c>
      <c r="C176" s="135">
        <f>'Kelas X'!C168</f>
        <v>16475</v>
      </c>
      <c r="D176" s="34" t="str">
        <f>'Kelas X'!D168</f>
        <v>MUHAMMAD EVAN ADHIPRAMANA SULISTIYO</v>
      </c>
      <c r="E176" s="14"/>
      <c r="F176" s="15"/>
      <c r="G176" s="14"/>
      <c r="H176" s="15"/>
      <c r="I176" s="14"/>
      <c r="J176" s="15"/>
      <c r="K176" s="14"/>
      <c r="L176" s="15"/>
      <c r="M176" s="14"/>
      <c r="N176" s="15"/>
      <c r="O176" s="14"/>
      <c r="P176" s="15"/>
      <c r="Q176" s="14"/>
      <c r="R176" s="15"/>
      <c r="S176" s="14"/>
      <c r="T176" s="15"/>
      <c r="U176" s="14"/>
      <c r="V176" s="15"/>
      <c r="W176" s="14"/>
      <c r="X176" s="15"/>
      <c r="Y176" s="14"/>
      <c r="Z176" s="15"/>
      <c r="AA176" s="14"/>
      <c r="AB176" s="15"/>
      <c r="AC176" s="14"/>
      <c r="AD176" s="15"/>
      <c r="AE176" s="14"/>
      <c r="AF176" s="15"/>
      <c r="AG176" s="14"/>
      <c r="AH176" s="15"/>
      <c r="AI176" s="14"/>
      <c r="AJ176" s="15"/>
      <c r="AK176" s="107"/>
    </row>
    <row r="177" spans="1:37" ht="16.5" customHeight="1" x14ac:dyDescent="0.2">
      <c r="A177" s="6"/>
      <c r="B177" s="135">
        <f t="shared" si="59"/>
        <v>17</v>
      </c>
      <c r="C177" s="135">
        <f>'Kelas X'!C169</f>
        <v>16476</v>
      </c>
      <c r="D177" s="34" t="str">
        <f>'Kelas X'!D169</f>
        <v>MUHAMMAD IQBAL WIJDAN</v>
      </c>
      <c r="E177" s="14"/>
      <c r="F177" s="15"/>
      <c r="G177" s="14"/>
      <c r="H177" s="15"/>
      <c r="I177" s="14"/>
      <c r="J177" s="15"/>
      <c r="K177" s="14"/>
      <c r="L177" s="15"/>
      <c r="M177" s="14"/>
      <c r="N177" s="15"/>
      <c r="O177" s="14"/>
      <c r="P177" s="15"/>
      <c r="Q177" s="14"/>
      <c r="R177" s="15"/>
      <c r="S177" s="14"/>
      <c r="T177" s="15"/>
      <c r="U177" s="14"/>
      <c r="V177" s="15"/>
      <c r="W177" s="14"/>
      <c r="X177" s="15"/>
      <c r="Y177" s="14"/>
      <c r="Z177" s="15"/>
      <c r="AA177" s="14"/>
      <c r="AB177" s="15"/>
      <c r="AC177" s="14"/>
      <c r="AD177" s="15"/>
      <c r="AE177" s="14"/>
      <c r="AF177" s="15"/>
      <c r="AG177" s="14"/>
      <c r="AH177" s="15"/>
      <c r="AI177" s="14"/>
      <c r="AJ177" s="15"/>
      <c r="AK177" s="107"/>
    </row>
    <row r="178" spans="1:37" ht="16.5" customHeight="1" x14ac:dyDescent="0.2">
      <c r="A178" s="6"/>
      <c r="B178" s="135">
        <f t="shared" si="59"/>
        <v>18</v>
      </c>
      <c r="C178" s="135">
        <f>'Kelas X'!C170</f>
        <v>16477</v>
      </c>
      <c r="D178" s="34" t="str">
        <f>'Kelas X'!D170</f>
        <v>MUHAMMAD MIFTAHUL KHOIR</v>
      </c>
      <c r="E178" s="14"/>
      <c r="F178" s="15"/>
      <c r="G178" s="14"/>
      <c r="H178" s="15"/>
      <c r="I178" s="14"/>
      <c r="J178" s="15"/>
      <c r="K178" s="14"/>
      <c r="L178" s="15"/>
      <c r="M178" s="14"/>
      <c r="N178" s="15"/>
      <c r="O178" s="14"/>
      <c r="P178" s="15"/>
      <c r="Q178" s="14"/>
      <c r="R178" s="15"/>
      <c r="S178" s="14"/>
      <c r="T178" s="15"/>
      <c r="U178" s="14"/>
      <c r="V178" s="15"/>
      <c r="W178" s="14"/>
      <c r="X178" s="15"/>
      <c r="Y178" s="14"/>
      <c r="Z178" s="15"/>
      <c r="AA178" s="14"/>
      <c r="AB178" s="15"/>
      <c r="AC178" s="14"/>
      <c r="AD178" s="15"/>
      <c r="AE178" s="14"/>
      <c r="AF178" s="15"/>
      <c r="AG178" s="14"/>
      <c r="AH178" s="15"/>
      <c r="AI178" s="14"/>
      <c r="AJ178" s="15"/>
      <c r="AK178" s="107"/>
    </row>
    <row r="179" spans="1:37" ht="16.5" customHeight="1" x14ac:dyDescent="0.2">
      <c r="A179" s="6"/>
      <c r="B179" s="135">
        <f t="shared" si="59"/>
        <v>19</v>
      </c>
      <c r="C179" s="135">
        <f>'Kelas X'!C171</f>
        <v>16478</v>
      </c>
      <c r="D179" s="34" t="str">
        <f>'Kelas X'!D171</f>
        <v>MUHAMMAD TAQI JAFARI MARTOWIDJOJO</v>
      </c>
      <c r="E179" s="14"/>
      <c r="F179" s="15"/>
      <c r="G179" s="14"/>
      <c r="H179" s="15"/>
      <c r="I179" s="14"/>
      <c r="J179" s="15"/>
      <c r="K179" s="14"/>
      <c r="L179" s="15"/>
      <c r="M179" s="14"/>
      <c r="N179" s="15"/>
      <c r="O179" s="14"/>
      <c r="P179" s="15"/>
      <c r="Q179" s="14"/>
      <c r="R179" s="15"/>
      <c r="S179" s="14"/>
      <c r="T179" s="15"/>
      <c r="U179" s="14"/>
      <c r="V179" s="15"/>
      <c r="W179" s="14"/>
      <c r="X179" s="15"/>
      <c r="Y179" s="14"/>
      <c r="Z179" s="15"/>
      <c r="AA179" s="14"/>
      <c r="AB179" s="15"/>
      <c r="AC179" s="14"/>
      <c r="AD179" s="15"/>
      <c r="AE179" s="14"/>
      <c r="AF179" s="15"/>
      <c r="AG179" s="14"/>
      <c r="AH179" s="15"/>
      <c r="AI179" s="14"/>
      <c r="AJ179" s="15"/>
      <c r="AK179" s="107"/>
    </row>
    <row r="180" spans="1:37" ht="16.5" customHeight="1" x14ac:dyDescent="0.2">
      <c r="A180" s="6"/>
      <c r="B180" s="135">
        <f t="shared" si="59"/>
        <v>20</v>
      </c>
      <c r="C180" s="135">
        <f>'Kelas X'!C172</f>
        <v>16479</v>
      </c>
      <c r="D180" s="34" t="str">
        <f>'Kelas X'!D172</f>
        <v>RASYA ANSHORI RAMADHAN</v>
      </c>
      <c r="E180" s="14"/>
      <c r="F180" s="15"/>
      <c r="G180" s="14"/>
      <c r="H180" s="15"/>
      <c r="I180" s="14"/>
      <c r="J180" s="15"/>
      <c r="K180" s="14"/>
      <c r="L180" s="15"/>
      <c r="M180" s="14"/>
      <c r="N180" s="15"/>
      <c r="O180" s="14"/>
      <c r="P180" s="15"/>
      <c r="Q180" s="14"/>
      <c r="R180" s="15"/>
      <c r="S180" s="14"/>
      <c r="T180" s="15"/>
      <c r="U180" s="14"/>
      <c r="V180" s="15"/>
      <c r="W180" s="14"/>
      <c r="X180" s="15"/>
      <c r="Y180" s="14"/>
      <c r="Z180" s="15"/>
      <c r="AA180" s="14"/>
      <c r="AB180" s="15"/>
      <c r="AC180" s="14"/>
      <c r="AD180" s="15"/>
      <c r="AE180" s="14"/>
      <c r="AF180" s="15"/>
      <c r="AG180" s="14"/>
      <c r="AH180" s="15"/>
      <c r="AI180" s="14"/>
      <c r="AJ180" s="15"/>
      <c r="AK180" s="107"/>
    </row>
    <row r="181" spans="1:37" ht="16.5" customHeight="1" x14ac:dyDescent="0.2">
      <c r="A181" s="6"/>
      <c r="B181" s="135">
        <f t="shared" si="59"/>
        <v>21</v>
      </c>
      <c r="C181" s="135">
        <f>'Kelas X'!C173</f>
        <v>16480</v>
      </c>
      <c r="D181" s="34" t="str">
        <f>'Kelas X'!D173</f>
        <v>REZA FAHTUR PRATAMA</v>
      </c>
      <c r="E181" s="14"/>
      <c r="F181" s="15"/>
      <c r="G181" s="14"/>
      <c r="H181" s="15"/>
      <c r="I181" s="14"/>
      <c r="J181" s="15"/>
      <c r="K181" s="14"/>
      <c r="L181" s="15"/>
      <c r="M181" s="14"/>
      <c r="N181" s="15"/>
      <c r="O181" s="14"/>
      <c r="P181" s="15"/>
      <c r="Q181" s="14"/>
      <c r="R181" s="15"/>
      <c r="S181" s="14"/>
      <c r="T181" s="15"/>
      <c r="U181" s="14"/>
      <c r="V181" s="15"/>
      <c r="W181" s="14"/>
      <c r="X181" s="15"/>
      <c r="Y181" s="14"/>
      <c r="Z181" s="15"/>
      <c r="AA181" s="14"/>
      <c r="AB181" s="15"/>
      <c r="AC181" s="14"/>
      <c r="AD181" s="15"/>
      <c r="AE181" s="14"/>
      <c r="AF181" s="15"/>
      <c r="AG181" s="14"/>
      <c r="AH181" s="15"/>
      <c r="AI181" s="14"/>
      <c r="AJ181" s="15"/>
      <c r="AK181" s="107"/>
    </row>
    <row r="182" spans="1:37" ht="16.5" customHeight="1" x14ac:dyDescent="0.2">
      <c r="A182" s="6"/>
      <c r="B182" s="135">
        <f t="shared" si="59"/>
        <v>22</v>
      </c>
      <c r="C182" s="135">
        <f>'Kelas X'!C174</f>
        <v>16481</v>
      </c>
      <c r="D182" s="34" t="str">
        <f>'Kelas X'!D174</f>
        <v>REZKY PRATAMA AS'ARY</v>
      </c>
      <c r="E182" s="14"/>
      <c r="F182" s="15"/>
      <c r="G182" s="14"/>
      <c r="H182" s="15"/>
      <c r="I182" s="14"/>
      <c r="J182" s="15"/>
      <c r="K182" s="14"/>
      <c r="L182" s="15"/>
      <c r="M182" s="14"/>
      <c r="N182" s="15"/>
      <c r="O182" s="14"/>
      <c r="P182" s="15"/>
      <c r="Q182" s="14"/>
      <c r="R182" s="15"/>
      <c r="S182" s="14"/>
      <c r="T182" s="15"/>
      <c r="U182" s="14"/>
      <c r="V182" s="15"/>
      <c r="W182" s="14"/>
      <c r="X182" s="15"/>
      <c r="Y182" s="14"/>
      <c r="Z182" s="15"/>
      <c r="AA182" s="14"/>
      <c r="AB182" s="15"/>
      <c r="AC182" s="14"/>
      <c r="AD182" s="15"/>
      <c r="AE182" s="14"/>
      <c r="AF182" s="15"/>
      <c r="AG182" s="14"/>
      <c r="AH182" s="15"/>
      <c r="AI182" s="14"/>
      <c r="AJ182" s="15"/>
      <c r="AK182" s="107"/>
    </row>
    <row r="183" spans="1:37" ht="16.5" customHeight="1" x14ac:dyDescent="0.2">
      <c r="A183" s="6"/>
      <c r="B183" s="135">
        <f t="shared" si="59"/>
        <v>23</v>
      </c>
      <c r="C183" s="135">
        <f>'Kelas X'!C175</f>
        <v>16482</v>
      </c>
      <c r="D183" s="34" t="str">
        <f>'Kelas X'!D175</f>
        <v>RIDWAN DE ALVINS</v>
      </c>
      <c r="E183" s="14"/>
      <c r="F183" s="15"/>
      <c r="G183" s="14"/>
      <c r="H183" s="15"/>
      <c r="I183" s="14"/>
      <c r="J183" s="15"/>
      <c r="K183" s="14"/>
      <c r="L183" s="15"/>
      <c r="M183" s="14"/>
      <c r="N183" s="15"/>
      <c r="O183" s="14"/>
      <c r="P183" s="15"/>
      <c r="Q183" s="14"/>
      <c r="R183" s="15"/>
      <c r="S183" s="14"/>
      <c r="T183" s="15"/>
      <c r="U183" s="14"/>
      <c r="V183" s="15"/>
      <c r="W183" s="14"/>
      <c r="X183" s="15"/>
      <c r="Y183" s="14"/>
      <c r="Z183" s="15"/>
      <c r="AA183" s="14"/>
      <c r="AB183" s="15"/>
      <c r="AC183" s="14"/>
      <c r="AD183" s="15"/>
      <c r="AE183" s="14"/>
      <c r="AF183" s="15"/>
      <c r="AG183" s="14"/>
      <c r="AH183" s="15"/>
      <c r="AI183" s="14"/>
      <c r="AJ183" s="15"/>
      <c r="AK183" s="107"/>
    </row>
    <row r="184" spans="1:37" ht="16.5" customHeight="1" x14ac:dyDescent="0.2">
      <c r="A184" s="6"/>
      <c r="B184" s="135">
        <f t="shared" si="59"/>
        <v>24</v>
      </c>
      <c r="C184" s="135">
        <f>'Kelas X'!C176</f>
        <v>16483</v>
      </c>
      <c r="D184" s="34" t="str">
        <f>'Kelas X'!D176</f>
        <v>RIZKY KURNIA</v>
      </c>
      <c r="E184" s="14"/>
      <c r="F184" s="15"/>
      <c r="G184" s="14"/>
      <c r="H184" s="15"/>
      <c r="I184" s="14"/>
      <c r="J184" s="15"/>
      <c r="K184" s="14"/>
      <c r="L184" s="15"/>
      <c r="M184" s="14"/>
      <c r="N184" s="15"/>
      <c r="O184" s="14"/>
      <c r="P184" s="15"/>
      <c r="Q184" s="14"/>
      <c r="R184" s="15"/>
      <c r="S184" s="14"/>
      <c r="T184" s="15"/>
      <c r="U184" s="14"/>
      <c r="V184" s="15"/>
      <c r="W184" s="14"/>
      <c r="X184" s="15"/>
      <c r="Y184" s="14"/>
      <c r="Z184" s="15"/>
      <c r="AA184" s="14"/>
      <c r="AB184" s="15"/>
      <c r="AC184" s="14"/>
      <c r="AD184" s="15"/>
      <c r="AE184" s="14"/>
      <c r="AF184" s="15"/>
      <c r="AG184" s="14"/>
      <c r="AH184" s="15"/>
      <c r="AI184" s="14"/>
      <c r="AJ184" s="15"/>
      <c r="AK184" s="107"/>
    </row>
    <row r="185" spans="1:37" ht="16.5" customHeight="1" x14ac:dyDescent="0.2">
      <c r="A185" s="6"/>
      <c r="B185" s="135">
        <f t="shared" si="59"/>
        <v>25</v>
      </c>
      <c r="C185" s="135">
        <f>'Kelas X'!C177</f>
        <v>16484</v>
      </c>
      <c r="D185" s="34" t="str">
        <f>'Kelas X'!D177</f>
        <v>ROBETH FATIH EL NOFAT</v>
      </c>
      <c r="E185" s="14"/>
      <c r="F185" s="15"/>
      <c r="G185" s="14"/>
      <c r="H185" s="15"/>
      <c r="I185" s="14"/>
      <c r="J185" s="15"/>
      <c r="K185" s="14"/>
      <c r="L185" s="15"/>
      <c r="M185" s="14"/>
      <c r="N185" s="15"/>
      <c r="O185" s="14"/>
      <c r="P185" s="15"/>
      <c r="Q185" s="14"/>
      <c r="R185" s="15"/>
      <c r="S185" s="14"/>
      <c r="T185" s="15"/>
      <c r="U185" s="14"/>
      <c r="V185" s="15"/>
      <c r="W185" s="14"/>
      <c r="X185" s="15"/>
      <c r="Y185" s="14"/>
      <c r="Z185" s="15"/>
      <c r="AA185" s="14"/>
      <c r="AB185" s="15"/>
      <c r="AC185" s="14"/>
      <c r="AD185" s="15"/>
      <c r="AE185" s="14"/>
      <c r="AF185" s="15"/>
      <c r="AG185" s="14"/>
      <c r="AH185" s="15"/>
      <c r="AI185" s="14"/>
      <c r="AJ185" s="15"/>
      <c r="AK185" s="107"/>
    </row>
    <row r="186" spans="1:37" ht="16.5" customHeight="1" x14ac:dyDescent="0.2">
      <c r="A186" s="6"/>
      <c r="B186" s="135">
        <f t="shared" si="59"/>
        <v>26</v>
      </c>
      <c r="C186" s="135">
        <f>'Kelas X'!C178</f>
        <v>16485</v>
      </c>
      <c r="D186" s="34" t="str">
        <f>'Kelas X'!D178</f>
        <v>SYAFIQ DIYA UL HAQ</v>
      </c>
      <c r="E186" s="14"/>
      <c r="F186" s="15"/>
      <c r="G186" s="14"/>
      <c r="H186" s="15"/>
      <c r="I186" s="14"/>
      <c r="J186" s="15"/>
      <c r="K186" s="14"/>
      <c r="L186" s="15"/>
      <c r="M186" s="14"/>
      <c r="N186" s="15"/>
      <c r="O186" s="14"/>
      <c r="P186" s="15"/>
      <c r="Q186" s="14"/>
      <c r="R186" s="15"/>
      <c r="S186" s="14"/>
      <c r="T186" s="15"/>
      <c r="U186" s="14"/>
      <c r="V186" s="15"/>
      <c r="W186" s="14"/>
      <c r="X186" s="15"/>
      <c r="Y186" s="14"/>
      <c r="Z186" s="15"/>
      <c r="AA186" s="14"/>
      <c r="AB186" s="15"/>
      <c r="AC186" s="14"/>
      <c r="AD186" s="15"/>
      <c r="AE186" s="14"/>
      <c r="AF186" s="15"/>
      <c r="AG186" s="14"/>
      <c r="AH186" s="15"/>
      <c r="AI186" s="14"/>
      <c r="AJ186" s="15"/>
      <c r="AK186" s="107"/>
    </row>
    <row r="187" spans="1:37" ht="16.5" customHeight="1" x14ac:dyDescent="0.2">
      <c r="A187" s="6"/>
      <c r="B187" s="135">
        <f t="shared" si="59"/>
        <v>27</v>
      </c>
      <c r="C187" s="135">
        <f>'Kelas X'!C179</f>
        <v>16486</v>
      </c>
      <c r="D187" s="34" t="str">
        <f>'Kelas X'!D179</f>
        <v>ZAID ZIDAN</v>
      </c>
      <c r="E187" s="14"/>
      <c r="F187" s="15"/>
      <c r="G187" s="14"/>
      <c r="H187" s="15"/>
      <c r="I187" s="14"/>
      <c r="J187" s="15"/>
      <c r="K187" s="14"/>
      <c r="L187" s="15"/>
      <c r="M187" s="14"/>
      <c r="N187" s="15"/>
      <c r="O187" s="14"/>
      <c r="P187" s="15"/>
      <c r="Q187" s="14"/>
      <c r="R187" s="15"/>
      <c r="S187" s="14"/>
      <c r="T187" s="15"/>
      <c r="U187" s="14"/>
      <c r="V187" s="15"/>
      <c r="W187" s="14"/>
      <c r="X187" s="15"/>
      <c r="Y187" s="14"/>
      <c r="Z187" s="15"/>
      <c r="AA187" s="14"/>
      <c r="AB187" s="15"/>
      <c r="AC187" s="14"/>
      <c r="AD187" s="15"/>
      <c r="AE187" s="14"/>
      <c r="AF187" s="15"/>
      <c r="AG187" s="14"/>
      <c r="AH187" s="15"/>
      <c r="AI187" s="14"/>
      <c r="AJ187" s="15"/>
      <c r="AK187" s="107"/>
    </row>
    <row r="188" spans="1:37" ht="16.5" customHeight="1" x14ac:dyDescent="0.2">
      <c r="A188" s="6"/>
      <c r="B188" s="135">
        <f t="shared" si="59"/>
        <v>28</v>
      </c>
      <c r="C188" s="135">
        <f>'Kelas X'!C180</f>
        <v>0</v>
      </c>
      <c r="D188" s="34">
        <f>'Kelas X'!D180</f>
        <v>0</v>
      </c>
      <c r="E188" s="16"/>
      <c r="F188" s="17"/>
      <c r="G188" s="16"/>
      <c r="H188" s="17"/>
      <c r="I188" s="16"/>
      <c r="J188" s="17"/>
      <c r="K188" s="16"/>
      <c r="L188" s="17"/>
      <c r="M188" s="16"/>
      <c r="N188" s="17"/>
      <c r="O188" s="16"/>
      <c r="P188" s="17"/>
      <c r="Q188" s="16"/>
      <c r="R188" s="17"/>
      <c r="S188" s="16"/>
      <c r="T188" s="17"/>
      <c r="U188" s="16"/>
      <c r="V188" s="17"/>
      <c r="W188" s="16"/>
      <c r="X188" s="17"/>
      <c r="Y188" s="16"/>
      <c r="Z188" s="17"/>
      <c r="AA188" s="16"/>
      <c r="AB188" s="17"/>
      <c r="AC188" s="16"/>
      <c r="AD188" s="17"/>
      <c r="AE188" s="16"/>
      <c r="AF188" s="17"/>
      <c r="AG188" s="16"/>
      <c r="AH188" s="17"/>
      <c r="AI188" s="16"/>
      <c r="AJ188" s="17"/>
      <c r="AK188" s="107"/>
    </row>
    <row r="189" spans="1:37" ht="16.5" customHeight="1" x14ac:dyDescent="0.2">
      <c r="A189" s="6"/>
      <c r="B189" s="135">
        <f t="shared" si="59"/>
        <v>29</v>
      </c>
      <c r="C189" s="135">
        <f>'Kelas X'!C181</f>
        <v>0</v>
      </c>
      <c r="D189" s="34">
        <f>'Kelas X'!D181</f>
        <v>0</v>
      </c>
      <c r="E189" s="16"/>
      <c r="F189" s="17"/>
      <c r="G189" s="16"/>
      <c r="H189" s="17"/>
      <c r="I189" s="16"/>
      <c r="J189" s="17"/>
      <c r="K189" s="16"/>
      <c r="L189" s="17"/>
      <c r="M189" s="16"/>
      <c r="N189" s="17"/>
      <c r="O189" s="16"/>
      <c r="P189" s="17"/>
      <c r="Q189" s="16"/>
      <c r="R189" s="17"/>
      <c r="S189" s="16"/>
      <c r="T189" s="17"/>
      <c r="U189" s="16"/>
      <c r="V189" s="17"/>
      <c r="W189" s="16"/>
      <c r="X189" s="17"/>
      <c r="Y189" s="16"/>
      <c r="Z189" s="17"/>
      <c r="AA189" s="16"/>
      <c r="AB189" s="17"/>
      <c r="AC189" s="16"/>
      <c r="AD189" s="17"/>
      <c r="AE189" s="16"/>
      <c r="AF189" s="17"/>
      <c r="AG189" s="16"/>
      <c r="AH189" s="17"/>
      <c r="AI189" s="16"/>
      <c r="AJ189" s="17"/>
      <c r="AK189" s="107"/>
    </row>
    <row r="190" spans="1:37" ht="16.5" customHeight="1" x14ac:dyDescent="0.2">
      <c r="A190" s="6"/>
      <c r="B190" s="135">
        <f t="shared" si="59"/>
        <v>30</v>
      </c>
      <c r="C190" s="135">
        <f>'Kelas X'!C182</f>
        <v>0</v>
      </c>
      <c r="D190" s="34">
        <f>'Kelas X'!D182</f>
        <v>0</v>
      </c>
      <c r="E190" s="16"/>
      <c r="F190" s="17"/>
      <c r="G190" s="16"/>
      <c r="H190" s="17"/>
      <c r="I190" s="16"/>
      <c r="J190" s="17"/>
      <c r="K190" s="16"/>
      <c r="L190" s="17"/>
      <c r="M190" s="16"/>
      <c r="N190" s="17"/>
      <c r="O190" s="16"/>
      <c r="P190" s="17"/>
      <c r="Q190" s="16"/>
      <c r="R190" s="17"/>
      <c r="S190" s="16"/>
      <c r="T190" s="17"/>
      <c r="U190" s="16"/>
      <c r="V190" s="17"/>
      <c r="W190" s="16"/>
      <c r="X190" s="17"/>
      <c r="Y190" s="16"/>
      <c r="Z190" s="17"/>
      <c r="AA190" s="16"/>
      <c r="AB190" s="17"/>
      <c r="AC190" s="16"/>
      <c r="AD190" s="17"/>
      <c r="AE190" s="16"/>
      <c r="AF190" s="17"/>
      <c r="AG190" s="16"/>
      <c r="AH190" s="17"/>
      <c r="AI190" s="16"/>
      <c r="AJ190" s="17"/>
      <c r="AK190" s="107"/>
    </row>
    <row r="191" spans="1:37" ht="16.5" customHeight="1" x14ac:dyDescent="0.2">
      <c r="A191" s="6"/>
      <c r="B191" s="135">
        <f t="shared" si="59"/>
        <v>31</v>
      </c>
      <c r="C191" s="135">
        <f>'Kelas X'!C183</f>
        <v>0</v>
      </c>
      <c r="D191" s="34">
        <f>'Kelas X'!D183</f>
        <v>0</v>
      </c>
      <c r="E191" s="16"/>
      <c r="F191" s="17"/>
      <c r="G191" s="16"/>
      <c r="H191" s="17"/>
      <c r="I191" s="16"/>
      <c r="J191" s="17"/>
      <c r="K191" s="16"/>
      <c r="L191" s="17"/>
      <c r="M191" s="16"/>
      <c r="N191" s="17"/>
      <c r="O191" s="16"/>
      <c r="P191" s="17"/>
      <c r="Q191" s="16"/>
      <c r="R191" s="17"/>
      <c r="S191" s="16"/>
      <c r="T191" s="17"/>
      <c r="U191" s="16"/>
      <c r="V191" s="17"/>
      <c r="W191" s="16"/>
      <c r="X191" s="17"/>
      <c r="Y191" s="16"/>
      <c r="Z191" s="17"/>
      <c r="AA191" s="16"/>
      <c r="AB191" s="17"/>
      <c r="AC191" s="16"/>
      <c r="AD191" s="17"/>
      <c r="AE191" s="16"/>
      <c r="AF191" s="17"/>
      <c r="AG191" s="16"/>
      <c r="AH191" s="17"/>
      <c r="AI191" s="16"/>
      <c r="AJ191" s="17"/>
      <c r="AK191" s="107"/>
    </row>
    <row r="192" spans="1:37" ht="16.5" customHeight="1" x14ac:dyDescent="0.2">
      <c r="A192" s="6"/>
      <c r="B192" s="135">
        <f t="shared" si="59"/>
        <v>32</v>
      </c>
      <c r="C192" s="135">
        <f>'Kelas X'!C184</f>
        <v>0</v>
      </c>
      <c r="D192" s="34">
        <f>'Kelas X'!D184</f>
        <v>0</v>
      </c>
      <c r="E192" s="16"/>
      <c r="F192" s="17"/>
      <c r="G192" s="16"/>
      <c r="H192" s="17"/>
      <c r="I192" s="16"/>
      <c r="J192" s="17"/>
      <c r="K192" s="16"/>
      <c r="L192" s="17"/>
      <c r="M192" s="16"/>
      <c r="N192" s="17"/>
      <c r="O192" s="16"/>
      <c r="P192" s="17"/>
      <c r="Q192" s="16"/>
      <c r="R192" s="17"/>
      <c r="S192" s="16"/>
      <c r="T192" s="17"/>
      <c r="U192" s="16"/>
      <c r="V192" s="17"/>
      <c r="W192" s="16"/>
      <c r="X192" s="17"/>
      <c r="Y192" s="16"/>
      <c r="Z192" s="17"/>
      <c r="AA192" s="16"/>
      <c r="AB192" s="17"/>
      <c r="AC192" s="16"/>
      <c r="AD192" s="17"/>
      <c r="AE192" s="16"/>
      <c r="AF192" s="17"/>
      <c r="AG192" s="16"/>
      <c r="AH192" s="17"/>
      <c r="AI192" s="16"/>
      <c r="AJ192" s="17"/>
      <c r="AK192" s="107"/>
    </row>
    <row r="193" spans="1:37" ht="16.5" customHeight="1" x14ac:dyDescent="0.2">
      <c r="A193" s="6"/>
      <c r="B193" s="135">
        <f t="shared" si="59"/>
        <v>33</v>
      </c>
      <c r="C193" s="135">
        <f>'Kelas X'!C185</f>
        <v>0</v>
      </c>
      <c r="D193" s="34">
        <f>'Kelas X'!D185</f>
        <v>0</v>
      </c>
      <c r="E193" s="16"/>
      <c r="F193" s="17"/>
      <c r="G193" s="16"/>
      <c r="H193" s="17"/>
      <c r="I193" s="16"/>
      <c r="J193" s="17"/>
      <c r="K193" s="16"/>
      <c r="L193" s="17"/>
      <c r="M193" s="16"/>
      <c r="N193" s="17"/>
      <c r="O193" s="16"/>
      <c r="P193" s="17"/>
      <c r="Q193" s="16"/>
      <c r="R193" s="17"/>
      <c r="S193" s="16"/>
      <c r="T193" s="17"/>
      <c r="U193" s="16"/>
      <c r="V193" s="17"/>
      <c r="W193" s="16"/>
      <c r="X193" s="17"/>
      <c r="Y193" s="16"/>
      <c r="Z193" s="17"/>
      <c r="AA193" s="16"/>
      <c r="AB193" s="17"/>
      <c r="AC193" s="16"/>
      <c r="AD193" s="17"/>
      <c r="AE193" s="16"/>
      <c r="AF193" s="17"/>
      <c r="AG193" s="16"/>
      <c r="AH193" s="17"/>
      <c r="AI193" s="16"/>
      <c r="AJ193" s="17"/>
      <c r="AK193" s="107"/>
    </row>
    <row r="194" spans="1:37" ht="16.5" customHeight="1" x14ac:dyDescent="0.2">
      <c r="A194" s="6"/>
      <c r="B194" s="135">
        <f t="shared" si="59"/>
        <v>34</v>
      </c>
      <c r="C194" s="135">
        <f>'Kelas X'!C186</f>
        <v>0</v>
      </c>
      <c r="D194" s="34">
        <f>'Kelas X'!D186</f>
        <v>0</v>
      </c>
      <c r="E194" s="16"/>
      <c r="F194" s="17"/>
      <c r="G194" s="16"/>
      <c r="H194" s="17"/>
      <c r="I194" s="16"/>
      <c r="J194" s="17"/>
      <c r="K194" s="16"/>
      <c r="L194" s="17"/>
      <c r="M194" s="16"/>
      <c r="N194" s="17"/>
      <c r="O194" s="16"/>
      <c r="P194" s="17"/>
      <c r="Q194" s="16"/>
      <c r="R194" s="17"/>
      <c r="S194" s="16"/>
      <c r="T194" s="17"/>
      <c r="U194" s="16"/>
      <c r="V194" s="17"/>
      <c r="W194" s="16"/>
      <c r="X194" s="17"/>
      <c r="Y194" s="16"/>
      <c r="Z194" s="17"/>
      <c r="AA194" s="16"/>
      <c r="AB194" s="17"/>
      <c r="AC194" s="16"/>
      <c r="AD194" s="17"/>
      <c r="AE194" s="16"/>
      <c r="AF194" s="17"/>
      <c r="AG194" s="16"/>
      <c r="AH194" s="17"/>
      <c r="AI194" s="16"/>
      <c r="AJ194" s="17"/>
      <c r="AK194" s="107"/>
    </row>
    <row r="195" spans="1:37" ht="16.5" customHeight="1" x14ac:dyDescent="0.2">
      <c r="A195" s="6"/>
      <c r="B195" s="135">
        <f t="shared" si="59"/>
        <v>35</v>
      </c>
      <c r="C195" s="135">
        <f>'Kelas X'!C187</f>
        <v>0</v>
      </c>
      <c r="D195" s="34">
        <f>'Kelas X'!D187</f>
        <v>0</v>
      </c>
      <c r="E195" s="16"/>
      <c r="F195" s="17"/>
      <c r="G195" s="16"/>
      <c r="H195" s="17"/>
      <c r="I195" s="16"/>
      <c r="J195" s="17"/>
      <c r="K195" s="16"/>
      <c r="L195" s="17"/>
      <c r="M195" s="16"/>
      <c r="N195" s="17"/>
      <c r="O195" s="16"/>
      <c r="P195" s="17"/>
      <c r="Q195" s="16"/>
      <c r="R195" s="17"/>
      <c r="S195" s="16"/>
      <c r="T195" s="17"/>
      <c r="U195" s="16"/>
      <c r="V195" s="17"/>
      <c r="W195" s="16"/>
      <c r="X195" s="17"/>
      <c r="Y195" s="16"/>
      <c r="Z195" s="17"/>
      <c r="AA195" s="16"/>
      <c r="AB195" s="17"/>
      <c r="AC195" s="16"/>
      <c r="AD195" s="17"/>
      <c r="AE195" s="16"/>
      <c r="AF195" s="17"/>
      <c r="AG195" s="16"/>
      <c r="AH195" s="17"/>
      <c r="AI195" s="16"/>
      <c r="AJ195" s="17"/>
      <c r="AK195" s="107"/>
    </row>
    <row r="196" spans="1:37" ht="16.5" customHeight="1" x14ac:dyDescent="0.2">
      <c r="A196" s="6"/>
      <c r="B196" s="135">
        <f t="shared" si="59"/>
        <v>36</v>
      </c>
      <c r="C196" s="135">
        <f>'Kelas X'!C188</f>
        <v>0</v>
      </c>
      <c r="D196" s="34">
        <f>'Kelas X'!D188</f>
        <v>0</v>
      </c>
      <c r="E196" s="16"/>
      <c r="F196" s="17"/>
      <c r="G196" s="16"/>
      <c r="H196" s="17"/>
      <c r="I196" s="16"/>
      <c r="J196" s="17"/>
      <c r="K196" s="16"/>
      <c r="L196" s="17"/>
      <c r="M196" s="16"/>
      <c r="N196" s="17"/>
      <c r="O196" s="16"/>
      <c r="P196" s="17"/>
      <c r="Q196" s="16"/>
      <c r="R196" s="17"/>
      <c r="S196" s="16"/>
      <c r="T196" s="17"/>
      <c r="U196" s="16"/>
      <c r="V196" s="17"/>
      <c r="W196" s="16"/>
      <c r="X196" s="17"/>
      <c r="Y196" s="16"/>
      <c r="Z196" s="17"/>
      <c r="AA196" s="16"/>
      <c r="AB196" s="17"/>
      <c r="AC196" s="16"/>
      <c r="AD196" s="17"/>
      <c r="AE196" s="16"/>
      <c r="AF196" s="17"/>
      <c r="AG196" s="16"/>
      <c r="AH196" s="17"/>
      <c r="AI196" s="16"/>
      <c r="AJ196" s="17"/>
      <c r="AK196" s="107"/>
    </row>
    <row r="197" spans="1:37" ht="16.5" customHeight="1" x14ac:dyDescent="0.2">
      <c r="A197" s="6"/>
      <c r="B197" s="135">
        <f t="shared" si="59"/>
        <v>37</v>
      </c>
      <c r="C197" s="135">
        <f>'Kelas X'!C189</f>
        <v>0</v>
      </c>
      <c r="D197" s="34">
        <f>'Kelas X'!D189</f>
        <v>0</v>
      </c>
      <c r="E197" s="16"/>
      <c r="F197" s="17"/>
      <c r="G197" s="16"/>
      <c r="H197" s="17"/>
      <c r="I197" s="16"/>
      <c r="J197" s="17"/>
      <c r="K197" s="16"/>
      <c r="L197" s="17"/>
      <c r="M197" s="16"/>
      <c r="N197" s="17"/>
      <c r="O197" s="16"/>
      <c r="P197" s="17"/>
      <c r="Q197" s="16"/>
      <c r="R197" s="17"/>
      <c r="S197" s="16"/>
      <c r="T197" s="17"/>
      <c r="U197" s="16"/>
      <c r="V197" s="17"/>
      <c r="W197" s="16"/>
      <c r="X197" s="17"/>
      <c r="Y197" s="16"/>
      <c r="Z197" s="17"/>
      <c r="AA197" s="16"/>
      <c r="AB197" s="17"/>
      <c r="AC197" s="16"/>
      <c r="AD197" s="17"/>
      <c r="AE197" s="16"/>
      <c r="AF197" s="17"/>
      <c r="AG197" s="16"/>
      <c r="AH197" s="17"/>
      <c r="AI197" s="16"/>
      <c r="AJ197" s="17"/>
      <c r="AK197" s="107"/>
    </row>
    <row r="198" spans="1:37" ht="16.5" customHeight="1" x14ac:dyDescent="0.2">
      <c r="A198" s="6"/>
      <c r="B198" s="135">
        <f t="shared" si="59"/>
        <v>38</v>
      </c>
      <c r="C198" s="135">
        <f>'Kelas X'!C190</f>
        <v>0</v>
      </c>
      <c r="D198" s="34">
        <f>'Kelas X'!D190</f>
        <v>0</v>
      </c>
      <c r="E198" s="16"/>
      <c r="F198" s="17"/>
      <c r="G198" s="16"/>
      <c r="H198" s="17"/>
      <c r="I198" s="16"/>
      <c r="J198" s="17"/>
      <c r="K198" s="16"/>
      <c r="L198" s="17"/>
      <c r="M198" s="16"/>
      <c r="N198" s="17"/>
      <c r="O198" s="16"/>
      <c r="P198" s="17"/>
      <c r="Q198" s="16"/>
      <c r="R198" s="17"/>
      <c r="S198" s="16"/>
      <c r="T198" s="17"/>
      <c r="U198" s="16"/>
      <c r="V198" s="17"/>
      <c r="W198" s="16"/>
      <c r="X198" s="17"/>
      <c r="Y198" s="16"/>
      <c r="Z198" s="17"/>
      <c r="AA198" s="16"/>
      <c r="AB198" s="17"/>
      <c r="AC198" s="16"/>
      <c r="AD198" s="17"/>
      <c r="AE198" s="16"/>
      <c r="AF198" s="17"/>
      <c r="AG198" s="16"/>
      <c r="AH198" s="17"/>
      <c r="AI198" s="16"/>
      <c r="AJ198" s="17"/>
      <c r="AK198" s="107"/>
    </row>
    <row r="199" spans="1:37" ht="16.5" customHeight="1" x14ac:dyDescent="0.2">
      <c r="A199" s="6"/>
      <c r="B199" s="135">
        <f t="shared" si="59"/>
        <v>39</v>
      </c>
      <c r="C199" s="135">
        <f>'Kelas X'!C191</f>
        <v>0</v>
      </c>
      <c r="D199" s="34">
        <f>'Kelas X'!D191</f>
        <v>0</v>
      </c>
      <c r="E199" s="16"/>
      <c r="F199" s="17"/>
      <c r="G199" s="16"/>
      <c r="H199" s="17"/>
      <c r="I199" s="16"/>
      <c r="J199" s="17"/>
      <c r="K199" s="16"/>
      <c r="L199" s="17"/>
      <c r="M199" s="16"/>
      <c r="N199" s="17"/>
      <c r="O199" s="16"/>
      <c r="P199" s="17"/>
      <c r="Q199" s="16"/>
      <c r="R199" s="17"/>
      <c r="S199" s="16"/>
      <c r="T199" s="17"/>
      <c r="U199" s="16"/>
      <c r="V199" s="17"/>
      <c r="W199" s="16"/>
      <c r="X199" s="17"/>
      <c r="Y199" s="16"/>
      <c r="Z199" s="17"/>
      <c r="AA199" s="16"/>
      <c r="AB199" s="17"/>
      <c r="AC199" s="16"/>
      <c r="AD199" s="17"/>
      <c r="AE199" s="16"/>
      <c r="AF199" s="17"/>
      <c r="AG199" s="16"/>
      <c r="AH199" s="17"/>
      <c r="AI199" s="16"/>
      <c r="AJ199" s="17"/>
      <c r="AK199" s="107"/>
    </row>
    <row r="200" spans="1:37" ht="16.5" customHeight="1" thickBot="1" x14ac:dyDescent="0.25">
      <c r="A200" s="6"/>
      <c r="B200" s="143">
        <f t="shared" si="59"/>
        <v>40</v>
      </c>
      <c r="C200" s="143"/>
      <c r="D200" s="147"/>
      <c r="E200" s="18"/>
      <c r="F200" s="19"/>
      <c r="G200" s="18"/>
      <c r="H200" s="19"/>
      <c r="I200" s="18"/>
      <c r="J200" s="19"/>
      <c r="K200" s="18"/>
      <c r="L200" s="19"/>
      <c r="M200" s="18"/>
      <c r="N200" s="19"/>
      <c r="O200" s="18"/>
      <c r="P200" s="19"/>
      <c r="Q200" s="18"/>
      <c r="R200" s="19"/>
      <c r="S200" s="18"/>
      <c r="T200" s="19"/>
      <c r="U200" s="18"/>
      <c r="V200" s="19"/>
      <c r="W200" s="18"/>
      <c r="X200" s="19"/>
      <c r="Y200" s="18"/>
      <c r="Z200" s="19"/>
      <c r="AA200" s="18"/>
      <c r="AB200" s="19"/>
      <c r="AC200" s="18"/>
      <c r="AD200" s="19"/>
      <c r="AE200" s="18"/>
      <c r="AF200" s="19"/>
      <c r="AG200" s="18"/>
      <c r="AH200" s="19"/>
      <c r="AI200" s="18"/>
      <c r="AJ200" s="19"/>
      <c r="AK200" s="107"/>
    </row>
    <row r="201" spans="1:37" ht="16.5" customHeight="1" x14ac:dyDescent="0.2">
      <c r="A201" s="6"/>
      <c r="B201" s="6"/>
      <c r="C201" s="20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149"/>
      <c r="AK201" s="6"/>
    </row>
    <row r="202" spans="1:37" ht="16.5" customHeight="1" thickBo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150"/>
      <c r="AK202" s="6"/>
    </row>
    <row r="203" spans="1:37" ht="16.5" customHeight="1" x14ac:dyDescent="0.2">
      <c r="A203" s="6"/>
      <c r="B203" s="279"/>
      <c r="C203" s="280"/>
      <c r="D203" s="283" t="s">
        <v>3</v>
      </c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84"/>
      <c r="AB203" s="284"/>
      <c r="AC203" s="284"/>
      <c r="AD203" s="284"/>
      <c r="AE203" s="284"/>
      <c r="AF203" s="284"/>
      <c r="AG203" s="284"/>
      <c r="AH203" s="284"/>
      <c r="AI203" s="284"/>
      <c r="AJ203" s="285"/>
      <c r="AK203" s="107"/>
    </row>
    <row r="204" spans="1:37" ht="16.5" customHeight="1" x14ac:dyDescent="0.2">
      <c r="A204" s="6"/>
      <c r="B204" s="281"/>
      <c r="C204" s="282"/>
      <c r="D204" s="286" t="s">
        <v>4</v>
      </c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287"/>
      <c r="AG204" s="287"/>
      <c r="AH204" s="287"/>
      <c r="AI204" s="287"/>
      <c r="AJ204" s="288"/>
      <c r="AK204" s="107"/>
    </row>
    <row r="205" spans="1:37" ht="16.5" customHeight="1" x14ac:dyDescent="0.2">
      <c r="A205" s="6"/>
      <c r="B205" s="281"/>
      <c r="C205" s="282"/>
      <c r="D205" s="286" t="s">
        <v>547</v>
      </c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87"/>
      <c r="AB205" s="287"/>
      <c r="AC205" s="287"/>
      <c r="AD205" s="287"/>
      <c r="AE205" s="287"/>
      <c r="AF205" s="287"/>
      <c r="AG205" s="287"/>
      <c r="AH205" s="287"/>
      <c r="AI205" s="287"/>
      <c r="AJ205" s="288"/>
      <c r="AK205" s="107"/>
    </row>
    <row r="206" spans="1:37" ht="16.5" customHeight="1" thickBot="1" x14ac:dyDescent="0.25">
      <c r="A206" s="6"/>
      <c r="B206" s="281"/>
      <c r="C206" s="282"/>
      <c r="D206" s="289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0"/>
      <c r="P206" s="290"/>
      <c r="Q206" s="290"/>
      <c r="R206" s="290"/>
      <c r="S206" s="290"/>
      <c r="T206" s="290"/>
      <c r="U206" s="290"/>
      <c r="V206" s="290"/>
      <c r="W206" s="290"/>
      <c r="X206" s="290"/>
      <c r="Y206" s="290"/>
      <c r="Z206" s="290"/>
      <c r="AA206" s="290"/>
      <c r="AB206" s="290"/>
      <c r="AC206" s="290"/>
      <c r="AD206" s="290"/>
      <c r="AE206" s="290"/>
      <c r="AF206" s="290"/>
      <c r="AG206" s="290"/>
      <c r="AH206" s="290"/>
      <c r="AI206" s="290"/>
      <c r="AJ206" s="291"/>
      <c r="AK206" s="107"/>
    </row>
    <row r="207" spans="1:37" ht="16.5" customHeight="1" thickBot="1" x14ac:dyDescent="0.25">
      <c r="A207" s="6"/>
      <c r="B207" s="292"/>
      <c r="C207" s="293"/>
      <c r="D207" s="9" t="s">
        <v>802</v>
      </c>
      <c r="E207" s="10" t="s">
        <v>11</v>
      </c>
      <c r="F207" s="10"/>
      <c r="G207" s="10"/>
      <c r="H207" s="10"/>
      <c r="I207" s="10"/>
      <c r="J207" s="149"/>
      <c r="K207" s="10"/>
      <c r="L207" s="10"/>
      <c r="M207" s="10"/>
      <c r="N207" s="10"/>
      <c r="O207" s="10"/>
      <c r="P207" s="10"/>
      <c r="Q207" s="10"/>
      <c r="R207" s="10"/>
      <c r="S207" s="10" t="s">
        <v>5</v>
      </c>
      <c r="T207" s="10"/>
      <c r="U207" s="10" t="s">
        <v>807</v>
      </c>
      <c r="V207" s="10"/>
      <c r="W207" s="10"/>
      <c r="X207" s="10"/>
      <c r="Y207" s="10"/>
      <c r="Z207" s="10"/>
      <c r="AA207" s="10"/>
      <c r="AB207" s="10"/>
      <c r="AC207" s="299"/>
      <c r="AD207" s="299"/>
      <c r="AE207" s="299"/>
      <c r="AF207" s="299"/>
      <c r="AG207" s="299"/>
      <c r="AH207" s="299"/>
      <c r="AI207" s="299"/>
      <c r="AJ207" s="300"/>
      <c r="AK207" s="107"/>
    </row>
    <row r="208" spans="1:37" ht="16.5" customHeight="1" thickBot="1" x14ac:dyDescent="0.25">
      <c r="A208" s="6"/>
      <c r="B208" s="294" t="s">
        <v>6</v>
      </c>
      <c r="C208" s="294"/>
      <c r="D208" s="295" t="s">
        <v>7</v>
      </c>
      <c r="E208" s="292" t="s">
        <v>519</v>
      </c>
      <c r="F208" s="298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  <c r="Q208" s="298"/>
      <c r="R208" s="298"/>
      <c r="S208" s="298"/>
      <c r="T208" s="298"/>
      <c r="U208" s="298"/>
      <c r="V208" s="298"/>
      <c r="W208" s="298"/>
      <c r="X208" s="298"/>
      <c r="Y208" s="298"/>
      <c r="Z208" s="298"/>
      <c r="AA208" s="298"/>
      <c r="AB208" s="298"/>
      <c r="AC208" s="298"/>
      <c r="AD208" s="298"/>
      <c r="AE208" s="298"/>
      <c r="AF208" s="298"/>
      <c r="AG208" s="298"/>
      <c r="AH208" s="298"/>
      <c r="AI208" s="298"/>
      <c r="AJ208" s="293"/>
      <c r="AK208" s="107"/>
    </row>
    <row r="209" spans="1:37" ht="16.5" customHeight="1" thickBot="1" x14ac:dyDescent="0.25">
      <c r="A209" s="6"/>
      <c r="B209" s="295" t="s">
        <v>8</v>
      </c>
      <c r="C209" s="295" t="s">
        <v>9</v>
      </c>
      <c r="D209" s="296"/>
      <c r="E209" s="292">
        <f>E8</f>
        <v>17</v>
      </c>
      <c r="F209" s="298"/>
      <c r="G209" s="292">
        <f>E209+1</f>
        <v>18</v>
      </c>
      <c r="H209" s="298"/>
      <c r="I209" s="292">
        <f t="shared" ref="I209" si="60">G209+1</f>
        <v>19</v>
      </c>
      <c r="J209" s="298"/>
      <c r="K209" s="292">
        <f t="shared" ref="K209" si="61">I209+1</f>
        <v>20</v>
      </c>
      <c r="L209" s="298"/>
      <c r="M209" s="292">
        <f t="shared" ref="M209" si="62">K209+1</f>
        <v>21</v>
      </c>
      <c r="N209" s="298"/>
      <c r="O209" s="292">
        <f t="shared" ref="O209" si="63">M209+1</f>
        <v>22</v>
      </c>
      <c r="P209" s="298"/>
      <c r="Q209" s="292">
        <f t="shared" ref="Q209" si="64">O209+1</f>
        <v>23</v>
      </c>
      <c r="R209" s="298"/>
      <c r="S209" s="292">
        <f t="shared" ref="S209" si="65">Q209+1</f>
        <v>24</v>
      </c>
      <c r="T209" s="298"/>
      <c r="U209" s="292">
        <f t="shared" ref="U209" si="66">S209+1</f>
        <v>25</v>
      </c>
      <c r="V209" s="298"/>
      <c r="W209" s="292">
        <f t="shared" ref="W209" si="67">U209+1</f>
        <v>26</v>
      </c>
      <c r="X209" s="298"/>
      <c r="Y209" s="292">
        <f t="shared" ref="Y209" si="68">W209+1</f>
        <v>27</v>
      </c>
      <c r="Z209" s="298"/>
      <c r="AA209" s="292">
        <f t="shared" ref="AA209" si="69">Y209+1</f>
        <v>28</v>
      </c>
      <c r="AB209" s="298"/>
      <c r="AC209" s="292">
        <f t="shared" ref="AC209" si="70">AA209+1</f>
        <v>29</v>
      </c>
      <c r="AD209" s="298"/>
      <c r="AE209" s="292">
        <f t="shared" ref="AE209" si="71">AC209+1</f>
        <v>30</v>
      </c>
      <c r="AF209" s="298"/>
      <c r="AG209" s="292">
        <f t="shared" ref="AG209" si="72">AE209+1</f>
        <v>31</v>
      </c>
      <c r="AH209" s="298"/>
      <c r="AI209" s="292">
        <f t="shared" ref="AI209" si="73">AG209+1</f>
        <v>32</v>
      </c>
      <c r="AJ209" s="298"/>
      <c r="AK209" s="107"/>
    </row>
    <row r="210" spans="1:37" ht="21.75" customHeight="1" thickBot="1" x14ac:dyDescent="0.25">
      <c r="A210" s="6"/>
      <c r="B210" s="297"/>
      <c r="C210" s="297"/>
      <c r="D210" s="297"/>
      <c r="E210" s="108" t="s">
        <v>13</v>
      </c>
      <c r="F210" s="108" t="s">
        <v>14</v>
      </c>
      <c r="G210" s="108" t="s">
        <v>13</v>
      </c>
      <c r="H210" s="108" t="s">
        <v>14</v>
      </c>
      <c r="I210" s="108" t="s">
        <v>13</v>
      </c>
      <c r="J210" s="108" t="s">
        <v>14</v>
      </c>
      <c r="K210" s="108" t="s">
        <v>13</v>
      </c>
      <c r="L210" s="108" t="s">
        <v>14</v>
      </c>
      <c r="M210" s="108" t="s">
        <v>13</v>
      </c>
      <c r="N210" s="108" t="s">
        <v>14</v>
      </c>
      <c r="O210" s="108" t="s">
        <v>13</v>
      </c>
      <c r="P210" s="108" t="s">
        <v>14</v>
      </c>
      <c r="Q210" s="108" t="s">
        <v>13</v>
      </c>
      <c r="R210" s="108" t="s">
        <v>14</v>
      </c>
      <c r="S210" s="108" t="s">
        <v>13</v>
      </c>
      <c r="T210" s="108" t="s">
        <v>14</v>
      </c>
      <c r="U210" s="108" t="s">
        <v>13</v>
      </c>
      <c r="V210" s="108" t="s">
        <v>14</v>
      </c>
      <c r="W210" s="108" t="s">
        <v>13</v>
      </c>
      <c r="X210" s="108" t="s">
        <v>14</v>
      </c>
      <c r="Y210" s="108" t="s">
        <v>13</v>
      </c>
      <c r="Z210" s="108" t="s">
        <v>14</v>
      </c>
      <c r="AA210" s="108" t="s">
        <v>13</v>
      </c>
      <c r="AB210" s="108" t="s">
        <v>14</v>
      </c>
      <c r="AC210" s="108" t="s">
        <v>13</v>
      </c>
      <c r="AD210" s="108" t="s">
        <v>14</v>
      </c>
      <c r="AE210" s="108" t="s">
        <v>13</v>
      </c>
      <c r="AF210" s="108" t="s">
        <v>14</v>
      </c>
      <c r="AG210" s="108" t="s">
        <v>13</v>
      </c>
      <c r="AH210" s="108" t="s">
        <v>14</v>
      </c>
      <c r="AI210" s="108" t="s">
        <v>13</v>
      </c>
      <c r="AJ210" s="108" t="s">
        <v>14</v>
      </c>
      <c r="AK210" s="107"/>
    </row>
    <row r="211" spans="1:37" ht="16.5" customHeight="1" x14ac:dyDescent="0.2">
      <c r="A211" s="6"/>
      <c r="B211" s="21">
        <v>1</v>
      </c>
      <c r="C211" s="22">
        <f>'Kelas X'!C201</f>
        <v>16487</v>
      </c>
      <c r="D211" s="117" t="str">
        <f>'Kelas X'!D201</f>
        <v>AGATHA HASYA AQILAH</v>
      </c>
      <c r="E211" s="12"/>
      <c r="F211" s="13"/>
      <c r="G211" s="12"/>
      <c r="H211" s="13"/>
      <c r="I211" s="12"/>
      <c r="J211" s="13"/>
      <c r="K211" s="12"/>
      <c r="L211" s="13"/>
      <c r="M211" s="12"/>
      <c r="N211" s="13"/>
      <c r="O211" s="12"/>
      <c r="P211" s="13"/>
      <c r="Q211" s="12"/>
      <c r="R211" s="13"/>
      <c r="S211" s="12"/>
      <c r="T211" s="13"/>
      <c r="U211" s="12"/>
      <c r="V211" s="13"/>
      <c r="W211" s="12"/>
      <c r="X211" s="13"/>
      <c r="Y211" s="12"/>
      <c r="Z211" s="13"/>
      <c r="AA211" s="12"/>
      <c r="AB211" s="13"/>
      <c r="AC211" s="12"/>
      <c r="AD211" s="13"/>
      <c r="AE211" s="12"/>
      <c r="AF211" s="13"/>
      <c r="AG211" s="12"/>
      <c r="AH211" s="13"/>
      <c r="AI211" s="12"/>
      <c r="AJ211" s="13"/>
      <c r="AK211" s="107"/>
    </row>
    <row r="212" spans="1:37" ht="16.5" customHeight="1" x14ac:dyDescent="0.2">
      <c r="A212" s="6"/>
      <c r="B212" s="135">
        <f t="shared" ref="B212:B250" si="74">B211+1</f>
        <v>2</v>
      </c>
      <c r="C212" s="135">
        <f>'Kelas X'!C202</f>
        <v>16488</v>
      </c>
      <c r="D212" s="117" t="str">
        <f>'Kelas X'!D202</f>
        <v>AISYA LIYANA ZAHIRA</v>
      </c>
      <c r="E212" s="14"/>
      <c r="F212" s="15"/>
      <c r="G212" s="14"/>
      <c r="H212" s="15"/>
      <c r="I212" s="14"/>
      <c r="J212" s="15"/>
      <c r="K212" s="14"/>
      <c r="L212" s="15"/>
      <c r="M212" s="14"/>
      <c r="N212" s="15"/>
      <c r="O212" s="14"/>
      <c r="P212" s="15"/>
      <c r="Q212" s="14"/>
      <c r="R212" s="15"/>
      <c r="S212" s="14"/>
      <c r="T212" s="15"/>
      <c r="U212" s="14"/>
      <c r="V212" s="15"/>
      <c r="W212" s="14"/>
      <c r="X212" s="15"/>
      <c r="Y212" s="14"/>
      <c r="Z212" s="15"/>
      <c r="AA212" s="14"/>
      <c r="AB212" s="15"/>
      <c r="AC212" s="14"/>
      <c r="AD212" s="15"/>
      <c r="AE212" s="14"/>
      <c r="AF212" s="15"/>
      <c r="AG212" s="14"/>
      <c r="AH212" s="15"/>
      <c r="AI212" s="14"/>
      <c r="AJ212" s="15"/>
      <c r="AK212" s="107"/>
    </row>
    <row r="213" spans="1:37" ht="16.5" customHeight="1" x14ac:dyDescent="0.2">
      <c r="A213" s="6"/>
      <c r="B213" s="135">
        <f t="shared" si="74"/>
        <v>3</v>
      </c>
      <c r="C213" s="135">
        <f>'Kelas X'!C203</f>
        <v>16489</v>
      </c>
      <c r="D213" s="117" t="str">
        <f>'Kelas X'!D203</f>
        <v>ANIS MUTHOHAROH</v>
      </c>
      <c r="E213" s="14"/>
      <c r="F213" s="15"/>
      <c r="G213" s="14"/>
      <c r="H213" s="15"/>
      <c r="I213" s="14"/>
      <c r="J213" s="15"/>
      <c r="K213" s="14"/>
      <c r="L213" s="15"/>
      <c r="M213" s="14"/>
      <c r="N213" s="15"/>
      <c r="O213" s="14"/>
      <c r="P213" s="15"/>
      <c r="Q213" s="14"/>
      <c r="R213" s="15"/>
      <c r="S213" s="14"/>
      <c r="T213" s="15"/>
      <c r="U213" s="14"/>
      <c r="V213" s="15"/>
      <c r="W213" s="14"/>
      <c r="X213" s="15"/>
      <c r="Y213" s="14"/>
      <c r="Z213" s="15"/>
      <c r="AA213" s="14"/>
      <c r="AB213" s="15"/>
      <c r="AC213" s="14"/>
      <c r="AD213" s="15"/>
      <c r="AE213" s="14"/>
      <c r="AF213" s="15"/>
      <c r="AG213" s="14"/>
      <c r="AH213" s="15"/>
      <c r="AI213" s="14"/>
      <c r="AJ213" s="15"/>
      <c r="AK213" s="107"/>
    </row>
    <row r="214" spans="1:37" ht="16.5" customHeight="1" x14ac:dyDescent="0.2">
      <c r="A214" s="6"/>
      <c r="B214" s="135">
        <f t="shared" si="74"/>
        <v>4</v>
      </c>
      <c r="C214" s="135">
        <f>'Kelas X'!C204</f>
        <v>16490</v>
      </c>
      <c r="D214" s="117" t="str">
        <f>'Kelas X'!D204</f>
        <v>ASHIFATUL ULYA</v>
      </c>
      <c r="E214" s="14"/>
      <c r="F214" s="15"/>
      <c r="G214" s="14"/>
      <c r="H214" s="15"/>
      <c r="I214" s="14"/>
      <c r="J214" s="15"/>
      <c r="K214" s="14"/>
      <c r="L214" s="15"/>
      <c r="M214" s="14"/>
      <c r="N214" s="15"/>
      <c r="O214" s="14"/>
      <c r="P214" s="15"/>
      <c r="Q214" s="14"/>
      <c r="R214" s="15"/>
      <c r="S214" s="14"/>
      <c r="T214" s="15"/>
      <c r="U214" s="14"/>
      <c r="V214" s="15"/>
      <c r="W214" s="14"/>
      <c r="X214" s="15"/>
      <c r="Y214" s="14"/>
      <c r="Z214" s="15"/>
      <c r="AA214" s="14"/>
      <c r="AB214" s="15"/>
      <c r="AC214" s="14"/>
      <c r="AD214" s="15"/>
      <c r="AE214" s="14"/>
      <c r="AF214" s="15"/>
      <c r="AG214" s="14"/>
      <c r="AH214" s="15"/>
      <c r="AI214" s="14"/>
      <c r="AJ214" s="15"/>
      <c r="AK214" s="107"/>
    </row>
    <row r="215" spans="1:37" ht="16.5" customHeight="1" x14ac:dyDescent="0.2">
      <c r="A215" s="6"/>
      <c r="B215" s="135">
        <f t="shared" si="74"/>
        <v>5</v>
      </c>
      <c r="C215" s="135">
        <f>'Kelas X'!C205</f>
        <v>16491</v>
      </c>
      <c r="D215" s="117" t="str">
        <f>'Kelas X'!D205</f>
        <v>AWALIAH NUR FATONAH HERMAWAN RUMONIN</v>
      </c>
      <c r="E215" s="14"/>
      <c r="F215" s="15"/>
      <c r="G215" s="14"/>
      <c r="H215" s="15"/>
      <c r="I215" s="14"/>
      <c r="J215" s="15"/>
      <c r="K215" s="14"/>
      <c r="L215" s="15"/>
      <c r="M215" s="14"/>
      <c r="N215" s="15"/>
      <c r="O215" s="14"/>
      <c r="P215" s="15"/>
      <c r="Q215" s="14"/>
      <c r="R215" s="15"/>
      <c r="S215" s="14"/>
      <c r="T215" s="15"/>
      <c r="U215" s="14"/>
      <c r="V215" s="15"/>
      <c r="W215" s="14"/>
      <c r="X215" s="15"/>
      <c r="Y215" s="14"/>
      <c r="Z215" s="15"/>
      <c r="AA215" s="14"/>
      <c r="AB215" s="15"/>
      <c r="AC215" s="14"/>
      <c r="AD215" s="15"/>
      <c r="AE215" s="14"/>
      <c r="AF215" s="15"/>
      <c r="AG215" s="14"/>
      <c r="AH215" s="15"/>
      <c r="AI215" s="14"/>
      <c r="AJ215" s="15"/>
      <c r="AK215" s="107"/>
    </row>
    <row r="216" spans="1:37" ht="16.5" customHeight="1" x14ac:dyDescent="0.2">
      <c r="A216" s="6"/>
      <c r="B216" s="135">
        <f t="shared" si="74"/>
        <v>6</v>
      </c>
      <c r="C216" s="135">
        <f>'Kelas X'!C206</f>
        <v>16492</v>
      </c>
      <c r="D216" s="117" t="str">
        <f>'Kelas X'!D206</f>
        <v>AZARIA ASIFANA</v>
      </c>
      <c r="E216" s="14"/>
      <c r="F216" s="15"/>
      <c r="G216" s="14"/>
      <c r="H216" s="15"/>
      <c r="I216" s="14"/>
      <c r="J216" s="15"/>
      <c r="K216" s="14"/>
      <c r="L216" s="15"/>
      <c r="M216" s="14"/>
      <c r="N216" s="15"/>
      <c r="O216" s="14"/>
      <c r="P216" s="15"/>
      <c r="Q216" s="14"/>
      <c r="R216" s="15"/>
      <c r="S216" s="14"/>
      <c r="T216" s="15"/>
      <c r="U216" s="14"/>
      <c r="V216" s="15"/>
      <c r="W216" s="14"/>
      <c r="X216" s="15"/>
      <c r="Y216" s="14"/>
      <c r="Z216" s="15"/>
      <c r="AA216" s="14"/>
      <c r="AB216" s="15"/>
      <c r="AC216" s="14"/>
      <c r="AD216" s="15"/>
      <c r="AE216" s="14"/>
      <c r="AF216" s="15"/>
      <c r="AG216" s="14"/>
      <c r="AH216" s="15"/>
      <c r="AI216" s="14"/>
      <c r="AJ216" s="15"/>
      <c r="AK216" s="107"/>
    </row>
    <row r="217" spans="1:37" ht="16.5" customHeight="1" x14ac:dyDescent="0.2">
      <c r="A217" s="6"/>
      <c r="B217" s="135">
        <f t="shared" si="74"/>
        <v>7</v>
      </c>
      <c r="C217" s="135">
        <f>'Kelas X'!C207</f>
        <v>16493</v>
      </c>
      <c r="D217" s="117" t="str">
        <f>'Kelas X'!D207</f>
        <v>BALQIS RATU KAMILA</v>
      </c>
      <c r="E217" s="14"/>
      <c r="F217" s="15"/>
      <c r="G217" s="14"/>
      <c r="H217" s="15"/>
      <c r="I217" s="14"/>
      <c r="J217" s="15"/>
      <c r="K217" s="14"/>
      <c r="L217" s="15"/>
      <c r="M217" s="14"/>
      <c r="N217" s="15"/>
      <c r="O217" s="14"/>
      <c r="P217" s="15"/>
      <c r="Q217" s="14"/>
      <c r="R217" s="15"/>
      <c r="S217" s="14"/>
      <c r="T217" s="15"/>
      <c r="U217" s="14"/>
      <c r="V217" s="15"/>
      <c r="W217" s="14"/>
      <c r="X217" s="15"/>
      <c r="Y217" s="14"/>
      <c r="Z217" s="15"/>
      <c r="AA217" s="14"/>
      <c r="AB217" s="15"/>
      <c r="AC217" s="14"/>
      <c r="AD217" s="15"/>
      <c r="AE217" s="14"/>
      <c r="AF217" s="15"/>
      <c r="AG217" s="14"/>
      <c r="AH217" s="15"/>
      <c r="AI217" s="14"/>
      <c r="AJ217" s="15"/>
      <c r="AK217" s="107"/>
    </row>
    <row r="218" spans="1:37" ht="16.5" customHeight="1" x14ac:dyDescent="0.2">
      <c r="A218" s="6"/>
      <c r="B218" s="135">
        <f t="shared" si="74"/>
        <v>8</v>
      </c>
      <c r="C218" s="135">
        <f>'Kelas X'!C208</f>
        <v>16494</v>
      </c>
      <c r="D218" s="117" t="str">
        <f>'Kelas X'!D208</f>
        <v>DEQUEENZA ADENIN AL IBRIZA</v>
      </c>
      <c r="E218" s="14"/>
      <c r="F218" s="15"/>
      <c r="G218" s="14"/>
      <c r="H218" s="15"/>
      <c r="I218" s="14"/>
      <c r="J218" s="15"/>
      <c r="K218" s="14"/>
      <c r="L218" s="15"/>
      <c r="M218" s="14"/>
      <c r="N218" s="15"/>
      <c r="O218" s="14"/>
      <c r="P218" s="15"/>
      <c r="Q218" s="14"/>
      <c r="R218" s="15"/>
      <c r="S218" s="14"/>
      <c r="T218" s="15"/>
      <c r="U218" s="14"/>
      <c r="V218" s="15"/>
      <c r="W218" s="14"/>
      <c r="X218" s="15"/>
      <c r="Y218" s="14"/>
      <c r="Z218" s="15"/>
      <c r="AA218" s="14"/>
      <c r="AB218" s="15"/>
      <c r="AC218" s="14"/>
      <c r="AD218" s="15"/>
      <c r="AE218" s="14"/>
      <c r="AF218" s="15"/>
      <c r="AG218" s="14"/>
      <c r="AH218" s="15"/>
      <c r="AI218" s="14"/>
      <c r="AJ218" s="15"/>
      <c r="AK218" s="107"/>
    </row>
    <row r="219" spans="1:37" ht="16.5" customHeight="1" x14ac:dyDescent="0.2">
      <c r="A219" s="6"/>
      <c r="B219" s="135">
        <f t="shared" si="74"/>
        <v>9</v>
      </c>
      <c r="C219" s="135">
        <f>'Kelas X'!C209</f>
        <v>16495</v>
      </c>
      <c r="D219" s="117" t="str">
        <f>'Kelas X'!D209</f>
        <v>DZULVIA BUDI RAISYA</v>
      </c>
      <c r="E219" s="14"/>
      <c r="F219" s="15"/>
      <c r="G219" s="14"/>
      <c r="H219" s="15"/>
      <c r="I219" s="14"/>
      <c r="J219" s="15"/>
      <c r="K219" s="14"/>
      <c r="L219" s="15"/>
      <c r="M219" s="14"/>
      <c r="N219" s="15"/>
      <c r="O219" s="14"/>
      <c r="P219" s="15"/>
      <c r="Q219" s="14"/>
      <c r="R219" s="15"/>
      <c r="S219" s="14"/>
      <c r="T219" s="15"/>
      <c r="U219" s="14"/>
      <c r="V219" s="15"/>
      <c r="W219" s="14"/>
      <c r="X219" s="15"/>
      <c r="Y219" s="14"/>
      <c r="Z219" s="15"/>
      <c r="AA219" s="14"/>
      <c r="AB219" s="15"/>
      <c r="AC219" s="14"/>
      <c r="AD219" s="15"/>
      <c r="AE219" s="14"/>
      <c r="AF219" s="15"/>
      <c r="AG219" s="14"/>
      <c r="AH219" s="15"/>
      <c r="AI219" s="14"/>
      <c r="AJ219" s="15"/>
      <c r="AK219" s="107"/>
    </row>
    <row r="220" spans="1:37" ht="16.5" customHeight="1" x14ac:dyDescent="0.2">
      <c r="A220" s="6"/>
      <c r="B220" s="135">
        <f t="shared" si="74"/>
        <v>10</v>
      </c>
      <c r="C220" s="135">
        <f>'Kelas X'!C210</f>
        <v>16496</v>
      </c>
      <c r="D220" s="117" t="str">
        <f>'Kelas X'!D210</f>
        <v>ELEN ZARAVIA</v>
      </c>
      <c r="E220" s="14"/>
      <c r="F220" s="15"/>
      <c r="G220" s="14"/>
      <c r="H220" s="15"/>
      <c r="I220" s="14"/>
      <c r="J220" s="15"/>
      <c r="K220" s="14"/>
      <c r="L220" s="15"/>
      <c r="M220" s="14"/>
      <c r="N220" s="15"/>
      <c r="O220" s="14"/>
      <c r="P220" s="15"/>
      <c r="Q220" s="14"/>
      <c r="R220" s="15"/>
      <c r="S220" s="14"/>
      <c r="T220" s="15"/>
      <c r="U220" s="14"/>
      <c r="V220" s="15"/>
      <c r="W220" s="14"/>
      <c r="X220" s="15"/>
      <c r="Y220" s="14"/>
      <c r="Z220" s="15"/>
      <c r="AA220" s="14"/>
      <c r="AB220" s="15"/>
      <c r="AC220" s="14"/>
      <c r="AD220" s="15"/>
      <c r="AE220" s="14"/>
      <c r="AF220" s="15"/>
      <c r="AG220" s="14"/>
      <c r="AH220" s="15"/>
      <c r="AI220" s="14"/>
      <c r="AJ220" s="15"/>
      <c r="AK220" s="107"/>
    </row>
    <row r="221" spans="1:37" ht="16.5" customHeight="1" x14ac:dyDescent="0.2">
      <c r="A221" s="6"/>
      <c r="B221" s="135">
        <f t="shared" si="74"/>
        <v>11</v>
      </c>
      <c r="C221" s="135">
        <f>'Kelas X'!C211</f>
        <v>16497</v>
      </c>
      <c r="D221" s="117" t="str">
        <f>'Kelas X'!D211</f>
        <v>FAKHRIYAH AISYAH SAYYIDAH</v>
      </c>
      <c r="E221" s="14"/>
      <c r="F221" s="15"/>
      <c r="G221" s="14"/>
      <c r="H221" s="15"/>
      <c r="I221" s="14"/>
      <c r="J221" s="15"/>
      <c r="K221" s="14"/>
      <c r="L221" s="15"/>
      <c r="M221" s="14"/>
      <c r="N221" s="15"/>
      <c r="O221" s="14"/>
      <c r="P221" s="15"/>
      <c r="Q221" s="14"/>
      <c r="R221" s="15"/>
      <c r="S221" s="14"/>
      <c r="T221" s="15"/>
      <c r="U221" s="14"/>
      <c r="V221" s="15"/>
      <c r="W221" s="14"/>
      <c r="X221" s="15"/>
      <c r="Y221" s="14"/>
      <c r="Z221" s="15"/>
      <c r="AA221" s="14"/>
      <c r="AB221" s="15"/>
      <c r="AC221" s="14"/>
      <c r="AD221" s="15"/>
      <c r="AE221" s="14"/>
      <c r="AF221" s="15"/>
      <c r="AG221" s="14"/>
      <c r="AH221" s="15"/>
      <c r="AI221" s="14"/>
      <c r="AJ221" s="15"/>
      <c r="AK221" s="107"/>
    </row>
    <row r="222" spans="1:37" ht="16.5" customHeight="1" x14ac:dyDescent="0.2">
      <c r="A222" s="6"/>
      <c r="B222" s="135">
        <f t="shared" si="74"/>
        <v>12</v>
      </c>
      <c r="C222" s="135">
        <f>'Kelas X'!C212</f>
        <v>16498</v>
      </c>
      <c r="D222" s="117" t="str">
        <f>'Kelas X'!D212</f>
        <v>FANINA RIKZA KAMILA GANI</v>
      </c>
      <c r="E222" s="14"/>
      <c r="F222" s="15"/>
      <c r="G222" s="14"/>
      <c r="H222" s="15"/>
      <c r="I222" s="14"/>
      <c r="J222" s="15"/>
      <c r="K222" s="14"/>
      <c r="L222" s="15"/>
      <c r="M222" s="14"/>
      <c r="N222" s="15"/>
      <c r="O222" s="14"/>
      <c r="P222" s="15"/>
      <c r="Q222" s="14"/>
      <c r="R222" s="15"/>
      <c r="S222" s="14"/>
      <c r="T222" s="15"/>
      <c r="U222" s="14"/>
      <c r="V222" s="15"/>
      <c r="W222" s="14"/>
      <c r="X222" s="15"/>
      <c r="Y222" s="14"/>
      <c r="Z222" s="15"/>
      <c r="AA222" s="14"/>
      <c r="AB222" s="15"/>
      <c r="AC222" s="14"/>
      <c r="AD222" s="15"/>
      <c r="AE222" s="14"/>
      <c r="AF222" s="15"/>
      <c r="AG222" s="14"/>
      <c r="AH222" s="15"/>
      <c r="AI222" s="14"/>
      <c r="AJ222" s="15"/>
      <c r="AK222" s="107"/>
    </row>
    <row r="223" spans="1:37" ht="16.5" customHeight="1" x14ac:dyDescent="0.2">
      <c r="A223" s="6"/>
      <c r="B223" s="135">
        <f t="shared" si="74"/>
        <v>13</v>
      </c>
      <c r="C223" s="135">
        <f>'Kelas X'!C213</f>
        <v>16499</v>
      </c>
      <c r="D223" s="117" t="str">
        <f>'Kelas X'!D213</f>
        <v>FEBRIANI SOLIHATUN NISA'</v>
      </c>
      <c r="E223" s="14"/>
      <c r="F223" s="15"/>
      <c r="G223" s="14"/>
      <c r="H223" s="15"/>
      <c r="I223" s="14"/>
      <c r="J223" s="15"/>
      <c r="K223" s="14"/>
      <c r="L223" s="15"/>
      <c r="M223" s="14"/>
      <c r="N223" s="15"/>
      <c r="O223" s="14"/>
      <c r="P223" s="15"/>
      <c r="Q223" s="14"/>
      <c r="R223" s="15"/>
      <c r="S223" s="14"/>
      <c r="T223" s="15"/>
      <c r="U223" s="14"/>
      <c r="V223" s="15"/>
      <c r="W223" s="14"/>
      <c r="X223" s="15"/>
      <c r="Y223" s="14"/>
      <c r="Z223" s="15"/>
      <c r="AA223" s="14"/>
      <c r="AB223" s="15"/>
      <c r="AC223" s="14"/>
      <c r="AD223" s="15"/>
      <c r="AE223" s="14"/>
      <c r="AF223" s="15"/>
      <c r="AG223" s="14"/>
      <c r="AH223" s="15"/>
      <c r="AI223" s="14"/>
      <c r="AJ223" s="15"/>
      <c r="AK223" s="107"/>
    </row>
    <row r="224" spans="1:37" ht="16.5" customHeight="1" x14ac:dyDescent="0.2">
      <c r="A224" s="6"/>
      <c r="B224" s="135">
        <f t="shared" si="74"/>
        <v>14</v>
      </c>
      <c r="C224" s="135">
        <f>'Kelas X'!C214</f>
        <v>16500</v>
      </c>
      <c r="D224" s="117" t="str">
        <f>'Kelas X'!D214</f>
        <v>FRIZKA ADELINA PUTRI</v>
      </c>
      <c r="E224" s="14"/>
      <c r="F224" s="15"/>
      <c r="G224" s="14"/>
      <c r="H224" s="15"/>
      <c r="I224" s="14"/>
      <c r="J224" s="15"/>
      <c r="K224" s="14"/>
      <c r="L224" s="15"/>
      <c r="M224" s="14"/>
      <c r="N224" s="15"/>
      <c r="O224" s="14"/>
      <c r="P224" s="15"/>
      <c r="Q224" s="14"/>
      <c r="R224" s="15"/>
      <c r="S224" s="14"/>
      <c r="T224" s="15"/>
      <c r="U224" s="14"/>
      <c r="V224" s="15"/>
      <c r="W224" s="14"/>
      <c r="X224" s="15"/>
      <c r="Y224" s="14"/>
      <c r="Z224" s="15"/>
      <c r="AA224" s="14"/>
      <c r="AB224" s="15"/>
      <c r="AC224" s="14"/>
      <c r="AD224" s="15"/>
      <c r="AE224" s="14"/>
      <c r="AF224" s="15"/>
      <c r="AG224" s="14"/>
      <c r="AH224" s="15"/>
      <c r="AI224" s="14"/>
      <c r="AJ224" s="15"/>
      <c r="AK224" s="107"/>
    </row>
    <row r="225" spans="1:37" ht="16.5" customHeight="1" x14ac:dyDescent="0.2">
      <c r="A225" s="6"/>
      <c r="B225" s="135">
        <f t="shared" si="74"/>
        <v>15</v>
      </c>
      <c r="C225" s="135">
        <f>'Kelas X'!C215</f>
        <v>16501</v>
      </c>
      <c r="D225" s="117" t="str">
        <f>'Kelas X'!D215</f>
        <v>HUSNUL KHOTIMAH</v>
      </c>
      <c r="E225" s="14"/>
      <c r="F225" s="15"/>
      <c r="G225" s="14"/>
      <c r="H225" s="15"/>
      <c r="I225" s="14"/>
      <c r="J225" s="15"/>
      <c r="K225" s="14"/>
      <c r="L225" s="15"/>
      <c r="M225" s="14"/>
      <c r="N225" s="15"/>
      <c r="O225" s="14"/>
      <c r="P225" s="15"/>
      <c r="Q225" s="14"/>
      <c r="R225" s="15"/>
      <c r="S225" s="14"/>
      <c r="T225" s="15"/>
      <c r="U225" s="14"/>
      <c r="V225" s="15"/>
      <c r="W225" s="14"/>
      <c r="X225" s="15"/>
      <c r="Y225" s="14"/>
      <c r="Z225" s="15"/>
      <c r="AA225" s="14"/>
      <c r="AB225" s="15"/>
      <c r="AC225" s="14"/>
      <c r="AD225" s="15"/>
      <c r="AE225" s="14"/>
      <c r="AF225" s="15"/>
      <c r="AG225" s="14"/>
      <c r="AH225" s="15"/>
      <c r="AI225" s="14"/>
      <c r="AJ225" s="15"/>
      <c r="AK225" s="107"/>
    </row>
    <row r="226" spans="1:37" ht="16.5" customHeight="1" x14ac:dyDescent="0.2">
      <c r="A226" s="6"/>
      <c r="B226" s="135">
        <f t="shared" si="74"/>
        <v>16</v>
      </c>
      <c r="C226" s="135">
        <f>'Kelas X'!C216</f>
        <v>16502</v>
      </c>
      <c r="D226" s="117" t="str">
        <f>'Kelas X'!D216</f>
        <v>INDAH ARMA MAYANG SARI</v>
      </c>
      <c r="E226" s="14"/>
      <c r="F226" s="15"/>
      <c r="G226" s="14"/>
      <c r="H226" s="15"/>
      <c r="I226" s="14"/>
      <c r="J226" s="15"/>
      <c r="K226" s="14"/>
      <c r="L226" s="15"/>
      <c r="M226" s="14"/>
      <c r="N226" s="15"/>
      <c r="O226" s="14"/>
      <c r="P226" s="15"/>
      <c r="Q226" s="14"/>
      <c r="R226" s="15"/>
      <c r="S226" s="14"/>
      <c r="T226" s="15"/>
      <c r="U226" s="14"/>
      <c r="V226" s="15"/>
      <c r="W226" s="14"/>
      <c r="X226" s="15"/>
      <c r="Y226" s="14"/>
      <c r="Z226" s="15"/>
      <c r="AA226" s="14"/>
      <c r="AB226" s="15"/>
      <c r="AC226" s="14"/>
      <c r="AD226" s="15"/>
      <c r="AE226" s="14"/>
      <c r="AF226" s="15"/>
      <c r="AG226" s="14"/>
      <c r="AH226" s="15"/>
      <c r="AI226" s="14"/>
      <c r="AJ226" s="15"/>
      <c r="AK226" s="107"/>
    </row>
    <row r="227" spans="1:37" ht="16.5" customHeight="1" x14ac:dyDescent="0.2">
      <c r="A227" s="6"/>
      <c r="B227" s="135">
        <f t="shared" si="74"/>
        <v>17</v>
      </c>
      <c r="C227" s="135">
        <f>'Kelas X'!C217</f>
        <v>16503</v>
      </c>
      <c r="D227" s="117" t="str">
        <f>'Kelas X'!D217</f>
        <v>INGGAR SAFIRA AZZAHRA</v>
      </c>
      <c r="E227" s="14"/>
      <c r="F227" s="15"/>
      <c r="G227" s="14"/>
      <c r="H227" s="15"/>
      <c r="I227" s="14"/>
      <c r="J227" s="15"/>
      <c r="K227" s="14"/>
      <c r="L227" s="15"/>
      <c r="M227" s="14"/>
      <c r="N227" s="15"/>
      <c r="O227" s="14"/>
      <c r="P227" s="15"/>
      <c r="Q227" s="14"/>
      <c r="R227" s="15"/>
      <c r="S227" s="14"/>
      <c r="T227" s="15"/>
      <c r="U227" s="14"/>
      <c r="V227" s="15"/>
      <c r="W227" s="14"/>
      <c r="X227" s="15"/>
      <c r="Y227" s="14"/>
      <c r="Z227" s="15"/>
      <c r="AA227" s="14"/>
      <c r="AB227" s="15"/>
      <c r="AC227" s="14"/>
      <c r="AD227" s="15"/>
      <c r="AE227" s="14"/>
      <c r="AF227" s="15"/>
      <c r="AG227" s="14"/>
      <c r="AH227" s="15"/>
      <c r="AI227" s="14"/>
      <c r="AJ227" s="15"/>
      <c r="AK227" s="107"/>
    </row>
    <row r="228" spans="1:37" ht="16.5" customHeight="1" x14ac:dyDescent="0.2">
      <c r="A228" s="6"/>
      <c r="B228" s="135">
        <f t="shared" si="74"/>
        <v>18</v>
      </c>
      <c r="C228" s="135">
        <f>'Kelas X'!C218</f>
        <v>16504</v>
      </c>
      <c r="D228" s="117" t="str">
        <f>'Kelas X'!D218</f>
        <v>KHANZA AZZALEA MARTHALIESNA</v>
      </c>
      <c r="E228" s="14"/>
      <c r="F228" s="15"/>
      <c r="G228" s="14"/>
      <c r="H228" s="15"/>
      <c r="I228" s="14"/>
      <c r="J228" s="15"/>
      <c r="K228" s="14"/>
      <c r="L228" s="15"/>
      <c r="M228" s="14"/>
      <c r="N228" s="15"/>
      <c r="O228" s="14"/>
      <c r="P228" s="15"/>
      <c r="Q228" s="14"/>
      <c r="R228" s="15"/>
      <c r="S228" s="14"/>
      <c r="T228" s="15"/>
      <c r="U228" s="14"/>
      <c r="V228" s="15"/>
      <c r="W228" s="14"/>
      <c r="X228" s="15"/>
      <c r="Y228" s="14"/>
      <c r="Z228" s="15"/>
      <c r="AA228" s="14"/>
      <c r="AB228" s="15"/>
      <c r="AC228" s="14"/>
      <c r="AD228" s="15"/>
      <c r="AE228" s="14"/>
      <c r="AF228" s="15"/>
      <c r="AG228" s="14"/>
      <c r="AH228" s="15"/>
      <c r="AI228" s="14"/>
      <c r="AJ228" s="15"/>
      <c r="AK228" s="107"/>
    </row>
    <row r="229" spans="1:37" ht="16.5" customHeight="1" x14ac:dyDescent="0.2">
      <c r="A229" s="6"/>
      <c r="B229" s="135">
        <f t="shared" si="74"/>
        <v>19</v>
      </c>
      <c r="C229" s="135">
        <f>'Kelas X'!C219</f>
        <v>16505</v>
      </c>
      <c r="D229" s="117" t="str">
        <f>'Kelas X'!D219</f>
        <v>KHAYLA DEWI</v>
      </c>
      <c r="E229" s="14"/>
      <c r="F229" s="15"/>
      <c r="G229" s="14"/>
      <c r="H229" s="15"/>
      <c r="I229" s="14"/>
      <c r="J229" s="15"/>
      <c r="K229" s="14"/>
      <c r="L229" s="15"/>
      <c r="M229" s="14"/>
      <c r="N229" s="15"/>
      <c r="O229" s="14"/>
      <c r="P229" s="15"/>
      <c r="Q229" s="14"/>
      <c r="R229" s="15"/>
      <c r="S229" s="14"/>
      <c r="T229" s="15"/>
      <c r="U229" s="14"/>
      <c r="V229" s="15"/>
      <c r="W229" s="14"/>
      <c r="X229" s="15"/>
      <c r="Y229" s="14"/>
      <c r="Z229" s="15"/>
      <c r="AA229" s="14"/>
      <c r="AB229" s="15"/>
      <c r="AC229" s="14"/>
      <c r="AD229" s="15"/>
      <c r="AE229" s="14"/>
      <c r="AF229" s="15"/>
      <c r="AG229" s="14"/>
      <c r="AH229" s="15"/>
      <c r="AI229" s="14"/>
      <c r="AJ229" s="15"/>
      <c r="AK229" s="107"/>
    </row>
    <row r="230" spans="1:37" ht="16.5" customHeight="1" x14ac:dyDescent="0.2">
      <c r="A230" s="6"/>
      <c r="B230" s="135">
        <f t="shared" si="74"/>
        <v>20</v>
      </c>
      <c r="C230" s="135">
        <f>'Kelas X'!C220</f>
        <v>16506</v>
      </c>
      <c r="D230" s="117" t="str">
        <f>'Kelas X'!D220</f>
        <v>NAJWA NUR AZIZAH</v>
      </c>
      <c r="E230" s="14"/>
      <c r="F230" s="15"/>
      <c r="G230" s="14"/>
      <c r="H230" s="15"/>
      <c r="I230" s="14"/>
      <c r="J230" s="15"/>
      <c r="K230" s="14"/>
      <c r="L230" s="15"/>
      <c r="M230" s="14"/>
      <c r="N230" s="15"/>
      <c r="O230" s="14"/>
      <c r="P230" s="15"/>
      <c r="Q230" s="14"/>
      <c r="R230" s="15"/>
      <c r="S230" s="14"/>
      <c r="T230" s="15"/>
      <c r="U230" s="14"/>
      <c r="V230" s="15"/>
      <c r="W230" s="14"/>
      <c r="X230" s="15"/>
      <c r="Y230" s="14"/>
      <c r="Z230" s="15"/>
      <c r="AA230" s="14"/>
      <c r="AB230" s="15"/>
      <c r="AC230" s="14"/>
      <c r="AD230" s="15"/>
      <c r="AE230" s="14"/>
      <c r="AF230" s="15"/>
      <c r="AG230" s="14"/>
      <c r="AH230" s="15"/>
      <c r="AI230" s="14"/>
      <c r="AJ230" s="15"/>
      <c r="AK230" s="107"/>
    </row>
    <row r="231" spans="1:37" ht="16.5" customHeight="1" x14ac:dyDescent="0.2">
      <c r="A231" s="6"/>
      <c r="B231" s="135">
        <f t="shared" si="74"/>
        <v>21</v>
      </c>
      <c r="C231" s="135">
        <f>'Kelas X'!C221</f>
        <v>16507</v>
      </c>
      <c r="D231" s="117" t="str">
        <f>'Kelas X'!D221</f>
        <v>QORI ILMIATUS SOLICHA</v>
      </c>
      <c r="E231" s="14"/>
      <c r="F231" s="15"/>
      <c r="G231" s="14"/>
      <c r="H231" s="15"/>
      <c r="I231" s="14"/>
      <c r="J231" s="15"/>
      <c r="K231" s="14"/>
      <c r="L231" s="15"/>
      <c r="M231" s="14"/>
      <c r="N231" s="15"/>
      <c r="O231" s="14"/>
      <c r="P231" s="15"/>
      <c r="Q231" s="14"/>
      <c r="R231" s="15"/>
      <c r="S231" s="14"/>
      <c r="T231" s="15"/>
      <c r="U231" s="14"/>
      <c r="V231" s="15"/>
      <c r="W231" s="14"/>
      <c r="X231" s="15"/>
      <c r="Y231" s="14"/>
      <c r="Z231" s="15"/>
      <c r="AA231" s="14"/>
      <c r="AB231" s="15"/>
      <c r="AC231" s="14"/>
      <c r="AD231" s="15"/>
      <c r="AE231" s="14"/>
      <c r="AF231" s="15"/>
      <c r="AG231" s="14"/>
      <c r="AH231" s="15"/>
      <c r="AI231" s="14"/>
      <c r="AJ231" s="15"/>
      <c r="AK231" s="107"/>
    </row>
    <row r="232" spans="1:37" ht="16.5" customHeight="1" x14ac:dyDescent="0.2">
      <c r="A232" s="6"/>
      <c r="B232" s="135">
        <f t="shared" si="74"/>
        <v>22</v>
      </c>
      <c r="C232" s="135">
        <f>'Kelas X'!C222</f>
        <v>16508</v>
      </c>
      <c r="D232" s="117" t="str">
        <f>'Kelas X'!D222</f>
        <v>RHEA ABHINAYA SMARA</v>
      </c>
      <c r="E232" s="14"/>
      <c r="F232" s="15"/>
      <c r="G232" s="14"/>
      <c r="H232" s="15"/>
      <c r="I232" s="14"/>
      <c r="J232" s="15"/>
      <c r="K232" s="14"/>
      <c r="L232" s="15"/>
      <c r="M232" s="14"/>
      <c r="N232" s="15"/>
      <c r="O232" s="14"/>
      <c r="P232" s="15"/>
      <c r="Q232" s="14"/>
      <c r="R232" s="15"/>
      <c r="S232" s="14"/>
      <c r="T232" s="15"/>
      <c r="U232" s="14"/>
      <c r="V232" s="15"/>
      <c r="W232" s="14"/>
      <c r="X232" s="15"/>
      <c r="Y232" s="14"/>
      <c r="Z232" s="15"/>
      <c r="AA232" s="14"/>
      <c r="AB232" s="15"/>
      <c r="AC232" s="14"/>
      <c r="AD232" s="15"/>
      <c r="AE232" s="14"/>
      <c r="AF232" s="15"/>
      <c r="AG232" s="14"/>
      <c r="AH232" s="15"/>
      <c r="AI232" s="14"/>
      <c r="AJ232" s="15"/>
      <c r="AK232" s="107"/>
    </row>
    <row r="233" spans="1:37" ht="16.5" customHeight="1" x14ac:dyDescent="0.2">
      <c r="A233" s="6"/>
      <c r="B233" s="135">
        <f t="shared" si="74"/>
        <v>23</v>
      </c>
      <c r="C233" s="135">
        <f>'Kelas X'!C223</f>
        <v>16509</v>
      </c>
      <c r="D233" s="117" t="str">
        <f>'Kelas X'!D223</f>
        <v>SALZABILLA APRILIA TAUVANI</v>
      </c>
      <c r="E233" s="14"/>
      <c r="F233" s="15"/>
      <c r="G233" s="14"/>
      <c r="H233" s="15"/>
      <c r="I233" s="14"/>
      <c r="J233" s="15"/>
      <c r="K233" s="14"/>
      <c r="L233" s="15"/>
      <c r="M233" s="14"/>
      <c r="N233" s="15"/>
      <c r="O233" s="14"/>
      <c r="P233" s="15"/>
      <c r="Q233" s="14"/>
      <c r="R233" s="15"/>
      <c r="S233" s="14"/>
      <c r="T233" s="15"/>
      <c r="U233" s="14"/>
      <c r="V233" s="15"/>
      <c r="W233" s="14"/>
      <c r="X233" s="15"/>
      <c r="Y233" s="14"/>
      <c r="Z233" s="15"/>
      <c r="AA233" s="14"/>
      <c r="AB233" s="15"/>
      <c r="AC233" s="14"/>
      <c r="AD233" s="15"/>
      <c r="AE233" s="14"/>
      <c r="AF233" s="15"/>
      <c r="AG233" s="14"/>
      <c r="AH233" s="15"/>
      <c r="AI233" s="14"/>
      <c r="AJ233" s="15"/>
      <c r="AK233" s="107"/>
    </row>
    <row r="234" spans="1:37" ht="16.5" customHeight="1" x14ac:dyDescent="0.2">
      <c r="A234" s="6"/>
      <c r="B234" s="135">
        <f t="shared" si="74"/>
        <v>24</v>
      </c>
      <c r="C234" s="135">
        <f>'Kelas X'!C224</f>
        <v>16510</v>
      </c>
      <c r="D234" s="117" t="str">
        <f>'Kelas X'!D224</f>
        <v>SAVA RINA PURWATI</v>
      </c>
      <c r="E234" s="14"/>
      <c r="F234" s="15"/>
      <c r="G234" s="14"/>
      <c r="H234" s="15"/>
      <c r="I234" s="14"/>
      <c r="J234" s="15"/>
      <c r="K234" s="14"/>
      <c r="L234" s="15"/>
      <c r="M234" s="14"/>
      <c r="N234" s="15"/>
      <c r="O234" s="14"/>
      <c r="P234" s="15"/>
      <c r="Q234" s="14"/>
      <c r="R234" s="15"/>
      <c r="S234" s="14"/>
      <c r="T234" s="15"/>
      <c r="U234" s="14"/>
      <c r="V234" s="15"/>
      <c r="W234" s="14"/>
      <c r="X234" s="15"/>
      <c r="Y234" s="14"/>
      <c r="Z234" s="15"/>
      <c r="AA234" s="14"/>
      <c r="AB234" s="15"/>
      <c r="AC234" s="14"/>
      <c r="AD234" s="15"/>
      <c r="AE234" s="14"/>
      <c r="AF234" s="15"/>
      <c r="AG234" s="14"/>
      <c r="AH234" s="15"/>
      <c r="AI234" s="14"/>
      <c r="AJ234" s="15"/>
      <c r="AK234" s="107"/>
    </row>
    <row r="235" spans="1:37" ht="16.5" customHeight="1" x14ac:dyDescent="0.2">
      <c r="A235" s="6"/>
      <c r="B235" s="135">
        <f t="shared" si="74"/>
        <v>25</v>
      </c>
      <c r="C235" s="135">
        <f>'Kelas X'!C225</f>
        <v>16511</v>
      </c>
      <c r="D235" s="117" t="str">
        <f>'Kelas X'!D225</f>
        <v>SITI NUR FADHILLAH</v>
      </c>
      <c r="E235" s="14"/>
      <c r="F235" s="15"/>
      <c r="G235" s="14"/>
      <c r="H235" s="15"/>
      <c r="I235" s="14"/>
      <c r="J235" s="15"/>
      <c r="K235" s="14"/>
      <c r="L235" s="15"/>
      <c r="M235" s="14"/>
      <c r="N235" s="15"/>
      <c r="O235" s="14"/>
      <c r="P235" s="15"/>
      <c r="Q235" s="14"/>
      <c r="R235" s="15"/>
      <c r="S235" s="14"/>
      <c r="T235" s="15"/>
      <c r="U235" s="14"/>
      <c r="V235" s="15"/>
      <c r="W235" s="14"/>
      <c r="X235" s="15"/>
      <c r="Y235" s="14"/>
      <c r="Z235" s="15"/>
      <c r="AA235" s="14"/>
      <c r="AB235" s="15"/>
      <c r="AC235" s="14"/>
      <c r="AD235" s="15"/>
      <c r="AE235" s="14"/>
      <c r="AF235" s="15"/>
      <c r="AG235" s="14"/>
      <c r="AH235" s="15"/>
      <c r="AI235" s="14"/>
      <c r="AJ235" s="15"/>
      <c r="AK235" s="107"/>
    </row>
    <row r="236" spans="1:37" ht="16.5" customHeight="1" x14ac:dyDescent="0.2">
      <c r="A236" s="6"/>
      <c r="B236" s="135">
        <f t="shared" si="74"/>
        <v>26</v>
      </c>
      <c r="C236" s="135">
        <f>'Kelas X'!C226</f>
        <v>16512</v>
      </c>
      <c r="D236" s="117" t="str">
        <f>'Kelas X'!D226</f>
        <v>TANISHA ANNASHA PUTRI</v>
      </c>
      <c r="E236" s="14"/>
      <c r="F236" s="15"/>
      <c r="G236" s="14"/>
      <c r="H236" s="15"/>
      <c r="I236" s="14"/>
      <c r="J236" s="15"/>
      <c r="K236" s="14"/>
      <c r="L236" s="15"/>
      <c r="M236" s="14"/>
      <c r="N236" s="15"/>
      <c r="O236" s="14"/>
      <c r="P236" s="15"/>
      <c r="Q236" s="14"/>
      <c r="R236" s="15"/>
      <c r="S236" s="14"/>
      <c r="T236" s="15"/>
      <c r="U236" s="14"/>
      <c r="V236" s="15"/>
      <c r="W236" s="14"/>
      <c r="X236" s="15"/>
      <c r="Y236" s="14"/>
      <c r="Z236" s="15"/>
      <c r="AA236" s="14"/>
      <c r="AB236" s="15"/>
      <c r="AC236" s="14"/>
      <c r="AD236" s="15"/>
      <c r="AE236" s="14"/>
      <c r="AF236" s="15"/>
      <c r="AG236" s="14"/>
      <c r="AH236" s="15"/>
      <c r="AI236" s="14"/>
      <c r="AJ236" s="15"/>
      <c r="AK236" s="107"/>
    </row>
    <row r="237" spans="1:37" ht="16.5" customHeight="1" x14ac:dyDescent="0.2">
      <c r="A237" s="6"/>
      <c r="B237" s="135">
        <f t="shared" si="74"/>
        <v>27</v>
      </c>
      <c r="C237" s="135">
        <f>'Kelas X'!C227</f>
        <v>16513</v>
      </c>
      <c r="D237" s="117" t="str">
        <f>'Kelas X'!D227</f>
        <v>THALITA ZALFA KIRANA</v>
      </c>
      <c r="E237" s="14"/>
      <c r="F237" s="15"/>
      <c r="G237" s="14"/>
      <c r="H237" s="15"/>
      <c r="I237" s="14"/>
      <c r="J237" s="15"/>
      <c r="K237" s="14"/>
      <c r="L237" s="15"/>
      <c r="M237" s="14"/>
      <c r="N237" s="15"/>
      <c r="O237" s="14"/>
      <c r="P237" s="15"/>
      <c r="Q237" s="14"/>
      <c r="R237" s="15"/>
      <c r="S237" s="14"/>
      <c r="T237" s="15"/>
      <c r="U237" s="14"/>
      <c r="V237" s="15"/>
      <c r="W237" s="14"/>
      <c r="X237" s="15"/>
      <c r="Y237" s="14"/>
      <c r="Z237" s="15"/>
      <c r="AA237" s="14"/>
      <c r="AB237" s="15"/>
      <c r="AC237" s="14"/>
      <c r="AD237" s="15"/>
      <c r="AE237" s="14"/>
      <c r="AF237" s="15"/>
      <c r="AG237" s="14"/>
      <c r="AH237" s="15"/>
      <c r="AI237" s="14"/>
      <c r="AJ237" s="15"/>
      <c r="AK237" s="107"/>
    </row>
    <row r="238" spans="1:37" ht="16.5" customHeight="1" x14ac:dyDescent="0.2">
      <c r="A238" s="6"/>
      <c r="B238" s="135">
        <f t="shared" si="74"/>
        <v>28</v>
      </c>
      <c r="C238" s="135">
        <f>'Kelas X'!C228</f>
        <v>16514</v>
      </c>
      <c r="D238" s="117" t="str">
        <f>'Kelas X'!D228</f>
        <v>ULFI SAFINATUN NAJAH</v>
      </c>
      <c r="E238" s="16"/>
      <c r="F238" s="17"/>
      <c r="G238" s="16"/>
      <c r="H238" s="17"/>
      <c r="I238" s="16"/>
      <c r="J238" s="17"/>
      <c r="K238" s="16"/>
      <c r="L238" s="17"/>
      <c r="M238" s="16"/>
      <c r="N238" s="17"/>
      <c r="O238" s="16"/>
      <c r="P238" s="17"/>
      <c r="Q238" s="16"/>
      <c r="R238" s="17"/>
      <c r="S238" s="16"/>
      <c r="T238" s="17"/>
      <c r="U238" s="16"/>
      <c r="V238" s="17"/>
      <c r="W238" s="16"/>
      <c r="X238" s="17"/>
      <c r="Y238" s="16"/>
      <c r="Z238" s="17"/>
      <c r="AA238" s="16"/>
      <c r="AB238" s="17"/>
      <c r="AC238" s="16"/>
      <c r="AD238" s="17"/>
      <c r="AE238" s="16"/>
      <c r="AF238" s="17"/>
      <c r="AG238" s="16"/>
      <c r="AH238" s="17"/>
      <c r="AI238" s="16"/>
      <c r="AJ238" s="17"/>
      <c r="AK238" s="107"/>
    </row>
    <row r="239" spans="1:37" ht="16.5" customHeight="1" x14ac:dyDescent="0.2">
      <c r="A239" s="6"/>
      <c r="B239" s="135">
        <f t="shared" si="74"/>
        <v>29</v>
      </c>
      <c r="C239" s="135">
        <f>'Kelas X'!C229</f>
        <v>16515</v>
      </c>
      <c r="D239" s="117" t="str">
        <f>'Kelas X'!D229</f>
        <v>ULUL AZMI</v>
      </c>
      <c r="E239" s="16"/>
      <c r="F239" s="17"/>
      <c r="G239" s="16"/>
      <c r="H239" s="17"/>
      <c r="I239" s="16"/>
      <c r="J239" s="17"/>
      <c r="K239" s="16"/>
      <c r="L239" s="17"/>
      <c r="M239" s="16"/>
      <c r="N239" s="17"/>
      <c r="O239" s="16"/>
      <c r="P239" s="17"/>
      <c r="Q239" s="16"/>
      <c r="R239" s="17"/>
      <c r="S239" s="16"/>
      <c r="T239" s="17"/>
      <c r="U239" s="16"/>
      <c r="V239" s="17"/>
      <c r="W239" s="16"/>
      <c r="X239" s="17"/>
      <c r="Y239" s="16"/>
      <c r="Z239" s="17"/>
      <c r="AA239" s="16"/>
      <c r="AB239" s="17"/>
      <c r="AC239" s="16"/>
      <c r="AD239" s="17"/>
      <c r="AE239" s="16"/>
      <c r="AF239" s="17"/>
      <c r="AG239" s="16"/>
      <c r="AH239" s="17"/>
      <c r="AI239" s="16"/>
      <c r="AJ239" s="17"/>
      <c r="AK239" s="107"/>
    </row>
    <row r="240" spans="1:37" ht="16.5" customHeight="1" x14ac:dyDescent="0.2">
      <c r="A240" s="6"/>
      <c r="B240" s="135">
        <f t="shared" si="74"/>
        <v>30</v>
      </c>
      <c r="C240" s="135">
        <f>'Kelas X'!C230</f>
        <v>16516</v>
      </c>
      <c r="D240" s="117" t="str">
        <f>'Kelas X'!D230</f>
        <v>YUNITA ALFARINI</v>
      </c>
      <c r="E240" s="16"/>
      <c r="F240" s="17"/>
      <c r="G240" s="16"/>
      <c r="H240" s="17"/>
      <c r="I240" s="16"/>
      <c r="J240" s="17"/>
      <c r="K240" s="16"/>
      <c r="L240" s="17"/>
      <c r="M240" s="16"/>
      <c r="N240" s="17"/>
      <c r="O240" s="16"/>
      <c r="P240" s="17"/>
      <c r="Q240" s="16"/>
      <c r="R240" s="17"/>
      <c r="S240" s="16"/>
      <c r="T240" s="17"/>
      <c r="U240" s="16"/>
      <c r="V240" s="17"/>
      <c r="W240" s="16"/>
      <c r="X240" s="17"/>
      <c r="Y240" s="16"/>
      <c r="Z240" s="17"/>
      <c r="AA240" s="16"/>
      <c r="AB240" s="17"/>
      <c r="AC240" s="16"/>
      <c r="AD240" s="17"/>
      <c r="AE240" s="16"/>
      <c r="AF240" s="17"/>
      <c r="AG240" s="16"/>
      <c r="AH240" s="17"/>
      <c r="AI240" s="16"/>
      <c r="AJ240" s="17"/>
      <c r="AK240" s="107"/>
    </row>
    <row r="241" spans="1:37" ht="16.5" customHeight="1" x14ac:dyDescent="0.2">
      <c r="A241" s="6"/>
      <c r="B241" s="135">
        <f t="shared" si="74"/>
        <v>31</v>
      </c>
      <c r="C241" s="135">
        <f>'Kelas X'!C231</f>
        <v>16517</v>
      </c>
      <c r="D241" s="117" t="str">
        <f>'Kelas X'!D231</f>
        <v>ZASKIA NURUL HAFIS</v>
      </c>
      <c r="E241" s="16"/>
      <c r="F241" s="17"/>
      <c r="G241" s="16"/>
      <c r="H241" s="17"/>
      <c r="I241" s="16"/>
      <c r="J241" s="17"/>
      <c r="K241" s="16"/>
      <c r="L241" s="17"/>
      <c r="M241" s="16"/>
      <c r="N241" s="17"/>
      <c r="O241" s="16"/>
      <c r="P241" s="17"/>
      <c r="Q241" s="16"/>
      <c r="R241" s="17"/>
      <c r="S241" s="16"/>
      <c r="T241" s="17"/>
      <c r="U241" s="16"/>
      <c r="V241" s="17"/>
      <c r="W241" s="16"/>
      <c r="X241" s="17"/>
      <c r="Y241" s="16"/>
      <c r="Z241" s="17"/>
      <c r="AA241" s="16"/>
      <c r="AB241" s="17"/>
      <c r="AC241" s="16"/>
      <c r="AD241" s="17"/>
      <c r="AE241" s="16"/>
      <c r="AF241" s="17"/>
      <c r="AG241" s="16"/>
      <c r="AH241" s="17"/>
      <c r="AI241" s="16"/>
      <c r="AJ241" s="17"/>
      <c r="AK241" s="107"/>
    </row>
    <row r="242" spans="1:37" ht="16.5" customHeight="1" x14ac:dyDescent="0.2">
      <c r="A242" s="6"/>
      <c r="B242" s="135">
        <f t="shared" si="74"/>
        <v>32</v>
      </c>
      <c r="C242" s="135">
        <f>'Kelas X'!C232</f>
        <v>0</v>
      </c>
      <c r="D242" s="117">
        <f>'Kelas X'!D232</f>
        <v>0</v>
      </c>
      <c r="E242" s="16"/>
      <c r="F242" s="17"/>
      <c r="G242" s="16"/>
      <c r="H242" s="17"/>
      <c r="I242" s="16"/>
      <c r="J242" s="17"/>
      <c r="K242" s="16"/>
      <c r="L242" s="17"/>
      <c r="M242" s="16"/>
      <c r="N242" s="17"/>
      <c r="O242" s="16"/>
      <c r="P242" s="17"/>
      <c r="Q242" s="16"/>
      <c r="R242" s="17"/>
      <c r="S242" s="16"/>
      <c r="T242" s="17"/>
      <c r="U242" s="16"/>
      <c r="V242" s="17"/>
      <c r="W242" s="16"/>
      <c r="X242" s="17"/>
      <c r="Y242" s="16"/>
      <c r="Z242" s="17"/>
      <c r="AA242" s="16"/>
      <c r="AB242" s="17"/>
      <c r="AC242" s="16"/>
      <c r="AD242" s="17"/>
      <c r="AE242" s="16"/>
      <c r="AF242" s="17"/>
      <c r="AG242" s="16"/>
      <c r="AH242" s="17"/>
      <c r="AI242" s="16"/>
      <c r="AJ242" s="17"/>
      <c r="AK242" s="107"/>
    </row>
    <row r="243" spans="1:37" ht="16.5" customHeight="1" x14ac:dyDescent="0.2">
      <c r="A243" s="6"/>
      <c r="B243" s="135">
        <f t="shared" si="74"/>
        <v>33</v>
      </c>
      <c r="C243" s="135">
        <f>'Kelas X'!C233</f>
        <v>0</v>
      </c>
      <c r="D243" s="117">
        <f>'Kelas X'!D233</f>
        <v>0</v>
      </c>
      <c r="E243" s="16"/>
      <c r="F243" s="17"/>
      <c r="G243" s="16"/>
      <c r="H243" s="17"/>
      <c r="I243" s="16"/>
      <c r="J243" s="17"/>
      <c r="K243" s="16"/>
      <c r="L243" s="17"/>
      <c r="M243" s="16"/>
      <c r="N243" s="17"/>
      <c r="O243" s="16"/>
      <c r="P243" s="17"/>
      <c r="Q243" s="16"/>
      <c r="R243" s="17"/>
      <c r="S243" s="16"/>
      <c r="T243" s="17"/>
      <c r="U243" s="16"/>
      <c r="V243" s="17"/>
      <c r="W243" s="16"/>
      <c r="X243" s="17"/>
      <c r="Y243" s="16"/>
      <c r="Z243" s="17"/>
      <c r="AA243" s="16"/>
      <c r="AB243" s="17"/>
      <c r="AC243" s="16"/>
      <c r="AD243" s="17"/>
      <c r="AE243" s="16"/>
      <c r="AF243" s="17"/>
      <c r="AG243" s="16"/>
      <c r="AH243" s="17"/>
      <c r="AI243" s="16"/>
      <c r="AJ243" s="17"/>
      <c r="AK243" s="107"/>
    </row>
    <row r="244" spans="1:37" ht="16.5" customHeight="1" x14ac:dyDescent="0.2">
      <c r="A244" s="6"/>
      <c r="B244" s="135">
        <f t="shared" si="74"/>
        <v>34</v>
      </c>
      <c r="C244" s="135">
        <f>'Kelas X'!C234</f>
        <v>0</v>
      </c>
      <c r="D244" s="117">
        <f>'Kelas X'!D234</f>
        <v>0</v>
      </c>
      <c r="E244" s="16"/>
      <c r="F244" s="17"/>
      <c r="G244" s="16"/>
      <c r="H244" s="17"/>
      <c r="I244" s="16"/>
      <c r="J244" s="17"/>
      <c r="K244" s="16"/>
      <c r="L244" s="17"/>
      <c r="M244" s="16"/>
      <c r="N244" s="17"/>
      <c r="O244" s="16"/>
      <c r="P244" s="17"/>
      <c r="Q244" s="16"/>
      <c r="R244" s="17"/>
      <c r="S244" s="16"/>
      <c r="T244" s="17"/>
      <c r="U244" s="16"/>
      <c r="V244" s="17"/>
      <c r="W244" s="16"/>
      <c r="X244" s="17"/>
      <c r="Y244" s="16"/>
      <c r="Z244" s="17"/>
      <c r="AA244" s="16"/>
      <c r="AB244" s="17"/>
      <c r="AC244" s="16"/>
      <c r="AD244" s="17"/>
      <c r="AE244" s="16"/>
      <c r="AF244" s="17"/>
      <c r="AG244" s="16"/>
      <c r="AH244" s="17"/>
      <c r="AI244" s="16"/>
      <c r="AJ244" s="17"/>
      <c r="AK244" s="107"/>
    </row>
    <row r="245" spans="1:37" ht="16.5" customHeight="1" x14ac:dyDescent="0.2">
      <c r="A245" s="6"/>
      <c r="B245" s="135">
        <f t="shared" si="74"/>
        <v>35</v>
      </c>
      <c r="C245" s="135">
        <f>'Kelas X'!C235</f>
        <v>0</v>
      </c>
      <c r="D245" s="117">
        <f>'Kelas X'!D235</f>
        <v>0</v>
      </c>
      <c r="E245" s="16"/>
      <c r="F245" s="17"/>
      <c r="G245" s="16"/>
      <c r="H245" s="17"/>
      <c r="I245" s="16"/>
      <c r="J245" s="17"/>
      <c r="K245" s="16"/>
      <c r="L245" s="17"/>
      <c r="M245" s="16"/>
      <c r="N245" s="17"/>
      <c r="O245" s="16"/>
      <c r="P245" s="17"/>
      <c r="Q245" s="16"/>
      <c r="R245" s="17"/>
      <c r="S245" s="16"/>
      <c r="T245" s="17"/>
      <c r="U245" s="16"/>
      <c r="V245" s="17"/>
      <c r="W245" s="16"/>
      <c r="X245" s="17"/>
      <c r="Y245" s="16"/>
      <c r="Z245" s="17"/>
      <c r="AA245" s="16"/>
      <c r="AB245" s="17"/>
      <c r="AC245" s="16"/>
      <c r="AD245" s="17"/>
      <c r="AE245" s="16"/>
      <c r="AF245" s="17"/>
      <c r="AG245" s="16"/>
      <c r="AH245" s="17"/>
      <c r="AI245" s="16"/>
      <c r="AJ245" s="17"/>
      <c r="AK245" s="107"/>
    </row>
    <row r="246" spans="1:37" ht="16.5" customHeight="1" x14ac:dyDescent="0.2">
      <c r="A246" s="6"/>
      <c r="B246" s="135">
        <f t="shared" si="74"/>
        <v>36</v>
      </c>
      <c r="C246" s="135">
        <f>'Kelas X'!C236</f>
        <v>0</v>
      </c>
      <c r="D246" s="117">
        <f>'Kelas X'!D236</f>
        <v>0</v>
      </c>
      <c r="E246" s="16"/>
      <c r="F246" s="17"/>
      <c r="G246" s="16"/>
      <c r="H246" s="17"/>
      <c r="I246" s="16"/>
      <c r="J246" s="17"/>
      <c r="K246" s="16"/>
      <c r="L246" s="17"/>
      <c r="M246" s="16"/>
      <c r="N246" s="17"/>
      <c r="O246" s="16"/>
      <c r="P246" s="17"/>
      <c r="Q246" s="16"/>
      <c r="R246" s="17"/>
      <c r="S246" s="16"/>
      <c r="T246" s="17"/>
      <c r="U246" s="16"/>
      <c r="V246" s="17"/>
      <c r="W246" s="16"/>
      <c r="X246" s="17"/>
      <c r="Y246" s="16"/>
      <c r="Z246" s="17"/>
      <c r="AA246" s="16"/>
      <c r="AB246" s="17"/>
      <c r="AC246" s="16"/>
      <c r="AD246" s="17"/>
      <c r="AE246" s="16"/>
      <c r="AF246" s="17"/>
      <c r="AG246" s="16"/>
      <c r="AH246" s="17"/>
      <c r="AI246" s="16"/>
      <c r="AJ246" s="17"/>
      <c r="AK246" s="107"/>
    </row>
    <row r="247" spans="1:37" ht="16.5" customHeight="1" x14ac:dyDescent="0.2">
      <c r="A247" s="6"/>
      <c r="B247" s="135">
        <f t="shared" si="74"/>
        <v>37</v>
      </c>
      <c r="C247" s="135">
        <f>'Kelas X'!C237</f>
        <v>0</v>
      </c>
      <c r="D247" s="117">
        <f>'Kelas X'!D237</f>
        <v>0</v>
      </c>
      <c r="E247" s="16"/>
      <c r="F247" s="17"/>
      <c r="G247" s="16"/>
      <c r="H247" s="17"/>
      <c r="I247" s="16"/>
      <c r="J247" s="17"/>
      <c r="K247" s="16"/>
      <c r="L247" s="17"/>
      <c r="M247" s="16"/>
      <c r="N247" s="17"/>
      <c r="O247" s="16"/>
      <c r="P247" s="17"/>
      <c r="Q247" s="16"/>
      <c r="R247" s="17"/>
      <c r="S247" s="16"/>
      <c r="T247" s="17"/>
      <c r="U247" s="16"/>
      <c r="V247" s="17"/>
      <c r="W247" s="16"/>
      <c r="X247" s="17"/>
      <c r="Y247" s="16"/>
      <c r="Z247" s="17"/>
      <c r="AA247" s="16"/>
      <c r="AB247" s="17"/>
      <c r="AC247" s="16"/>
      <c r="AD247" s="17"/>
      <c r="AE247" s="16"/>
      <c r="AF247" s="17"/>
      <c r="AG247" s="16"/>
      <c r="AH247" s="17"/>
      <c r="AI247" s="16"/>
      <c r="AJ247" s="17"/>
      <c r="AK247" s="107"/>
    </row>
    <row r="248" spans="1:37" ht="16.5" customHeight="1" x14ac:dyDescent="0.2">
      <c r="A248" s="6"/>
      <c r="B248" s="135">
        <f t="shared" si="74"/>
        <v>38</v>
      </c>
      <c r="C248" s="135">
        <f>'Kelas X'!C238</f>
        <v>0</v>
      </c>
      <c r="D248" s="117">
        <f>'Kelas X'!D238</f>
        <v>0</v>
      </c>
      <c r="E248" s="16"/>
      <c r="F248" s="17"/>
      <c r="G248" s="16"/>
      <c r="H248" s="17"/>
      <c r="I248" s="16"/>
      <c r="J248" s="17"/>
      <c r="K248" s="16"/>
      <c r="L248" s="17"/>
      <c r="M248" s="16"/>
      <c r="N248" s="17"/>
      <c r="O248" s="16"/>
      <c r="P248" s="17"/>
      <c r="Q248" s="16"/>
      <c r="R248" s="17"/>
      <c r="S248" s="16"/>
      <c r="T248" s="17"/>
      <c r="U248" s="16"/>
      <c r="V248" s="17"/>
      <c r="W248" s="16"/>
      <c r="X248" s="17"/>
      <c r="Y248" s="16"/>
      <c r="Z248" s="17"/>
      <c r="AA248" s="16"/>
      <c r="AB248" s="17"/>
      <c r="AC248" s="16"/>
      <c r="AD248" s="17"/>
      <c r="AE248" s="16"/>
      <c r="AF248" s="17"/>
      <c r="AG248" s="16"/>
      <c r="AH248" s="17"/>
      <c r="AI248" s="16"/>
      <c r="AJ248" s="17"/>
      <c r="AK248" s="107"/>
    </row>
    <row r="249" spans="1:37" ht="16.5" customHeight="1" x14ac:dyDescent="0.2">
      <c r="A249" s="6"/>
      <c r="B249" s="135">
        <f t="shared" si="74"/>
        <v>39</v>
      </c>
      <c r="C249" s="135">
        <f>'Kelas X'!C239</f>
        <v>0</v>
      </c>
      <c r="D249" s="117">
        <f>'Kelas X'!D239</f>
        <v>0</v>
      </c>
      <c r="E249" s="16"/>
      <c r="F249" s="17"/>
      <c r="G249" s="16"/>
      <c r="H249" s="17"/>
      <c r="I249" s="16"/>
      <c r="J249" s="17"/>
      <c r="K249" s="16"/>
      <c r="L249" s="17"/>
      <c r="M249" s="16"/>
      <c r="N249" s="17"/>
      <c r="O249" s="16"/>
      <c r="P249" s="17"/>
      <c r="Q249" s="16"/>
      <c r="R249" s="17"/>
      <c r="S249" s="16"/>
      <c r="T249" s="17"/>
      <c r="U249" s="16"/>
      <c r="V249" s="17"/>
      <c r="W249" s="16"/>
      <c r="X249" s="17"/>
      <c r="Y249" s="16"/>
      <c r="Z249" s="17"/>
      <c r="AA249" s="16"/>
      <c r="AB249" s="17"/>
      <c r="AC249" s="16"/>
      <c r="AD249" s="17"/>
      <c r="AE249" s="16"/>
      <c r="AF249" s="17"/>
      <c r="AG249" s="16"/>
      <c r="AH249" s="17"/>
      <c r="AI249" s="16"/>
      <c r="AJ249" s="17"/>
      <c r="AK249" s="107"/>
    </row>
    <row r="250" spans="1:37" ht="16.5" customHeight="1" thickBot="1" x14ac:dyDescent="0.25">
      <c r="A250" s="6"/>
      <c r="B250" s="143">
        <f t="shared" si="74"/>
        <v>40</v>
      </c>
      <c r="C250" s="143"/>
      <c r="D250" s="145"/>
      <c r="E250" s="18"/>
      <c r="F250" s="19"/>
      <c r="G250" s="18"/>
      <c r="H250" s="19"/>
      <c r="I250" s="18"/>
      <c r="J250" s="19"/>
      <c r="K250" s="18"/>
      <c r="L250" s="19"/>
      <c r="M250" s="18"/>
      <c r="N250" s="19"/>
      <c r="O250" s="18"/>
      <c r="P250" s="19"/>
      <c r="Q250" s="18"/>
      <c r="R250" s="19"/>
      <c r="S250" s="18"/>
      <c r="T250" s="19"/>
      <c r="U250" s="18"/>
      <c r="V250" s="19"/>
      <c r="W250" s="18"/>
      <c r="X250" s="19"/>
      <c r="Y250" s="18"/>
      <c r="Z250" s="19"/>
      <c r="AA250" s="18"/>
      <c r="AB250" s="19"/>
      <c r="AC250" s="18"/>
      <c r="AD250" s="19"/>
      <c r="AE250" s="18"/>
      <c r="AF250" s="19"/>
      <c r="AG250" s="18"/>
      <c r="AH250" s="19"/>
      <c r="AI250" s="18"/>
      <c r="AJ250" s="19"/>
      <c r="AK250" s="107"/>
    </row>
    <row r="251" spans="1:37" ht="16.5" customHeight="1" x14ac:dyDescent="0.2">
      <c r="A251" s="6"/>
      <c r="B251" s="8"/>
      <c r="C251" s="20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149"/>
      <c r="AK251" s="6"/>
    </row>
    <row r="252" spans="1:37" ht="16.5" customHeight="1" thickBot="1" x14ac:dyDescent="0.25">
      <c r="A252" s="6"/>
      <c r="B252" s="6"/>
      <c r="C252" s="20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150"/>
      <c r="AK252" s="6"/>
    </row>
    <row r="253" spans="1:37" ht="16.5" customHeight="1" x14ac:dyDescent="0.2">
      <c r="A253" s="6"/>
      <c r="B253" s="279"/>
      <c r="C253" s="280"/>
      <c r="D253" s="283" t="s">
        <v>3</v>
      </c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  <c r="AA253" s="284"/>
      <c r="AB253" s="284"/>
      <c r="AC253" s="284"/>
      <c r="AD253" s="284"/>
      <c r="AE253" s="284"/>
      <c r="AF253" s="284"/>
      <c r="AG253" s="284"/>
      <c r="AH253" s="284"/>
      <c r="AI253" s="284"/>
      <c r="AJ253" s="285"/>
      <c r="AK253" s="107"/>
    </row>
    <row r="254" spans="1:37" ht="16.5" customHeight="1" x14ac:dyDescent="0.2">
      <c r="A254" s="6"/>
      <c r="B254" s="281"/>
      <c r="C254" s="282"/>
      <c r="D254" s="286" t="s">
        <v>4</v>
      </c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87"/>
      <c r="AB254" s="287"/>
      <c r="AC254" s="287"/>
      <c r="AD254" s="287"/>
      <c r="AE254" s="287"/>
      <c r="AF254" s="287"/>
      <c r="AG254" s="287"/>
      <c r="AH254" s="287"/>
      <c r="AI254" s="287"/>
      <c r="AJ254" s="288"/>
      <c r="AK254" s="107"/>
    </row>
    <row r="255" spans="1:37" ht="16.5" customHeight="1" x14ac:dyDescent="0.2">
      <c r="A255" s="6"/>
      <c r="B255" s="281"/>
      <c r="C255" s="282"/>
      <c r="D255" s="286" t="s">
        <v>547</v>
      </c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87"/>
      <c r="P255" s="287"/>
      <c r="Q255" s="287"/>
      <c r="R255" s="287"/>
      <c r="S255" s="287"/>
      <c r="T255" s="287"/>
      <c r="U255" s="287"/>
      <c r="V255" s="287"/>
      <c r="W255" s="287"/>
      <c r="X255" s="287"/>
      <c r="Y255" s="287"/>
      <c r="Z255" s="287"/>
      <c r="AA255" s="287"/>
      <c r="AB255" s="287"/>
      <c r="AC255" s="287"/>
      <c r="AD255" s="287"/>
      <c r="AE255" s="287"/>
      <c r="AF255" s="287"/>
      <c r="AG255" s="287"/>
      <c r="AH255" s="287"/>
      <c r="AI255" s="287"/>
      <c r="AJ255" s="288"/>
      <c r="AK255" s="107"/>
    </row>
    <row r="256" spans="1:37" ht="16.5" customHeight="1" thickBot="1" x14ac:dyDescent="0.25">
      <c r="A256" s="6"/>
      <c r="B256" s="281"/>
      <c r="C256" s="282"/>
      <c r="D256" s="289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0"/>
      <c r="P256" s="290"/>
      <c r="Q256" s="290"/>
      <c r="R256" s="290"/>
      <c r="S256" s="290"/>
      <c r="T256" s="290"/>
      <c r="U256" s="290"/>
      <c r="V256" s="290"/>
      <c r="W256" s="290"/>
      <c r="X256" s="290"/>
      <c r="Y256" s="290"/>
      <c r="Z256" s="290"/>
      <c r="AA256" s="290"/>
      <c r="AB256" s="290"/>
      <c r="AC256" s="290"/>
      <c r="AD256" s="290"/>
      <c r="AE256" s="290"/>
      <c r="AF256" s="290"/>
      <c r="AG256" s="290"/>
      <c r="AH256" s="290"/>
      <c r="AI256" s="290"/>
      <c r="AJ256" s="291"/>
      <c r="AK256" s="107"/>
    </row>
    <row r="257" spans="1:37" ht="16.5" customHeight="1" thickBot="1" x14ac:dyDescent="0.25">
      <c r="A257" s="6"/>
      <c r="B257" s="292"/>
      <c r="C257" s="293"/>
      <c r="D257" s="9" t="s">
        <v>565</v>
      </c>
      <c r="E257" s="10" t="s">
        <v>11</v>
      </c>
      <c r="F257" s="10"/>
      <c r="G257" s="10"/>
      <c r="H257" s="10"/>
      <c r="I257" s="10"/>
      <c r="J257" s="149"/>
      <c r="K257" s="10"/>
      <c r="L257" s="10"/>
      <c r="M257" s="10"/>
      <c r="N257" s="10"/>
      <c r="O257" s="10"/>
      <c r="P257" s="10"/>
      <c r="Q257" s="10"/>
      <c r="R257" s="10"/>
      <c r="S257" s="10" t="s">
        <v>5</v>
      </c>
      <c r="T257" s="10"/>
      <c r="U257" s="10" t="s">
        <v>808</v>
      </c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58"/>
      <c r="AK257" s="107"/>
    </row>
    <row r="258" spans="1:37" ht="16.5" customHeight="1" thickBot="1" x14ac:dyDescent="0.25">
      <c r="A258" s="6"/>
      <c r="B258" s="294" t="s">
        <v>6</v>
      </c>
      <c r="C258" s="294"/>
      <c r="D258" s="295" t="s">
        <v>7</v>
      </c>
      <c r="E258" s="292" t="s">
        <v>519</v>
      </c>
      <c r="F258" s="298"/>
      <c r="G258" s="298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  <c r="R258" s="298"/>
      <c r="S258" s="298"/>
      <c r="T258" s="298"/>
      <c r="U258" s="298"/>
      <c r="V258" s="298"/>
      <c r="W258" s="298"/>
      <c r="X258" s="298"/>
      <c r="Y258" s="298"/>
      <c r="Z258" s="298"/>
      <c r="AA258" s="298"/>
      <c r="AB258" s="298"/>
      <c r="AC258" s="298"/>
      <c r="AD258" s="298"/>
      <c r="AE258" s="298"/>
      <c r="AF258" s="298"/>
      <c r="AG258" s="298"/>
      <c r="AH258" s="298"/>
      <c r="AI258" s="298"/>
      <c r="AJ258" s="293"/>
      <c r="AK258" s="107"/>
    </row>
    <row r="259" spans="1:37" ht="16.5" customHeight="1" thickBot="1" x14ac:dyDescent="0.25">
      <c r="A259" s="6"/>
      <c r="B259" s="295" t="s">
        <v>8</v>
      </c>
      <c r="C259" s="295" t="s">
        <v>9</v>
      </c>
      <c r="D259" s="296"/>
      <c r="E259" s="292">
        <f>E8</f>
        <v>17</v>
      </c>
      <c r="F259" s="298"/>
      <c r="G259" s="292">
        <f>E259+1</f>
        <v>18</v>
      </c>
      <c r="H259" s="298"/>
      <c r="I259" s="292">
        <f t="shared" ref="I259" si="75">G259+1</f>
        <v>19</v>
      </c>
      <c r="J259" s="298"/>
      <c r="K259" s="292">
        <f t="shared" ref="K259" si="76">I259+1</f>
        <v>20</v>
      </c>
      <c r="L259" s="298"/>
      <c r="M259" s="292">
        <f t="shared" ref="M259" si="77">K259+1</f>
        <v>21</v>
      </c>
      <c r="N259" s="298"/>
      <c r="O259" s="292">
        <f t="shared" ref="O259" si="78">M259+1</f>
        <v>22</v>
      </c>
      <c r="P259" s="298"/>
      <c r="Q259" s="292">
        <f t="shared" ref="Q259" si="79">O259+1</f>
        <v>23</v>
      </c>
      <c r="R259" s="298"/>
      <c r="S259" s="292">
        <f t="shared" ref="S259" si="80">Q259+1</f>
        <v>24</v>
      </c>
      <c r="T259" s="298"/>
      <c r="U259" s="292">
        <f t="shared" ref="U259" si="81">S259+1</f>
        <v>25</v>
      </c>
      <c r="V259" s="298"/>
      <c r="W259" s="292">
        <f t="shared" ref="W259" si="82">U259+1</f>
        <v>26</v>
      </c>
      <c r="X259" s="298"/>
      <c r="Y259" s="292">
        <f t="shared" ref="Y259" si="83">W259+1</f>
        <v>27</v>
      </c>
      <c r="Z259" s="298"/>
      <c r="AA259" s="292">
        <f t="shared" ref="AA259" si="84">Y259+1</f>
        <v>28</v>
      </c>
      <c r="AB259" s="298"/>
      <c r="AC259" s="292">
        <f t="shared" ref="AC259" si="85">AA259+1</f>
        <v>29</v>
      </c>
      <c r="AD259" s="298"/>
      <c r="AE259" s="292">
        <f t="shared" ref="AE259" si="86">AC259+1</f>
        <v>30</v>
      </c>
      <c r="AF259" s="298"/>
      <c r="AG259" s="292">
        <f t="shared" ref="AG259" si="87">AE259+1</f>
        <v>31</v>
      </c>
      <c r="AH259" s="298"/>
      <c r="AI259" s="292">
        <f t="shared" ref="AI259" si="88">AG259+1</f>
        <v>32</v>
      </c>
      <c r="AJ259" s="298"/>
      <c r="AK259" s="107"/>
    </row>
    <row r="260" spans="1:37" ht="23.25" customHeight="1" thickBot="1" x14ac:dyDescent="0.25">
      <c r="A260" s="6"/>
      <c r="B260" s="297"/>
      <c r="C260" s="297"/>
      <c r="D260" s="297"/>
      <c r="E260" s="108" t="s">
        <v>13</v>
      </c>
      <c r="F260" s="108" t="s">
        <v>14</v>
      </c>
      <c r="G260" s="108" t="s">
        <v>13</v>
      </c>
      <c r="H260" s="108" t="s">
        <v>14</v>
      </c>
      <c r="I260" s="108" t="s">
        <v>13</v>
      </c>
      <c r="J260" s="108" t="s">
        <v>14</v>
      </c>
      <c r="K260" s="108" t="s">
        <v>13</v>
      </c>
      <c r="L260" s="108" t="s">
        <v>14</v>
      </c>
      <c r="M260" s="108" t="s">
        <v>13</v>
      </c>
      <c r="N260" s="108" t="s">
        <v>14</v>
      </c>
      <c r="O260" s="108" t="s">
        <v>13</v>
      </c>
      <c r="P260" s="108" t="s">
        <v>14</v>
      </c>
      <c r="Q260" s="108" t="s">
        <v>13</v>
      </c>
      <c r="R260" s="108" t="s">
        <v>14</v>
      </c>
      <c r="S260" s="108" t="s">
        <v>13</v>
      </c>
      <c r="T260" s="108" t="s">
        <v>14</v>
      </c>
      <c r="U260" s="108" t="s">
        <v>13</v>
      </c>
      <c r="V260" s="108" t="s">
        <v>14</v>
      </c>
      <c r="W260" s="108" t="s">
        <v>13</v>
      </c>
      <c r="X260" s="108" t="s">
        <v>14</v>
      </c>
      <c r="Y260" s="108" t="s">
        <v>13</v>
      </c>
      <c r="Z260" s="108" t="s">
        <v>14</v>
      </c>
      <c r="AA260" s="108" t="s">
        <v>13</v>
      </c>
      <c r="AB260" s="108" t="s">
        <v>14</v>
      </c>
      <c r="AC260" s="108" t="s">
        <v>13</v>
      </c>
      <c r="AD260" s="108" t="s">
        <v>14</v>
      </c>
      <c r="AE260" s="108" t="s">
        <v>13</v>
      </c>
      <c r="AF260" s="108" t="s">
        <v>14</v>
      </c>
      <c r="AG260" s="108" t="s">
        <v>13</v>
      </c>
      <c r="AH260" s="108" t="s">
        <v>14</v>
      </c>
      <c r="AI260" s="108" t="s">
        <v>13</v>
      </c>
      <c r="AJ260" s="108" t="s">
        <v>14</v>
      </c>
      <c r="AK260" s="107"/>
    </row>
    <row r="261" spans="1:37" ht="16.5" customHeight="1" x14ac:dyDescent="0.2">
      <c r="A261" s="6"/>
      <c r="B261" s="148">
        <v>1</v>
      </c>
      <c r="C261" s="22">
        <f>'Kelas X'!C249</f>
        <v>16518</v>
      </c>
      <c r="D261" s="34" t="str">
        <f>'Kelas X'!D249</f>
        <v>ADLINA ALIYYA WIBISONO</v>
      </c>
      <c r="E261" s="12"/>
      <c r="F261" s="13"/>
      <c r="G261" s="12"/>
      <c r="H261" s="13"/>
      <c r="I261" s="12"/>
      <c r="J261" s="13"/>
      <c r="K261" s="12"/>
      <c r="L261" s="13"/>
      <c r="M261" s="12"/>
      <c r="N261" s="13"/>
      <c r="O261" s="12"/>
      <c r="P261" s="13"/>
      <c r="Q261" s="12"/>
      <c r="R261" s="13"/>
      <c r="S261" s="12"/>
      <c r="T261" s="13"/>
      <c r="U261" s="12"/>
      <c r="V261" s="13"/>
      <c r="W261" s="12"/>
      <c r="X261" s="13"/>
      <c r="Y261" s="12"/>
      <c r="Z261" s="13"/>
      <c r="AA261" s="12"/>
      <c r="AB261" s="13"/>
      <c r="AC261" s="12"/>
      <c r="AD261" s="13"/>
      <c r="AE261" s="12"/>
      <c r="AF261" s="13"/>
      <c r="AG261" s="12"/>
      <c r="AH261" s="13"/>
      <c r="AI261" s="12"/>
      <c r="AJ261" s="13"/>
      <c r="AK261" s="107"/>
    </row>
    <row r="262" spans="1:37" ht="16.5" customHeight="1" x14ac:dyDescent="0.2">
      <c r="A262" s="6"/>
      <c r="B262" s="11">
        <f t="shared" ref="B262:B297" si="89">B261+1</f>
        <v>2</v>
      </c>
      <c r="C262" s="135">
        <f>'Kelas X'!C250</f>
        <v>16519</v>
      </c>
      <c r="D262" s="34" t="str">
        <f>'Kelas X'!D250</f>
        <v>AFIKA PUTRI FADHILA</v>
      </c>
      <c r="E262" s="14"/>
      <c r="F262" s="15"/>
      <c r="G262" s="14"/>
      <c r="H262" s="15"/>
      <c r="I262" s="14"/>
      <c r="J262" s="15"/>
      <c r="K262" s="14"/>
      <c r="L262" s="15"/>
      <c r="M262" s="14"/>
      <c r="N262" s="15"/>
      <c r="O262" s="14"/>
      <c r="P262" s="15"/>
      <c r="Q262" s="14"/>
      <c r="R262" s="15"/>
      <c r="S262" s="14"/>
      <c r="T262" s="15"/>
      <c r="U262" s="14"/>
      <c r="V262" s="15"/>
      <c r="W262" s="14"/>
      <c r="X262" s="15"/>
      <c r="Y262" s="14"/>
      <c r="Z262" s="15"/>
      <c r="AA262" s="14"/>
      <c r="AB262" s="15"/>
      <c r="AC262" s="14"/>
      <c r="AD262" s="15"/>
      <c r="AE262" s="14"/>
      <c r="AF262" s="15"/>
      <c r="AG262" s="14"/>
      <c r="AH262" s="15"/>
      <c r="AI262" s="14"/>
      <c r="AJ262" s="15"/>
      <c r="AK262" s="107"/>
    </row>
    <row r="263" spans="1:37" ht="16.5" customHeight="1" x14ac:dyDescent="0.2">
      <c r="A263" s="6"/>
      <c r="B263" s="11">
        <f t="shared" si="89"/>
        <v>3</v>
      </c>
      <c r="C263" s="135">
        <f>'Kelas X'!C251</f>
        <v>16520</v>
      </c>
      <c r="D263" s="34" t="str">
        <f>'Kelas X'!D251</f>
        <v>AISYAH NAURAH RAYYANI</v>
      </c>
      <c r="E263" s="14"/>
      <c r="F263" s="15"/>
      <c r="G263" s="14"/>
      <c r="H263" s="15"/>
      <c r="I263" s="14"/>
      <c r="J263" s="15"/>
      <c r="K263" s="14"/>
      <c r="L263" s="15"/>
      <c r="M263" s="14"/>
      <c r="N263" s="15"/>
      <c r="O263" s="14"/>
      <c r="P263" s="15"/>
      <c r="Q263" s="14"/>
      <c r="R263" s="15"/>
      <c r="S263" s="14"/>
      <c r="T263" s="15"/>
      <c r="U263" s="14"/>
      <c r="V263" s="15"/>
      <c r="W263" s="14"/>
      <c r="X263" s="15"/>
      <c r="Y263" s="14"/>
      <c r="Z263" s="15"/>
      <c r="AA263" s="14"/>
      <c r="AB263" s="15"/>
      <c r="AC263" s="14"/>
      <c r="AD263" s="15"/>
      <c r="AE263" s="14"/>
      <c r="AF263" s="15"/>
      <c r="AG263" s="14"/>
      <c r="AH263" s="15"/>
      <c r="AI263" s="14"/>
      <c r="AJ263" s="15"/>
      <c r="AK263" s="107"/>
    </row>
    <row r="264" spans="1:37" ht="16.5" customHeight="1" x14ac:dyDescent="0.2">
      <c r="A264" s="6"/>
      <c r="B264" s="11">
        <f t="shared" si="89"/>
        <v>4</v>
      </c>
      <c r="C264" s="135">
        <f>'Kelas X'!C252</f>
        <v>16521</v>
      </c>
      <c r="D264" s="34" t="str">
        <f>'Kelas X'!D252</f>
        <v>AJENG AINUR FAJRIYAH</v>
      </c>
      <c r="E264" s="14"/>
      <c r="F264" s="15"/>
      <c r="G264" s="14"/>
      <c r="H264" s="15"/>
      <c r="I264" s="14"/>
      <c r="J264" s="15"/>
      <c r="K264" s="14"/>
      <c r="L264" s="15"/>
      <c r="M264" s="14"/>
      <c r="N264" s="15"/>
      <c r="O264" s="14"/>
      <c r="P264" s="15"/>
      <c r="Q264" s="14"/>
      <c r="R264" s="15"/>
      <c r="S264" s="14"/>
      <c r="T264" s="15"/>
      <c r="U264" s="14"/>
      <c r="V264" s="15"/>
      <c r="W264" s="14"/>
      <c r="X264" s="15"/>
      <c r="Y264" s="14"/>
      <c r="Z264" s="15"/>
      <c r="AA264" s="14"/>
      <c r="AB264" s="15"/>
      <c r="AC264" s="14"/>
      <c r="AD264" s="15"/>
      <c r="AE264" s="14"/>
      <c r="AF264" s="15"/>
      <c r="AG264" s="14"/>
      <c r="AH264" s="15"/>
      <c r="AI264" s="14"/>
      <c r="AJ264" s="15"/>
      <c r="AK264" s="107"/>
    </row>
    <row r="265" spans="1:37" ht="16.5" customHeight="1" x14ac:dyDescent="0.2">
      <c r="A265" s="6"/>
      <c r="B265" s="11">
        <f t="shared" si="89"/>
        <v>5</v>
      </c>
      <c r="C265" s="135">
        <f>'Kelas X'!C253</f>
        <v>16522</v>
      </c>
      <c r="D265" s="34" t="str">
        <f>'Kelas X'!D253</f>
        <v>ALIA ADILA PUTRI</v>
      </c>
      <c r="E265" s="14"/>
      <c r="F265" s="15"/>
      <c r="G265" s="14"/>
      <c r="H265" s="15"/>
      <c r="I265" s="14"/>
      <c r="J265" s="15"/>
      <c r="K265" s="14"/>
      <c r="L265" s="15"/>
      <c r="M265" s="14"/>
      <c r="N265" s="15"/>
      <c r="O265" s="14"/>
      <c r="P265" s="15"/>
      <c r="Q265" s="14"/>
      <c r="R265" s="15"/>
      <c r="S265" s="14"/>
      <c r="T265" s="15"/>
      <c r="U265" s="14"/>
      <c r="V265" s="15"/>
      <c r="W265" s="14"/>
      <c r="X265" s="15"/>
      <c r="Y265" s="14"/>
      <c r="Z265" s="15"/>
      <c r="AA265" s="14"/>
      <c r="AB265" s="15"/>
      <c r="AC265" s="14"/>
      <c r="AD265" s="15"/>
      <c r="AE265" s="14"/>
      <c r="AF265" s="15"/>
      <c r="AG265" s="14"/>
      <c r="AH265" s="15"/>
      <c r="AI265" s="14"/>
      <c r="AJ265" s="15"/>
      <c r="AK265" s="107"/>
    </row>
    <row r="266" spans="1:37" ht="16.5" customHeight="1" x14ac:dyDescent="0.2">
      <c r="A266" s="6"/>
      <c r="B266" s="11">
        <f t="shared" si="89"/>
        <v>6</v>
      </c>
      <c r="C266" s="135">
        <f>'Kelas X'!C254</f>
        <v>16523</v>
      </c>
      <c r="D266" s="34" t="str">
        <f>'Kelas X'!D254</f>
        <v>ALMIRA SAFA RAIHANA</v>
      </c>
      <c r="E266" s="14"/>
      <c r="F266" s="15"/>
      <c r="G266" s="14"/>
      <c r="H266" s="15"/>
      <c r="I266" s="14"/>
      <c r="J266" s="15"/>
      <c r="K266" s="14"/>
      <c r="L266" s="15"/>
      <c r="M266" s="14"/>
      <c r="N266" s="15"/>
      <c r="O266" s="14"/>
      <c r="P266" s="15"/>
      <c r="Q266" s="14"/>
      <c r="R266" s="15"/>
      <c r="S266" s="14"/>
      <c r="T266" s="15"/>
      <c r="U266" s="14"/>
      <c r="V266" s="15"/>
      <c r="W266" s="14"/>
      <c r="X266" s="15"/>
      <c r="Y266" s="14"/>
      <c r="Z266" s="15"/>
      <c r="AA266" s="14"/>
      <c r="AB266" s="15"/>
      <c r="AC266" s="14"/>
      <c r="AD266" s="15"/>
      <c r="AE266" s="14"/>
      <c r="AF266" s="15"/>
      <c r="AG266" s="14"/>
      <c r="AH266" s="15"/>
      <c r="AI266" s="14"/>
      <c r="AJ266" s="15"/>
      <c r="AK266" s="107"/>
    </row>
    <row r="267" spans="1:37" ht="16.5" customHeight="1" x14ac:dyDescent="0.2">
      <c r="A267" s="6"/>
      <c r="B267" s="11">
        <f t="shared" si="89"/>
        <v>7</v>
      </c>
      <c r="C267" s="135">
        <f>'Kelas X'!C255</f>
        <v>16524</v>
      </c>
      <c r="D267" s="34" t="str">
        <f>'Kelas X'!D255</f>
        <v>AMANDA SALVIA KHAIRUNISA</v>
      </c>
      <c r="E267" s="14"/>
      <c r="F267" s="15"/>
      <c r="G267" s="14"/>
      <c r="H267" s="15"/>
      <c r="I267" s="14"/>
      <c r="J267" s="15"/>
      <c r="K267" s="14"/>
      <c r="L267" s="15"/>
      <c r="M267" s="14"/>
      <c r="N267" s="15"/>
      <c r="O267" s="14"/>
      <c r="P267" s="15"/>
      <c r="Q267" s="14"/>
      <c r="R267" s="15"/>
      <c r="S267" s="14"/>
      <c r="T267" s="15"/>
      <c r="U267" s="14"/>
      <c r="V267" s="15"/>
      <c r="W267" s="14"/>
      <c r="X267" s="15"/>
      <c r="Y267" s="14"/>
      <c r="Z267" s="15"/>
      <c r="AA267" s="14"/>
      <c r="AB267" s="15"/>
      <c r="AC267" s="14"/>
      <c r="AD267" s="15"/>
      <c r="AE267" s="14"/>
      <c r="AF267" s="15"/>
      <c r="AG267" s="14"/>
      <c r="AH267" s="15"/>
      <c r="AI267" s="14"/>
      <c r="AJ267" s="15"/>
      <c r="AK267" s="107"/>
    </row>
    <row r="268" spans="1:37" ht="16.5" customHeight="1" x14ac:dyDescent="0.2">
      <c r="A268" s="6"/>
      <c r="B268" s="11">
        <f t="shared" si="89"/>
        <v>8</v>
      </c>
      <c r="C268" s="135">
        <f>'Kelas X'!C256</f>
        <v>16525</v>
      </c>
      <c r="D268" s="34" t="str">
        <f>'Kelas X'!D256</f>
        <v>AQILAH TUHFAH TAZKIYAH</v>
      </c>
      <c r="E268" s="14"/>
      <c r="F268" s="15"/>
      <c r="G268" s="14"/>
      <c r="H268" s="15"/>
      <c r="I268" s="14"/>
      <c r="J268" s="15"/>
      <c r="K268" s="14"/>
      <c r="L268" s="15"/>
      <c r="M268" s="14"/>
      <c r="N268" s="15"/>
      <c r="O268" s="14"/>
      <c r="P268" s="15"/>
      <c r="Q268" s="14"/>
      <c r="R268" s="15"/>
      <c r="S268" s="14"/>
      <c r="T268" s="15"/>
      <c r="U268" s="14"/>
      <c r="V268" s="15"/>
      <c r="W268" s="14"/>
      <c r="X268" s="15"/>
      <c r="Y268" s="14"/>
      <c r="Z268" s="15"/>
      <c r="AA268" s="14"/>
      <c r="AB268" s="15"/>
      <c r="AC268" s="14"/>
      <c r="AD268" s="15"/>
      <c r="AE268" s="14"/>
      <c r="AF268" s="15"/>
      <c r="AG268" s="14"/>
      <c r="AH268" s="15"/>
      <c r="AI268" s="14"/>
      <c r="AJ268" s="15"/>
      <c r="AK268" s="107"/>
    </row>
    <row r="269" spans="1:37" ht="16.5" customHeight="1" x14ac:dyDescent="0.2">
      <c r="A269" s="6"/>
      <c r="B269" s="11">
        <f t="shared" si="89"/>
        <v>9</v>
      </c>
      <c r="C269" s="135">
        <f>'Kelas X'!C257</f>
        <v>16526</v>
      </c>
      <c r="D269" s="34" t="str">
        <f>'Kelas X'!D257</f>
        <v>AULIYA LATHIFATUL HASANAH</v>
      </c>
      <c r="E269" s="14"/>
      <c r="F269" s="15"/>
      <c r="G269" s="14"/>
      <c r="H269" s="15"/>
      <c r="I269" s="14"/>
      <c r="J269" s="15"/>
      <c r="K269" s="14"/>
      <c r="L269" s="15"/>
      <c r="M269" s="14"/>
      <c r="N269" s="15"/>
      <c r="O269" s="14"/>
      <c r="P269" s="15"/>
      <c r="Q269" s="14"/>
      <c r="R269" s="15"/>
      <c r="S269" s="14"/>
      <c r="T269" s="15"/>
      <c r="U269" s="14"/>
      <c r="V269" s="15"/>
      <c r="W269" s="14"/>
      <c r="X269" s="15"/>
      <c r="Y269" s="14"/>
      <c r="Z269" s="15"/>
      <c r="AA269" s="14"/>
      <c r="AB269" s="15"/>
      <c r="AC269" s="14"/>
      <c r="AD269" s="15"/>
      <c r="AE269" s="14"/>
      <c r="AF269" s="15"/>
      <c r="AG269" s="14"/>
      <c r="AH269" s="15"/>
      <c r="AI269" s="14"/>
      <c r="AJ269" s="15"/>
      <c r="AK269" s="107"/>
    </row>
    <row r="270" spans="1:37" ht="16.5" customHeight="1" x14ac:dyDescent="0.2">
      <c r="A270" s="6"/>
      <c r="B270" s="11">
        <f t="shared" si="89"/>
        <v>10</v>
      </c>
      <c r="C270" s="135">
        <f>'Kelas X'!C258</f>
        <v>16527</v>
      </c>
      <c r="D270" s="34" t="str">
        <f>'Kelas X'!D258</f>
        <v>BELINDA AZALIA ATMAWATI</v>
      </c>
      <c r="E270" s="14"/>
      <c r="F270" s="15"/>
      <c r="G270" s="14"/>
      <c r="H270" s="15"/>
      <c r="I270" s="14"/>
      <c r="J270" s="15"/>
      <c r="K270" s="14"/>
      <c r="L270" s="15"/>
      <c r="M270" s="14"/>
      <c r="N270" s="15"/>
      <c r="O270" s="14"/>
      <c r="P270" s="15"/>
      <c r="Q270" s="14"/>
      <c r="R270" s="15"/>
      <c r="S270" s="14"/>
      <c r="T270" s="15"/>
      <c r="U270" s="14"/>
      <c r="V270" s="15"/>
      <c r="W270" s="14"/>
      <c r="X270" s="15"/>
      <c r="Y270" s="14"/>
      <c r="Z270" s="15"/>
      <c r="AA270" s="14"/>
      <c r="AB270" s="15"/>
      <c r="AC270" s="14"/>
      <c r="AD270" s="15"/>
      <c r="AE270" s="14"/>
      <c r="AF270" s="15"/>
      <c r="AG270" s="14"/>
      <c r="AH270" s="15"/>
      <c r="AI270" s="14"/>
      <c r="AJ270" s="15"/>
      <c r="AK270" s="107"/>
    </row>
    <row r="271" spans="1:37" ht="16.5" customHeight="1" x14ac:dyDescent="0.2">
      <c r="A271" s="6"/>
      <c r="B271" s="11">
        <f t="shared" si="89"/>
        <v>11</v>
      </c>
      <c r="C271" s="135">
        <f>'Kelas X'!C259</f>
        <v>16528</v>
      </c>
      <c r="D271" s="34" t="str">
        <f>'Kelas X'!D259</f>
        <v>ELLENA TRYSTANTYA HIDAYAHTUL RAHMAH</v>
      </c>
      <c r="E271" s="14"/>
      <c r="F271" s="15"/>
      <c r="G271" s="14"/>
      <c r="H271" s="15"/>
      <c r="I271" s="14"/>
      <c r="J271" s="15"/>
      <c r="K271" s="14"/>
      <c r="L271" s="15"/>
      <c r="M271" s="14"/>
      <c r="N271" s="15"/>
      <c r="O271" s="14"/>
      <c r="P271" s="15"/>
      <c r="Q271" s="14"/>
      <c r="R271" s="15"/>
      <c r="S271" s="14"/>
      <c r="T271" s="15"/>
      <c r="U271" s="14"/>
      <c r="V271" s="15"/>
      <c r="W271" s="14"/>
      <c r="X271" s="15"/>
      <c r="Y271" s="14"/>
      <c r="Z271" s="15"/>
      <c r="AA271" s="14"/>
      <c r="AB271" s="15"/>
      <c r="AC271" s="14"/>
      <c r="AD271" s="15"/>
      <c r="AE271" s="14"/>
      <c r="AF271" s="15"/>
      <c r="AG271" s="14"/>
      <c r="AH271" s="15"/>
      <c r="AI271" s="14"/>
      <c r="AJ271" s="15"/>
      <c r="AK271" s="107"/>
    </row>
    <row r="272" spans="1:37" ht="16.5" customHeight="1" x14ac:dyDescent="0.2">
      <c r="A272" s="6"/>
      <c r="B272" s="11">
        <f t="shared" si="89"/>
        <v>12</v>
      </c>
      <c r="C272" s="135">
        <f>'Kelas X'!C260</f>
        <v>16529</v>
      </c>
      <c r="D272" s="34" t="str">
        <f>'Kelas X'!D260</f>
        <v>GEDZNITA DEVINA MALIK</v>
      </c>
      <c r="E272" s="14"/>
      <c r="F272" s="15"/>
      <c r="G272" s="14"/>
      <c r="H272" s="15"/>
      <c r="I272" s="14"/>
      <c r="J272" s="15"/>
      <c r="K272" s="14"/>
      <c r="L272" s="15"/>
      <c r="M272" s="14"/>
      <c r="N272" s="15"/>
      <c r="O272" s="14"/>
      <c r="P272" s="15"/>
      <c r="Q272" s="14"/>
      <c r="R272" s="15"/>
      <c r="S272" s="14"/>
      <c r="T272" s="15"/>
      <c r="U272" s="14"/>
      <c r="V272" s="15"/>
      <c r="W272" s="14"/>
      <c r="X272" s="15"/>
      <c r="Y272" s="14"/>
      <c r="Z272" s="15"/>
      <c r="AA272" s="14"/>
      <c r="AB272" s="15"/>
      <c r="AC272" s="14"/>
      <c r="AD272" s="15"/>
      <c r="AE272" s="14"/>
      <c r="AF272" s="15"/>
      <c r="AG272" s="14"/>
      <c r="AH272" s="15"/>
      <c r="AI272" s="14"/>
      <c r="AJ272" s="15"/>
      <c r="AK272" s="107"/>
    </row>
    <row r="273" spans="1:37" ht="16.5" customHeight="1" x14ac:dyDescent="0.2">
      <c r="A273" s="6"/>
      <c r="B273" s="11">
        <f t="shared" si="89"/>
        <v>13</v>
      </c>
      <c r="C273" s="135">
        <f>'Kelas X'!C261</f>
        <v>16530</v>
      </c>
      <c r="D273" s="34" t="str">
        <f>'Kelas X'!D261</f>
        <v>GENDHIS GANINTA MUNANDAR</v>
      </c>
      <c r="E273" s="14"/>
      <c r="F273" s="15"/>
      <c r="G273" s="14"/>
      <c r="H273" s="15"/>
      <c r="I273" s="14"/>
      <c r="J273" s="15"/>
      <c r="K273" s="14"/>
      <c r="L273" s="15"/>
      <c r="M273" s="14"/>
      <c r="N273" s="15"/>
      <c r="O273" s="14"/>
      <c r="P273" s="15"/>
      <c r="Q273" s="14"/>
      <c r="R273" s="15"/>
      <c r="S273" s="14"/>
      <c r="T273" s="15"/>
      <c r="U273" s="14"/>
      <c r="V273" s="15"/>
      <c r="W273" s="14"/>
      <c r="X273" s="15"/>
      <c r="Y273" s="14"/>
      <c r="Z273" s="15"/>
      <c r="AA273" s="14"/>
      <c r="AB273" s="15"/>
      <c r="AC273" s="14"/>
      <c r="AD273" s="15"/>
      <c r="AE273" s="14"/>
      <c r="AF273" s="15"/>
      <c r="AG273" s="14"/>
      <c r="AH273" s="15"/>
      <c r="AI273" s="14"/>
      <c r="AJ273" s="15"/>
      <c r="AK273" s="107"/>
    </row>
    <row r="274" spans="1:37" ht="16.5" customHeight="1" x14ac:dyDescent="0.2">
      <c r="A274" s="6"/>
      <c r="B274" s="11">
        <f t="shared" si="89"/>
        <v>14</v>
      </c>
      <c r="C274" s="135">
        <f>'Kelas X'!C262</f>
        <v>16531</v>
      </c>
      <c r="D274" s="34" t="str">
        <f>'Kelas X'!D262</f>
        <v>ICHA LUTHFIANA</v>
      </c>
      <c r="E274" s="14"/>
      <c r="F274" s="15"/>
      <c r="G274" s="14"/>
      <c r="H274" s="15"/>
      <c r="I274" s="14"/>
      <c r="J274" s="15"/>
      <c r="K274" s="14"/>
      <c r="L274" s="15"/>
      <c r="M274" s="14"/>
      <c r="N274" s="15"/>
      <c r="O274" s="14"/>
      <c r="P274" s="15"/>
      <c r="Q274" s="14"/>
      <c r="R274" s="15"/>
      <c r="S274" s="14"/>
      <c r="T274" s="15"/>
      <c r="U274" s="14"/>
      <c r="V274" s="15"/>
      <c r="W274" s="14"/>
      <c r="X274" s="15"/>
      <c r="Y274" s="14"/>
      <c r="Z274" s="15"/>
      <c r="AA274" s="14"/>
      <c r="AB274" s="15"/>
      <c r="AC274" s="14"/>
      <c r="AD274" s="15"/>
      <c r="AE274" s="14"/>
      <c r="AF274" s="15"/>
      <c r="AG274" s="14"/>
      <c r="AH274" s="15"/>
      <c r="AI274" s="14"/>
      <c r="AJ274" s="15"/>
      <c r="AK274" s="107"/>
    </row>
    <row r="275" spans="1:37" ht="16.5" customHeight="1" x14ac:dyDescent="0.2">
      <c r="A275" s="6"/>
      <c r="B275" s="11">
        <f t="shared" si="89"/>
        <v>15</v>
      </c>
      <c r="C275" s="135">
        <f>'Kelas X'!C263</f>
        <v>16532</v>
      </c>
      <c r="D275" s="34" t="str">
        <f>'Kelas X'!D263</f>
        <v>JULVIENI ARYA PRAMITA SARI</v>
      </c>
      <c r="E275" s="14"/>
      <c r="F275" s="15"/>
      <c r="G275" s="14"/>
      <c r="H275" s="15"/>
      <c r="I275" s="14"/>
      <c r="J275" s="15"/>
      <c r="K275" s="14"/>
      <c r="L275" s="15"/>
      <c r="M275" s="14"/>
      <c r="N275" s="15"/>
      <c r="O275" s="14"/>
      <c r="P275" s="15"/>
      <c r="Q275" s="14"/>
      <c r="R275" s="15"/>
      <c r="S275" s="14"/>
      <c r="T275" s="15"/>
      <c r="U275" s="14"/>
      <c r="V275" s="15"/>
      <c r="W275" s="14"/>
      <c r="X275" s="15"/>
      <c r="Y275" s="14"/>
      <c r="Z275" s="15"/>
      <c r="AA275" s="14"/>
      <c r="AB275" s="15"/>
      <c r="AC275" s="14"/>
      <c r="AD275" s="15"/>
      <c r="AE275" s="14"/>
      <c r="AF275" s="15"/>
      <c r="AG275" s="14"/>
      <c r="AH275" s="15"/>
      <c r="AI275" s="14"/>
      <c r="AJ275" s="15"/>
      <c r="AK275" s="107"/>
    </row>
    <row r="276" spans="1:37" ht="16.5" customHeight="1" x14ac:dyDescent="0.2">
      <c r="A276" s="6"/>
      <c r="B276" s="11">
        <f t="shared" si="89"/>
        <v>16</v>
      </c>
      <c r="C276" s="135">
        <f>'Kelas X'!C264</f>
        <v>16533</v>
      </c>
      <c r="D276" s="34" t="str">
        <f>'Kelas X'!D264</f>
        <v>KARIMAH AISYAH PUTRI</v>
      </c>
      <c r="E276" s="14"/>
      <c r="F276" s="15"/>
      <c r="G276" s="14"/>
      <c r="H276" s="15"/>
      <c r="I276" s="14"/>
      <c r="J276" s="15"/>
      <c r="K276" s="14"/>
      <c r="L276" s="15"/>
      <c r="M276" s="14"/>
      <c r="N276" s="15"/>
      <c r="O276" s="14"/>
      <c r="P276" s="15"/>
      <c r="Q276" s="14"/>
      <c r="R276" s="15"/>
      <c r="S276" s="14"/>
      <c r="T276" s="15"/>
      <c r="U276" s="14"/>
      <c r="V276" s="15"/>
      <c r="W276" s="14"/>
      <c r="X276" s="15"/>
      <c r="Y276" s="14"/>
      <c r="Z276" s="15"/>
      <c r="AA276" s="14"/>
      <c r="AB276" s="15"/>
      <c r="AC276" s="14"/>
      <c r="AD276" s="15"/>
      <c r="AE276" s="14"/>
      <c r="AF276" s="15"/>
      <c r="AG276" s="14"/>
      <c r="AH276" s="15"/>
      <c r="AI276" s="14"/>
      <c r="AJ276" s="15"/>
      <c r="AK276" s="107"/>
    </row>
    <row r="277" spans="1:37" ht="16.5" customHeight="1" x14ac:dyDescent="0.2">
      <c r="A277" s="6"/>
      <c r="B277" s="11">
        <f t="shared" si="89"/>
        <v>17</v>
      </c>
      <c r="C277" s="135">
        <f>'Kelas X'!C265</f>
        <v>16534</v>
      </c>
      <c r="D277" s="34" t="str">
        <f>'Kelas X'!D265</f>
        <v>KEYSHAZENDI ALYA AZAHRA</v>
      </c>
      <c r="E277" s="14"/>
      <c r="F277" s="15"/>
      <c r="G277" s="14"/>
      <c r="H277" s="15"/>
      <c r="I277" s="14"/>
      <c r="J277" s="15"/>
      <c r="K277" s="14"/>
      <c r="L277" s="15"/>
      <c r="M277" s="14"/>
      <c r="N277" s="15"/>
      <c r="O277" s="14"/>
      <c r="P277" s="15"/>
      <c r="Q277" s="14"/>
      <c r="R277" s="15"/>
      <c r="S277" s="14"/>
      <c r="T277" s="15"/>
      <c r="U277" s="14"/>
      <c r="V277" s="15"/>
      <c r="W277" s="14"/>
      <c r="X277" s="15"/>
      <c r="Y277" s="14"/>
      <c r="Z277" s="15"/>
      <c r="AA277" s="14"/>
      <c r="AB277" s="15"/>
      <c r="AC277" s="14"/>
      <c r="AD277" s="15"/>
      <c r="AE277" s="14"/>
      <c r="AF277" s="15"/>
      <c r="AG277" s="14"/>
      <c r="AH277" s="15"/>
      <c r="AI277" s="14"/>
      <c r="AJ277" s="15"/>
      <c r="AK277" s="107"/>
    </row>
    <row r="278" spans="1:37" ht="16.5" customHeight="1" x14ac:dyDescent="0.2">
      <c r="A278" s="6"/>
      <c r="B278" s="11">
        <f t="shared" si="89"/>
        <v>18</v>
      </c>
      <c r="C278" s="135">
        <f>'Kelas X'!C266</f>
        <v>16535</v>
      </c>
      <c r="D278" s="34" t="str">
        <f>'Kelas X'!D266</f>
        <v>MAYASA AZKIYA QOLBY</v>
      </c>
      <c r="E278" s="14"/>
      <c r="F278" s="15"/>
      <c r="G278" s="14"/>
      <c r="H278" s="15"/>
      <c r="I278" s="14"/>
      <c r="J278" s="15"/>
      <c r="K278" s="14"/>
      <c r="L278" s="15"/>
      <c r="M278" s="14"/>
      <c r="N278" s="15"/>
      <c r="O278" s="14"/>
      <c r="P278" s="15"/>
      <c r="Q278" s="14"/>
      <c r="R278" s="15"/>
      <c r="S278" s="14"/>
      <c r="T278" s="15"/>
      <c r="U278" s="14"/>
      <c r="V278" s="15"/>
      <c r="W278" s="14"/>
      <c r="X278" s="15"/>
      <c r="Y278" s="14"/>
      <c r="Z278" s="15"/>
      <c r="AA278" s="14"/>
      <c r="AB278" s="15"/>
      <c r="AC278" s="14"/>
      <c r="AD278" s="15"/>
      <c r="AE278" s="14"/>
      <c r="AF278" s="15"/>
      <c r="AG278" s="14"/>
      <c r="AH278" s="15"/>
      <c r="AI278" s="14"/>
      <c r="AJ278" s="15"/>
      <c r="AK278" s="107"/>
    </row>
    <row r="279" spans="1:37" ht="16.5" customHeight="1" x14ac:dyDescent="0.2">
      <c r="A279" s="6"/>
      <c r="B279" s="11">
        <f t="shared" si="89"/>
        <v>19</v>
      </c>
      <c r="C279" s="135">
        <f>'Kelas X'!C267</f>
        <v>16536</v>
      </c>
      <c r="D279" s="34" t="str">
        <f>'Kelas X'!D267</f>
        <v>NAILATUS SYIFA</v>
      </c>
      <c r="E279" s="14"/>
      <c r="F279" s="15"/>
      <c r="G279" s="14"/>
      <c r="H279" s="15"/>
      <c r="I279" s="14"/>
      <c r="J279" s="15"/>
      <c r="K279" s="14"/>
      <c r="L279" s="15"/>
      <c r="M279" s="14"/>
      <c r="N279" s="15"/>
      <c r="O279" s="14"/>
      <c r="P279" s="15"/>
      <c r="Q279" s="14"/>
      <c r="R279" s="15"/>
      <c r="S279" s="14"/>
      <c r="T279" s="15"/>
      <c r="U279" s="14"/>
      <c r="V279" s="15"/>
      <c r="W279" s="14"/>
      <c r="X279" s="15"/>
      <c r="Y279" s="14"/>
      <c r="Z279" s="15"/>
      <c r="AA279" s="14"/>
      <c r="AB279" s="15"/>
      <c r="AC279" s="14"/>
      <c r="AD279" s="15"/>
      <c r="AE279" s="14"/>
      <c r="AF279" s="15"/>
      <c r="AG279" s="14"/>
      <c r="AH279" s="15"/>
      <c r="AI279" s="14"/>
      <c r="AJ279" s="15"/>
      <c r="AK279" s="107"/>
    </row>
    <row r="280" spans="1:37" ht="16.5" customHeight="1" x14ac:dyDescent="0.2">
      <c r="A280" s="6"/>
      <c r="B280" s="11">
        <f t="shared" si="89"/>
        <v>20</v>
      </c>
      <c r="C280" s="135">
        <f>'Kelas X'!C268</f>
        <v>16537</v>
      </c>
      <c r="D280" s="34" t="str">
        <f>'Kelas X'!D268</f>
        <v>NAURA ZALWA SYAHADA</v>
      </c>
      <c r="E280" s="14"/>
      <c r="F280" s="15"/>
      <c r="G280" s="14"/>
      <c r="H280" s="15"/>
      <c r="I280" s="14"/>
      <c r="J280" s="15"/>
      <c r="K280" s="14"/>
      <c r="L280" s="15"/>
      <c r="M280" s="14"/>
      <c r="N280" s="15"/>
      <c r="O280" s="14"/>
      <c r="P280" s="15"/>
      <c r="Q280" s="14"/>
      <c r="R280" s="15"/>
      <c r="S280" s="14"/>
      <c r="T280" s="15"/>
      <c r="U280" s="14"/>
      <c r="V280" s="15"/>
      <c r="W280" s="14"/>
      <c r="X280" s="15"/>
      <c r="Y280" s="14"/>
      <c r="Z280" s="15"/>
      <c r="AA280" s="14"/>
      <c r="AB280" s="15"/>
      <c r="AC280" s="14"/>
      <c r="AD280" s="15"/>
      <c r="AE280" s="14"/>
      <c r="AF280" s="15"/>
      <c r="AG280" s="14"/>
      <c r="AH280" s="15"/>
      <c r="AI280" s="14"/>
      <c r="AJ280" s="15"/>
      <c r="AK280" s="107"/>
    </row>
    <row r="281" spans="1:37" ht="16.5" customHeight="1" x14ac:dyDescent="0.2">
      <c r="A281" s="6"/>
      <c r="B281" s="11">
        <f t="shared" si="89"/>
        <v>21</v>
      </c>
      <c r="C281" s="135">
        <f>'Kelas X'!C269</f>
        <v>16538</v>
      </c>
      <c r="D281" s="34" t="str">
        <f>'Kelas X'!D269</f>
        <v>NAYLA DELISHA AFANDI</v>
      </c>
      <c r="E281" s="14"/>
      <c r="F281" s="15"/>
      <c r="G281" s="14"/>
      <c r="H281" s="15"/>
      <c r="I281" s="14"/>
      <c r="J281" s="15"/>
      <c r="K281" s="14"/>
      <c r="L281" s="15"/>
      <c r="M281" s="14"/>
      <c r="N281" s="15"/>
      <c r="O281" s="14"/>
      <c r="P281" s="15"/>
      <c r="Q281" s="14"/>
      <c r="R281" s="15"/>
      <c r="S281" s="14"/>
      <c r="T281" s="15"/>
      <c r="U281" s="14"/>
      <c r="V281" s="15"/>
      <c r="W281" s="14"/>
      <c r="X281" s="15"/>
      <c r="Y281" s="14"/>
      <c r="Z281" s="15"/>
      <c r="AA281" s="14"/>
      <c r="AB281" s="15"/>
      <c r="AC281" s="14"/>
      <c r="AD281" s="15"/>
      <c r="AE281" s="14"/>
      <c r="AF281" s="15"/>
      <c r="AG281" s="14"/>
      <c r="AH281" s="15"/>
      <c r="AI281" s="14"/>
      <c r="AJ281" s="15"/>
      <c r="AK281" s="107"/>
    </row>
    <row r="282" spans="1:37" ht="16.5" customHeight="1" x14ac:dyDescent="0.2">
      <c r="A282" s="6"/>
      <c r="B282" s="11">
        <f t="shared" si="89"/>
        <v>22</v>
      </c>
      <c r="C282" s="135">
        <f>'Kelas X'!C270</f>
        <v>16539</v>
      </c>
      <c r="D282" s="34" t="str">
        <f>'Kelas X'!D270</f>
        <v>NAZURAH GHAISANI KHOIRUNISA</v>
      </c>
      <c r="E282" s="14"/>
      <c r="F282" s="15"/>
      <c r="G282" s="14"/>
      <c r="H282" s="15"/>
      <c r="I282" s="14"/>
      <c r="J282" s="15"/>
      <c r="K282" s="14"/>
      <c r="L282" s="15"/>
      <c r="M282" s="14"/>
      <c r="N282" s="15"/>
      <c r="O282" s="14"/>
      <c r="P282" s="15"/>
      <c r="Q282" s="14"/>
      <c r="R282" s="15"/>
      <c r="S282" s="14"/>
      <c r="T282" s="15"/>
      <c r="U282" s="14"/>
      <c r="V282" s="15"/>
      <c r="W282" s="14"/>
      <c r="X282" s="15"/>
      <c r="Y282" s="14"/>
      <c r="Z282" s="15"/>
      <c r="AA282" s="14"/>
      <c r="AB282" s="15"/>
      <c r="AC282" s="14"/>
      <c r="AD282" s="15"/>
      <c r="AE282" s="14"/>
      <c r="AF282" s="15"/>
      <c r="AG282" s="14"/>
      <c r="AH282" s="15"/>
      <c r="AI282" s="14"/>
      <c r="AJ282" s="15"/>
      <c r="AK282" s="107"/>
    </row>
    <row r="283" spans="1:37" ht="16.5" customHeight="1" x14ac:dyDescent="0.2">
      <c r="A283" s="6"/>
      <c r="B283" s="11">
        <f t="shared" si="89"/>
        <v>23</v>
      </c>
      <c r="C283" s="135">
        <f>'Kelas X'!C271</f>
        <v>16540</v>
      </c>
      <c r="D283" s="34" t="str">
        <f>'Kelas X'!D271</f>
        <v>NURI AIDILLAH EFIDEFITA</v>
      </c>
      <c r="E283" s="14"/>
      <c r="F283" s="15"/>
      <c r="G283" s="14"/>
      <c r="H283" s="15"/>
      <c r="I283" s="14"/>
      <c r="J283" s="15"/>
      <c r="K283" s="14"/>
      <c r="L283" s="15"/>
      <c r="M283" s="14"/>
      <c r="N283" s="15"/>
      <c r="O283" s="14"/>
      <c r="P283" s="15"/>
      <c r="Q283" s="14"/>
      <c r="R283" s="15"/>
      <c r="S283" s="14"/>
      <c r="T283" s="15"/>
      <c r="U283" s="14"/>
      <c r="V283" s="15"/>
      <c r="W283" s="14"/>
      <c r="X283" s="15"/>
      <c r="Y283" s="14"/>
      <c r="Z283" s="15"/>
      <c r="AA283" s="14"/>
      <c r="AB283" s="15"/>
      <c r="AC283" s="14"/>
      <c r="AD283" s="15"/>
      <c r="AE283" s="14"/>
      <c r="AF283" s="15"/>
      <c r="AG283" s="14"/>
      <c r="AH283" s="15"/>
      <c r="AI283" s="14"/>
      <c r="AJ283" s="15"/>
      <c r="AK283" s="107"/>
    </row>
    <row r="284" spans="1:37" ht="16.5" customHeight="1" x14ac:dyDescent="0.2">
      <c r="A284" s="6"/>
      <c r="B284" s="11">
        <f t="shared" si="89"/>
        <v>24</v>
      </c>
      <c r="C284" s="135">
        <f>'Kelas X'!C272</f>
        <v>16541</v>
      </c>
      <c r="D284" s="34" t="str">
        <f>'Kelas X'!D272</f>
        <v>QATRUNNADA QURRATUL AYN</v>
      </c>
      <c r="E284" s="14"/>
      <c r="F284" s="15"/>
      <c r="G284" s="14"/>
      <c r="H284" s="15"/>
      <c r="I284" s="14"/>
      <c r="J284" s="15"/>
      <c r="K284" s="14"/>
      <c r="L284" s="15"/>
      <c r="M284" s="14"/>
      <c r="N284" s="15"/>
      <c r="O284" s="14"/>
      <c r="P284" s="15"/>
      <c r="Q284" s="14"/>
      <c r="R284" s="15"/>
      <c r="S284" s="14"/>
      <c r="T284" s="15"/>
      <c r="U284" s="14"/>
      <c r="V284" s="15"/>
      <c r="W284" s="14"/>
      <c r="X284" s="15"/>
      <c r="Y284" s="14"/>
      <c r="Z284" s="15"/>
      <c r="AA284" s="14"/>
      <c r="AB284" s="15"/>
      <c r="AC284" s="14"/>
      <c r="AD284" s="15"/>
      <c r="AE284" s="14"/>
      <c r="AF284" s="15"/>
      <c r="AG284" s="14"/>
      <c r="AH284" s="15"/>
      <c r="AI284" s="14"/>
      <c r="AJ284" s="15"/>
      <c r="AK284" s="107"/>
    </row>
    <row r="285" spans="1:37" ht="16.5" customHeight="1" x14ac:dyDescent="0.2">
      <c r="A285" s="6"/>
      <c r="B285" s="11">
        <f t="shared" si="89"/>
        <v>25</v>
      </c>
      <c r="C285" s="135">
        <f>'Kelas X'!C273</f>
        <v>16542</v>
      </c>
      <c r="D285" s="34" t="str">
        <f>'Kelas X'!D273</f>
        <v>QUINSHA DIRA SEA ALTHAAF</v>
      </c>
      <c r="E285" s="14"/>
      <c r="F285" s="15"/>
      <c r="G285" s="14"/>
      <c r="H285" s="15"/>
      <c r="I285" s="14"/>
      <c r="J285" s="15"/>
      <c r="K285" s="14"/>
      <c r="L285" s="15"/>
      <c r="M285" s="14"/>
      <c r="N285" s="15"/>
      <c r="O285" s="14"/>
      <c r="P285" s="15"/>
      <c r="Q285" s="14"/>
      <c r="R285" s="15"/>
      <c r="S285" s="14"/>
      <c r="T285" s="15"/>
      <c r="U285" s="14"/>
      <c r="V285" s="15"/>
      <c r="W285" s="14"/>
      <c r="X285" s="15"/>
      <c r="Y285" s="14"/>
      <c r="Z285" s="15"/>
      <c r="AA285" s="14"/>
      <c r="AB285" s="15"/>
      <c r="AC285" s="14"/>
      <c r="AD285" s="15"/>
      <c r="AE285" s="14"/>
      <c r="AF285" s="15"/>
      <c r="AG285" s="14"/>
      <c r="AH285" s="15"/>
      <c r="AI285" s="14"/>
      <c r="AJ285" s="15"/>
      <c r="AK285" s="107"/>
    </row>
    <row r="286" spans="1:37" ht="16.5" customHeight="1" x14ac:dyDescent="0.2">
      <c r="A286" s="6"/>
      <c r="B286" s="11">
        <f t="shared" si="89"/>
        <v>26</v>
      </c>
      <c r="C286" s="135">
        <f>'Kelas X'!C274</f>
        <v>16543</v>
      </c>
      <c r="D286" s="34" t="str">
        <f>'Kelas X'!D274</f>
        <v>RODLINA AL MINHATUS SANIYYAH</v>
      </c>
      <c r="E286" s="14"/>
      <c r="F286" s="15"/>
      <c r="G286" s="14"/>
      <c r="H286" s="15"/>
      <c r="I286" s="14"/>
      <c r="J286" s="15"/>
      <c r="K286" s="14"/>
      <c r="L286" s="15"/>
      <c r="M286" s="14"/>
      <c r="N286" s="15"/>
      <c r="O286" s="14"/>
      <c r="P286" s="15"/>
      <c r="Q286" s="14"/>
      <c r="R286" s="15"/>
      <c r="S286" s="14"/>
      <c r="T286" s="15"/>
      <c r="U286" s="14"/>
      <c r="V286" s="15"/>
      <c r="W286" s="14"/>
      <c r="X286" s="15"/>
      <c r="Y286" s="14"/>
      <c r="Z286" s="15"/>
      <c r="AA286" s="14"/>
      <c r="AB286" s="15"/>
      <c r="AC286" s="14"/>
      <c r="AD286" s="15"/>
      <c r="AE286" s="14"/>
      <c r="AF286" s="15"/>
      <c r="AG286" s="14"/>
      <c r="AH286" s="15"/>
      <c r="AI286" s="14"/>
      <c r="AJ286" s="15"/>
      <c r="AK286" s="107"/>
    </row>
    <row r="287" spans="1:37" ht="16.5" customHeight="1" x14ac:dyDescent="0.2">
      <c r="A287" s="6"/>
      <c r="B287" s="11">
        <f t="shared" si="89"/>
        <v>27</v>
      </c>
      <c r="C287" s="135">
        <f>'Kelas X'!C275</f>
        <v>16544</v>
      </c>
      <c r="D287" s="34" t="str">
        <f>'Kelas X'!D275</f>
        <v>SAFIRA NABILA</v>
      </c>
      <c r="E287" s="14"/>
      <c r="F287" s="15"/>
      <c r="G287" s="14"/>
      <c r="H287" s="15"/>
      <c r="I287" s="14"/>
      <c r="J287" s="15"/>
      <c r="K287" s="14"/>
      <c r="L287" s="15"/>
      <c r="M287" s="14"/>
      <c r="N287" s="15"/>
      <c r="O287" s="14"/>
      <c r="P287" s="15"/>
      <c r="Q287" s="14"/>
      <c r="R287" s="15"/>
      <c r="S287" s="14"/>
      <c r="T287" s="15"/>
      <c r="U287" s="14"/>
      <c r="V287" s="15"/>
      <c r="W287" s="14"/>
      <c r="X287" s="15"/>
      <c r="Y287" s="14"/>
      <c r="Z287" s="15"/>
      <c r="AA287" s="14"/>
      <c r="AB287" s="15"/>
      <c r="AC287" s="14"/>
      <c r="AD287" s="15"/>
      <c r="AE287" s="14"/>
      <c r="AF287" s="15"/>
      <c r="AG287" s="14"/>
      <c r="AH287" s="15"/>
      <c r="AI287" s="14"/>
      <c r="AJ287" s="15"/>
      <c r="AK287" s="107"/>
    </row>
    <row r="288" spans="1:37" ht="16.5" customHeight="1" x14ac:dyDescent="0.2">
      <c r="A288" s="6"/>
      <c r="B288" s="11">
        <f t="shared" si="89"/>
        <v>28</v>
      </c>
      <c r="C288" s="135">
        <f>'Kelas X'!C276</f>
        <v>16545</v>
      </c>
      <c r="D288" s="34" t="str">
        <f>'Kelas X'!D276</f>
        <v>YESIKA ARAPRILYA PUSPITA</v>
      </c>
      <c r="E288" s="14"/>
      <c r="F288" s="15"/>
      <c r="G288" s="14"/>
      <c r="H288" s="15"/>
      <c r="I288" s="14"/>
      <c r="J288" s="15"/>
      <c r="K288" s="14"/>
      <c r="L288" s="15"/>
      <c r="M288" s="14"/>
      <c r="N288" s="15"/>
      <c r="O288" s="14"/>
      <c r="P288" s="15"/>
      <c r="Q288" s="14"/>
      <c r="R288" s="15"/>
      <c r="S288" s="14"/>
      <c r="T288" s="15"/>
      <c r="U288" s="14"/>
      <c r="V288" s="15"/>
      <c r="W288" s="14"/>
      <c r="X288" s="15"/>
      <c r="Y288" s="14"/>
      <c r="Z288" s="15"/>
      <c r="AA288" s="14"/>
      <c r="AB288" s="15"/>
      <c r="AC288" s="14"/>
      <c r="AD288" s="15"/>
      <c r="AE288" s="14"/>
      <c r="AF288" s="15"/>
      <c r="AG288" s="14"/>
      <c r="AH288" s="15"/>
      <c r="AI288" s="14"/>
      <c r="AJ288" s="15"/>
      <c r="AK288" s="107"/>
    </row>
    <row r="289" spans="1:37" ht="16.5" customHeight="1" x14ac:dyDescent="0.2">
      <c r="A289" s="6"/>
      <c r="B289" s="11">
        <f t="shared" si="89"/>
        <v>29</v>
      </c>
      <c r="C289" s="135">
        <f>'Kelas X'!C277</f>
        <v>16546</v>
      </c>
      <c r="D289" s="34" t="str">
        <f>'Kelas X'!D277</f>
        <v>ZAFIRA AQIAH ANANTA</v>
      </c>
      <c r="E289" s="16"/>
      <c r="F289" s="17"/>
      <c r="G289" s="16"/>
      <c r="H289" s="17"/>
      <c r="I289" s="16"/>
      <c r="J289" s="17"/>
      <c r="K289" s="16"/>
      <c r="L289" s="17"/>
      <c r="M289" s="16"/>
      <c r="N289" s="17"/>
      <c r="O289" s="16"/>
      <c r="P289" s="17"/>
      <c r="Q289" s="16"/>
      <c r="R289" s="17"/>
      <c r="S289" s="16"/>
      <c r="T289" s="17"/>
      <c r="U289" s="16"/>
      <c r="V289" s="17"/>
      <c r="W289" s="16"/>
      <c r="X289" s="17"/>
      <c r="Y289" s="16"/>
      <c r="Z289" s="17"/>
      <c r="AA289" s="16"/>
      <c r="AB289" s="17"/>
      <c r="AC289" s="16"/>
      <c r="AD289" s="17"/>
      <c r="AE289" s="16"/>
      <c r="AF289" s="17"/>
      <c r="AG289" s="16"/>
      <c r="AH289" s="17"/>
      <c r="AI289" s="16"/>
      <c r="AJ289" s="17"/>
      <c r="AK289" s="107"/>
    </row>
    <row r="290" spans="1:37" ht="16.5" customHeight="1" x14ac:dyDescent="0.2">
      <c r="A290" s="6"/>
      <c r="B290" s="11">
        <f t="shared" si="89"/>
        <v>30</v>
      </c>
      <c r="C290" s="135">
        <f>'Kelas X'!C278</f>
        <v>0</v>
      </c>
      <c r="D290" s="34">
        <f>'Kelas X'!D278</f>
        <v>0</v>
      </c>
      <c r="E290" s="16"/>
      <c r="F290" s="17"/>
      <c r="G290" s="16"/>
      <c r="H290" s="17"/>
      <c r="I290" s="16"/>
      <c r="J290" s="17"/>
      <c r="K290" s="16"/>
      <c r="L290" s="17"/>
      <c r="M290" s="16"/>
      <c r="N290" s="17"/>
      <c r="O290" s="16"/>
      <c r="P290" s="17"/>
      <c r="Q290" s="16"/>
      <c r="R290" s="17"/>
      <c r="S290" s="16"/>
      <c r="T290" s="17"/>
      <c r="U290" s="16"/>
      <c r="V290" s="17"/>
      <c r="W290" s="16"/>
      <c r="X290" s="17"/>
      <c r="Y290" s="16"/>
      <c r="Z290" s="17"/>
      <c r="AA290" s="16"/>
      <c r="AB290" s="17"/>
      <c r="AC290" s="16"/>
      <c r="AD290" s="17"/>
      <c r="AE290" s="16"/>
      <c r="AF290" s="17"/>
      <c r="AG290" s="16"/>
      <c r="AH290" s="17"/>
      <c r="AI290" s="16"/>
      <c r="AJ290" s="17"/>
      <c r="AK290" s="107"/>
    </row>
    <row r="291" spans="1:37" ht="16.5" customHeight="1" x14ac:dyDescent="0.2">
      <c r="A291" s="6"/>
      <c r="B291" s="11">
        <f t="shared" si="89"/>
        <v>31</v>
      </c>
      <c r="C291" s="135">
        <f>'Kelas X'!C279</f>
        <v>0</v>
      </c>
      <c r="D291" s="34">
        <f>'Kelas X'!D279</f>
        <v>0</v>
      </c>
      <c r="E291" s="16"/>
      <c r="F291" s="17"/>
      <c r="G291" s="16"/>
      <c r="H291" s="17"/>
      <c r="I291" s="16"/>
      <c r="J291" s="17"/>
      <c r="K291" s="16"/>
      <c r="L291" s="17"/>
      <c r="M291" s="16"/>
      <c r="N291" s="17"/>
      <c r="O291" s="16"/>
      <c r="P291" s="17"/>
      <c r="Q291" s="16"/>
      <c r="R291" s="17"/>
      <c r="S291" s="16"/>
      <c r="T291" s="17"/>
      <c r="U291" s="16"/>
      <c r="V291" s="17"/>
      <c r="W291" s="16"/>
      <c r="X291" s="17"/>
      <c r="Y291" s="16"/>
      <c r="Z291" s="17"/>
      <c r="AA291" s="16"/>
      <c r="AB291" s="17"/>
      <c r="AC291" s="16"/>
      <c r="AD291" s="17"/>
      <c r="AE291" s="16"/>
      <c r="AF291" s="17"/>
      <c r="AG291" s="16"/>
      <c r="AH291" s="17"/>
      <c r="AI291" s="16"/>
      <c r="AJ291" s="17"/>
      <c r="AK291" s="107"/>
    </row>
    <row r="292" spans="1:37" ht="16.5" customHeight="1" x14ac:dyDescent="0.2">
      <c r="A292" s="6"/>
      <c r="B292" s="11">
        <f t="shared" si="89"/>
        <v>32</v>
      </c>
      <c r="C292" s="135">
        <f>'Kelas X'!C280</f>
        <v>0</v>
      </c>
      <c r="D292" s="34">
        <f>'Kelas X'!D280</f>
        <v>0</v>
      </c>
      <c r="E292" s="16"/>
      <c r="F292" s="17"/>
      <c r="G292" s="16"/>
      <c r="H292" s="17"/>
      <c r="I292" s="16"/>
      <c r="J292" s="17"/>
      <c r="K292" s="16"/>
      <c r="L292" s="17"/>
      <c r="M292" s="16"/>
      <c r="N292" s="17"/>
      <c r="O292" s="16"/>
      <c r="P292" s="17"/>
      <c r="Q292" s="16"/>
      <c r="R292" s="17"/>
      <c r="S292" s="16"/>
      <c r="T292" s="17"/>
      <c r="U292" s="16"/>
      <c r="V292" s="17"/>
      <c r="W292" s="16"/>
      <c r="X292" s="17"/>
      <c r="Y292" s="16"/>
      <c r="Z292" s="17"/>
      <c r="AA292" s="16"/>
      <c r="AB292" s="17"/>
      <c r="AC292" s="16"/>
      <c r="AD292" s="17"/>
      <c r="AE292" s="16"/>
      <c r="AF292" s="17"/>
      <c r="AG292" s="16"/>
      <c r="AH292" s="17"/>
      <c r="AI292" s="16"/>
      <c r="AJ292" s="17"/>
      <c r="AK292" s="107"/>
    </row>
    <row r="293" spans="1:37" ht="16.5" customHeight="1" x14ac:dyDescent="0.2">
      <c r="A293" s="6"/>
      <c r="B293" s="11">
        <f t="shared" si="89"/>
        <v>33</v>
      </c>
      <c r="C293" s="135">
        <f>'Kelas X'!C281</f>
        <v>0</v>
      </c>
      <c r="D293" s="34">
        <f>'Kelas X'!D281</f>
        <v>0</v>
      </c>
      <c r="E293" s="16"/>
      <c r="F293" s="17"/>
      <c r="G293" s="16"/>
      <c r="H293" s="17"/>
      <c r="I293" s="16"/>
      <c r="J293" s="17"/>
      <c r="K293" s="16"/>
      <c r="L293" s="17"/>
      <c r="M293" s="16"/>
      <c r="N293" s="17"/>
      <c r="O293" s="16"/>
      <c r="P293" s="17"/>
      <c r="Q293" s="16"/>
      <c r="R293" s="17"/>
      <c r="S293" s="16"/>
      <c r="T293" s="17"/>
      <c r="U293" s="16"/>
      <c r="V293" s="17"/>
      <c r="W293" s="16"/>
      <c r="X293" s="17"/>
      <c r="Y293" s="16"/>
      <c r="Z293" s="17"/>
      <c r="AA293" s="16"/>
      <c r="AB293" s="17"/>
      <c r="AC293" s="16"/>
      <c r="AD293" s="17"/>
      <c r="AE293" s="16"/>
      <c r="AF293" s="17"/>
      <c r="AG293" s="16"/>
      <c r="AH293" s="17"/>
      <c r="AI293" s="16"/>
      <c r="AJ293" s="17"/>
      <c r="AK293" s="107"/>
    </row>
    <row r="294" spans="1:37" ht="16.5" customHeight="1" x14ac:dyDescent="0.2">
      <c r="A294" s="6"/>
      <c r="B294" s="11">
        <f t="shared" si="89"/>
        <v>34</v>
      </c>
      <c r="C294" s="135">
        <f>'Kelas X'!C282</f>
        <v>0</v>
      </c>
      <c r="D294" s="34">
        <f>'Kelas X'!D282</f>
        <v>0</v>
      </c>
      <c r="E294" s="16"/>
      <c r="F294" s="17"/>
      <c r="G294" s="16"/>
      <c r="H294" s="17"/>
      <c r="I294" s="16"/>
      <c r="J294" s="17"/>
      <c r="K294" s="16"/>
      <c r="L294" s="17"/>
      <c r="M294" s="16"/>
      <c r="N294" s="17"/>
      <c r="O294" s="16"/>
      <c r="P294" s="17"/>
      <c r="Q294" s="16"/>
      <c r="R294" s="17"/>
      <c r="S294" s="16"/>
      <c r="T294" s="17"/>
      <c r="U294" s="16"/>
      <c r="V294" s="17"/>
      <c r="W294" s="16"/>
      <c r="X294" s="17"/>
      <c r="Y294" s="16"/>
      <c r="Z294" s="17"/>
      <c r="AA294" s="16"/>
      <c r="AB294" s="17"/>
      <c r="AC294" s="16"/>
      <c r="AD294" s="17"/>
      <c r="AE294" s="16"/>
      <c r="AF294" s="17"/>
      <c r="AG294" s="16"/>
      <c r="AH294" s="17"/>
      <c r="AI294" s="16"/>
      <c r="AJ294" s="17"/>
      <c r="AK294" s="107"/>
    </row>
    <row r="295" spans="1:37" ht="16.5" customHeight="1" x14ac:dyDescent="0.2">
      <c r="A295" s="6"/>
      <c r="B295" s="11">
        <f t="shared" si="89"/>
        <v>35</v>
      </c>
      <c r="C295" s="135">
        <f>'Kelas X'!C283</f>
        <v>0</v>
      </c>
      <c r="D295" s="34">
        <f>'Kelas X'!D283</f>
        <v>0</v>
      </c>
      <c r="E295" s="16"/>
      <c r="F295" s="17"/>
      <c r="G295" s="16"/>
      <c r="H295" s="17"/>
      <c r="I295" s="16"/>
      <c r="J295" s="17"/>
      <c r="K295" s="16"/>
      <c r="L295" s="17"/>
      <c r="M295" s="16"/>
      <c r="N295" s="17"/>
      <c r="O295" s="16"/>
      <c r="P295" s="17"/>
      <c r="Q295" s="16"/>
      <c r="R295" s="17"/>
      <c r="S295" s="16"/>
      <c r="T295" s="17"/>
      <c r="U295" s="16"/>
      <c r="V295" s="17"/>
      <c r="W295" s="16"/>
      <c r="X295" s="17"/>
      <c r="Y295" s="16"/>
      <c r="Z295" s="17"/>
      <c r="AA295" s="16"/>
      <c r="AB295" s="17"/>
      <c r="AC295" s="16"/>
      <c r="AD295" s="17"/>
      <c r="AE295" s="16"/>
      <c r="AF295" s="17"/>
      <c r="AG295" s="16"/>
      <c r="AH295" s="17"/>
      <c r="AI295" s="16"/>
      <c r="AJ295" s="17"/>
      <c r="AK295" s="107"/>
    </row>
    <row r="296" spans="1:37" ht="16.5" customHeight="1" x14ac:dyDescent="0.2">
      <c r="A296" s="6"/>
      <c r="B296" s="11">
        <f t="shared" si="89"/>
        <v>36</v>
      </c>
      <c r="C296" s="135">
        <f>'Kelas X'!C284</f>
        <v>0</v>
      </c>
      <c r="D296" s="34">
        <f>'Kelas X'!D284</f>
        <v>0</v>
      </c>
      <c r="E296" s="16"/>
      <c r="F296" s="17"/>
      <c r="G296" s="16"/>
      <c r="H296" s="17"/>
      <c r="I296" s="16"/>
      <c r="J296" s="17"/>
      <c r="K296" s="16"/>
      <c r="L296" s="17"/>
      <c r="M296" s="16"/>
      <c r="N296" s="17"/>
      <c r="O296" s="16"/>
      <c r="P296" s="17"/>
      <c r="Q296" s="16"/>
      <c r="R296" s="17"/>
      <c r="S296" s="16"/>
      <c r="T296" s="17"/>
      <c r="U296" s="16"/>
      <c r="V296" s="17"/>
      <c r="W296" s="16"/>
      <c r="X296" s="17"/>
      <c r="Y296" s="16"/>
      <c r="Z296" s="17"/>
      <c r="AA296" s="16"/>
      <c r="AB296" s="17"/>
      <c r="AC296" s="16"/>
      <c r="AD296" s="17"/>
      <c r="AE296" s="16"/>
      <c r="AF296" s="17"/>
      <c r="AG296" s="16"/>
      <c r="AH296" s="17"/>
      <c r="AI296" s="16"/>
      <c r="AJ296" s="17"/>
      <c r="AK296" s="107"/>
    </row>
    <row r="297" spans="1:37" ht="16.5" customHeight="1" thickBot="1" x14ac:dyDescent="0.25">
      <c r="A297" s="6"/>
      <c r="B297" s="48">
        <f t="shared" si="89"/>
        <v>37</v>
      </c>
      <c r="C297" s="143"/>
      <c r="D297" s="147"/>
      <c r="E297" s="18"/>
      <c r="F297" s="19"/>
      <c r="G297" s="18"/>
      <c r="H297" s="19"/>
      <c r="I297" s="18"/>
      <c r="J297" s="19"/>
      <c r="K297" s="18"/>
      <c r="L297" s="19"/>
      <c r="M297" s="18"/>
      <c r="N297" s="19"/>
      <c r="O297" s="18"/>
      <c r="P297" s="19"/>
      <c r="Q297" s="18"/>
      <c r="R297" s="19"/>
      <c r="S297" s="18"/>
      <c r="T297" s="19"/>
      <c r="U297" s="18"/>
      <c r="V297" s="19"/>
      <c r="W297" s="18"/>
      <c r="X297" s="19"/>
      <c r="Y297" s="18"/>
      <c r="Z297" s="19"/>
      <c r="AA297" s="18"/>
      <c r="AB297" s="19"/>
      <c r="AC297" s="18"/>
      <c r="AD297" s="19"/>
      <c r="AE297" s="18"/>
      <c r="AF297" s="19"/>
      <c r="AG297" s="18"/>
      <c r="AH297" s="19"/>
      <c r="AI297" s="18"/>
      <c r="AJ297" s="19"/>
      <c r="AK297" s="107"/>
    </row>
    <row r="298" spans="1:37" ht="16.5" customHeight="1" x14ac:dyDescent="0.2">
      <c r="A298" s="6"/>
      <c r="B298" s="8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149"/>
      <c r="AK298" s="6"/>
    </row>
    <row r="299" spans="1:37" ht="16.5" customHeight="1" thickBo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150"/>
      <c r="AK299" s="6"/>
    </row>
    <row r="300" spans="1:37" ht="16.5" customHeight="1" x14ac:dyDescent="0.2">
      <c r="A300" s="6"/>
      <c r="B300" s="279"/>
      <c r="C300" s="280"/>
      <c r="D300" s="283" t="s">
        <v>3</v>
      </c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  <c r="AA300" s="284"/>
      <c r="AB300" s="284"/>
      <c r="AC300" s="284"/>
      <c r="AD300" s="284"/>
      <c r="AE300" s="284"/>
      <c r="AF300" s="284"/>
      <c r="AG300" s="284"/>
      <c r="AH300" s="284"/>
      <c r="AI300" s="284"/>
      <c r="AJ300" s="285"/>
      <c r="AK300" s="107"/>
    </row>
    <row r="301" spans="1:37" ht="16.5" customHeight="1" x14ac:dyDescent="0.2">
      <c r="A301" s="6"/>
      <c r="B301" s="281"/>
      <c r="C301" s="282"/>
      <c r="D301" s="286" t="s">
        <v>4</v>
      </c>
      <c r="E301" s="287"/>
      <c r="F301" s="287"/>
      <c r="G301" s="287"/>
      <c r="H301" s="287"/>
      <c r="I301" s="287"/>
      <c r="J301" s="287"/>
      <c r="K301" s="287"/>
      <c r="L301" s="287"/>
      <c r="M301" s="287"/>
      <c r="N301" s="287"/>
      <c r="O301" s="287"/>
      <c r="P301" s="287"/>
      <c r="Q301" s="287"/>
      <c r="R301" s="287"/>
      <c r="S301" s="287"/>
      <c r="T301" s="287"/>
      <c r="U301" s="287"/>
      <c r="V301" s="287"/>
      <c r="W301" s="287"/>
      <c r="X301" s="287"/>
      <c r="Y301" s="287"/>
      <c r="Z301" s="287"/>
      <c r="AA301" s="287"/>
      <c r="AB301" s="287"/>
      <c r="AC301" s="287"/>
      <c r="AD301" s="287"/>
      <c r="AE301" s="287"/>
      <c r="AF301" s="287"/>
      <c r="AG301" s="287"/>
      <c r="AH301" s="287"/>
      <c r="AI301" s="287"/>
      <c r="AJ301" s="288"/>
      <c r="AK301" s="107"/>
    </row>
    <row r="302" spans="1:37" ht="16.5" customHeight="1" x14ac:dyDescent="0.2">
      <c r="A302" s="6"/>
      <c r="B302" s="281"/>
      <c r="C302" s="282"/>
      <c r="D302" s="286" t="s">
        <v>547</v>
      </c>
      <c r="E302" s="287"/>
      <c r="F302" s="287"/>
      <c r="G302" s="287"/>
      <c r="H302" s="287"/>
      <c r="I302" s="287"/>
      <c r="J302" s="287"/>
      <c r="K302" s="287"/>
      <c r="L302" s="287"/>
      <c r="M302" s="287"/>
      <c r="N302" s="287"/>
      <c r="O302" s="287"/>
      <c r="P302" s="287"/>
      <c r="Q302" s="287"/>
      <c r="R302" s="287"/>
      <c r="S302" s="287"/>
      <c r="T302" s="287"/>
      <c r="U302" s="287"/>
      <c r="V302" s="287"/>
      <c r="W302" s="287"/>
      <c r="X302" s="287"/>
      <c r="Y302" s="287"/>
      <c r="Z302" s="287"/>
      <c r="AA302" s="287"/>
      <c r="AB302" s="287"/>
      <c r="AC302" s="287"/>
      <c r="AD302" s="287"/>
      <c r="AE302" s="287"/>
      <c r="AF302" s="287"/>
      <c r="AG302" s="287"/>
      <c r="AH302" s="287"/>
      <c r="AI302" s="287"/>
      <c r="AJ302" s="288"/>
      <c r="AK302" s="107"/>
    </row>
    <row r="303" spans="1:37" ht="16.5" customHeight="1" thickBot="1" x14ac:dyDescent="0.25">
      <c r="A303" s="6"/>
      <c r="B303" s="281"/>
      <c r="C303" s="282"/>
      <c r="D303" s="289"/>
      <c r="E303" s="290"/>
      <c r="F303" s="290"/>
      <c r="G303" s="290"/>
      <c r="H303" s="290"/>
      <c r="I303" s="290"/>
      <c r="J303" s="290"/>
      <c r="K303" s="290"/>
      <c r="L303" s="290"/>
      <c r="M303" s="290"/>
      <c r="N303" s="290"/>
      <c r="O303" s="290"/>
      <c r="P303" s="290"/>
      <c r="Q303" s="290"/>
      <c r="R303" s="290"/>
      <c r="S303" s="290"/>
      <c r="T303" s="290"/>
      <c r="U303" s="290"/>
      <c r="V303" s="290"/>
      <c r="W303" s="290"/>
      <c r="X303" s="290"/>
      <c r="Y303" s="290"/>
      <c r="Z303" s="290"/>
      <c r="AA303" s="290"/>
      <c r="AB303" s="290"/>
      <c r="AC303" s="290"/>
      <c r="AD303" s="290"/>
      <c r="AE303" s="290"/>
      <c r="AF303" s="290"/>
      <c r="AG303" s="290"/>
      <c r="AH303" s="290"/>
      <c r="AI303" s="290"/>
      <c r="AJ303" s="291"/>
      <c r="AK303" s="107"/>
    </row>
    <row r="304" spans="1:37" ht="16.5" customHeight="1" thickBot="1" x14ac:dyDescent="0.25">
      <c r="A304" s="6"/>
      <c r="B304" s="292"/>
      <c r="C304" s="293"/>
      <c r="D304" s="9" t="s">
        <v>803</v>
      </c>
      <c r="E304" s="10" t="s">
        <v>11</v>
      </c>
      <c r="F304" s="10"/>
      <c r="G304" s="10"/>
      <c r="H304" s="10"/>
      <c r="I304" s="10"/>
      <c r="J304" s="149"/>
      <c r="K304" s="10"/>
      <c r="L304" s="10"/>
      <c r="M304" s="10"/>
      <c r="N304" s="10"/>
      <c r="O304" s="10"/>
      <c r="P304" s="10"/>
      <c r="Q304" s="10"/>
      <c r="R304" s="10"/>
      <c r="S304" s="10" t="s">
        <v>5</v>
      </c>
      <c r="T304" s="10"/>
      <c r="U304" s="10" t="s">
        <v>809</v>
      </c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58"/>
      <c r="AK304" s="107"/>
    </row>
    <row r="305" spans="1:37" ht="16.5" customHeight="1" thickBot="1" x14ac:dyDescent="0.25">
      <c r="A305" s="6"/>
      <c r="B305" s="294" t="s">
        <v>6</v>
      </c>
      <c r="C305" s="294"/>
      <c r="D305" s="295" t="s">
        <v>7</v>
      </c>
      <c r="E305" s="292" t="s">
        <v>519</v>
      </c>
      <c r="F305" s="298"/>
      <c r="G305" s="298"/>
      <c r="H305" s="298"/>
      <c r="I305" s="298"/>
      <c r="J305" s="298"/>
      <c r="K305" s="298"/>
      <c r="L305" s="298"/>
      <c r="M305" s="298"/>
      <c r="N305" s="298"/>
      <c r="O305" s="298"/>
      <c r="P305" s="298"/>
      <c r="Q305" s="298"/>
      <c r="R305" s="298"/>
      <c r="S305" s="298"/>
      <c r="T305" s="298"/>
      <c r="U305" s="298"/>
      <c r="V305" s="298"/>
      <c r="W305" s="298"/>
      <c r="X305" s="298"/>
      <c r="Y305" s="298"/>
      <c r="Z305" s="298"/>
      <c r="AA305" s="298"/>
      <c r="AB305" s="298"/>
      <c r="AC305" s="298"/>
      <c r="AD305" s="298"/>
      <c r="AE305" s="298"/>
      <c r="AF305" s="298"/>
      <c r="AG305" s="298"/>
      <c r="AH305" s="298"/>
      <c r="AI305" s="298"/>
      <c r="AJ305" s="293"/>
      <c r="AK305" s="107"/>
    </row>
    <row r="306" spans="1:37" ht="16.5" customHeight="1" thickBot="1" x14ac:dyDescent="0.25">
      <c r="A306" s="6"/>
      <c r="B306" s="295" t="s">
        <v>8</v>
      </c>
      <c r="C306" s="295" t="s">
        <v>9</v>
      </c>
      <c r="D306" s="296"/>
      <c r="E306" s="292">
        <f>E8</f>
        <v>17</v>
      </c>
      <c r="F306" s="298"/>
      <c r="G306" s="292">
        <f>E306+1</f>
        <v>18</v>
      </c>
      <c r="H306" s="298"/>
      <c r="I306" s="292">
        <f t="shared" ref="I306" si="90">G306+1</f>
        <v>19</v>
      </c>
      <c r="J306" s="298"/>
      <c r="K306" s="292">
        <f t="shared" ref="K306" si="91">I306+1</f>
        <v>20</v>
      </c>
      <c r="L306" s="298"/>
      <c r="M306" s="292">
        <f t="shared" ref="M306" si="92">K306+1</f>
        <v>21</v>
      </c>
      <c r="N306" s="298"/>
      <c r="O306" s="292">
        <f t="shared" ref="O306" si="93">M306+1</f>
        <v>22</v>
      </c>
      <c r="P306" s="298"/>
      <c r="Q306" s="292">
        <f t="shared" ref="Q306" si="94">O306+1</f>
        <v>23</v>
      </c>
      <c r="R306" s="298"/>
      <c r="S306" s="292">
        <f t="shared" ref="S306" si="95">Q306+1</f>
        <v>24</v>
      </c>
      <c r="T306" s="298"/>
      <c r="U306" s="292">
        <f t="shared" ref="U306" si="96">S306+1</f>
        <v>25</v>
      </c>
      <c r="V306" s="298"/>
      <c r="W306" s="292">
        <f t="shared" ref="W306" si="97">U306+1</f>
        <v>26</v>
      </c>
      <c r="X306" s="298"/>
      <c r="Y306" s="292">
        <f t="shared" ref="Y306" si="98">W306+1</f>
        <v>27</v>
      </c>
      <c r="Z306" s="298"/>
      <c r="AA306" s="292">
        <f t="shared" ref="AA306" si="99">Y306+1</f>
        <v>28</v>
      </c>
      <c r="AB306" s="298"/>
      <c r="AC306" s="292">
        <f t="shared" ref="AC306" si="100">AA306+1</f>
        <v>29</v>
      </c>
      <c r="AD306" s="298"/>
      <c r="AE306" s="292">
        <f t="shared" ref="AE306" si="101">AC306+1</f>
        <v>30</v>
      </c>
      <c r="AF306" s="298"/>
      <c r="AG306" s="292">
        <f t="shared" ref="AG306" si="102">AE306+1</f>
        <v>31</v>
      </c>
      <c r="AH306" s="298"/>
      <c r="AI306" s="292">
        <f t="shared" ref="AI306" si="103">AG306+1</f>
        <v>32</v>
      </c>
      <c r="AJ306" s="298"/>
      <c r="AK306" s="107"/>
    </row>
    <row r="307" spans="1:37" ht="24.75" customHeight="1" thickBot="1" x14ac:dyDescent="0.25">
      <c r="A307" s="6"/>
      <c r="B307" s="297"/>
      <c r="C307" s="297"/>
      <c r="D307" s="297"/>
      <c r="E307" s="108" t="s">
        <v>13</v>
      </c>
      <c r="F307" s="108" t="s">
        <v>14</v>
      </c>
      <c r="G307" s="108" t="s">
        <v>13</v>
      </c>
      <c r="H307" s="108" t="s">
        <v>14</v>
      </c>
      <c r="I307" s="108" t="s">
        <v>13</v>
      </c>
      <c r="J307" s="108" t="s">
        <v>14</v>
      </c>
      <c r="K307" s="108" t="s">
        <v>13</v>
      </c>
      <c r="L307" s="108" t="s">
        <v>14</v>
      </c>
      <c r="M307" s="108" t="s">
        <v>13</v>
      </c>
      <c r="N307" s="108" t="s">
        <v>14</v>
      </c>
      <c r="O307" s="108" t="s">
        <v>13</v>
      </c>
      <c r="P307" s="108" t="s">
        <v>14</v>
      </c>
      <c r="Q307" s="108" t="s">
        <v>13</v>
      </c>
      <c r="R307" s="108" t="s">
        <v>14</v>
      </c>
      <c r="S307" s="108" t="s">
        <v>13</v>
      </c>
      <c r="T307" s="108" t="s">
        <v>14</v>
      </c>
      <c r="U307" s="108" t="s">
        <v>13</v>
      </c>
      <c r="V307" s="108" t="s">
        <v>14</v>
      </c>
      <c r="W307" s="108" t="s">
        <v>13</v>
      </c>
      <c r="X307" s="108" t="s">
        <v>14</v>
      </c>
      <c r="Y307" s="108" t="s">
        <v>13</v>
      </c>
      <c r="Z307" s="108" t="s">
        <v>14</v>
      </c>
      <c r="AA307" s="108" t="s">
        <v>13</v>
      </c>
      <c r="AB307" s="108" t="s">
        <v>14</v>
      </c>
      <c r="AC307" s="108" t="s">
        <v>13</v>
      </c>
      <c r="AD307" s="108" t="s">
        <v>14</v>
      </c>
      <c r="AE307" s="108" t="s">
        <v>13</v>
      </c>
      <c r="AF307" s="108" t="s">
        <v>14</v>
      </c>
      <c r="AG307" s="108" t="s">
        <v>13</v>
      </c>
      <c r="AH307" s="108" t="s">
        <v>14</v>
      </c>
      <c r="AI307" s="108" t="s">
        <v>13</v>
      </c>
      <c r="AJ307" s="108" t="s">
        <v>14</v>
      </c>
      <c r="AK307" s="107"/>
    </row>
    <row r="308" spans="1:37" ht="16.5" customHeight="1" x14ac:dyDescent="0.2">
      <c r="A308" s="6"/>
      <c r="B308" s="21">
        <v>1</v>
      </c>
      <c r="C308" s="22">
        <f>'Kelas X'!C295</f>
        <v>16547</v>
      </c>
      <c r="D308" s="34" t="str">
        <f>'Kelas X'!D295</f>
        <v>ABIDA DZIL IZZAH NAWAWI</v>
      </c>
      <c r="E308" s="12"/>
      <c r="F308" s="13"/>
      <c r="G308" s="12"/>
      <c r="H308" s="13"/>
      <c r="I308" s="12"/>
      <c r="J308" s="13"/>
      <c r="K308" s="12"/>
      <c r="L308" s="13"/>
      <c r="M308" s="12"/>
      <c r="N308" s="13"/>
      <c r="O308" s="12"/>
      <c r="P308" s="13"/>
      <c r="Q308" s="12"/>
      <c r="R308" s="13"/>
      <c r="S308" s="12"/>
      <c r="T308" s="13"/>
      <c r="U308" s="12"/>
      <c r="V308" s="13"/>
      <c r="W308" s="12"/>
      <c r="X308" s="13"/>
      <c r="Y308" s="12"/>
      <c r="Z308" s="13"/>
      <c r="AA308" s="12"/>
      <c r="AB308" s="13"/>
      <c r="AC308" s="12"/>
      <c r="AD308" s="13"/>
      <c r="AE308" s="12"/>
      <c r="AF308" s="13"/>
      <c r="AG308" s="12"/>
      <c r="AH308" s="13"/>
      <c r="AI308" s="12"/>
      <c r="AJ308" s="13"/>
      <c r="AK308" s="107"/>
    </row>
    <row r="309" spans="1:37" ht="16.5" customHeight="1" x14ac:dyDescent="0.2">
      <c r="A309" s="6"/>
      <c r="B309" s="135">
        <f t="shared" ref="B309:B345" si="104">B308+1</f>
        <v>2</v>
      </c>
      <c r="C309" s="135">
        <f>'Kelas X'!C296</f>
        <v>16548</v>
      </c>
      <c r="D309" s="34" t="str">
        <f>'Kelas X'!D296</f>
        <v>AIS SAIDATINA</v>
      </c>
      <c r="E309" s="14"/>
      <c r="F309" s="15"/>
      <c r="G309" s="14"/>
      <c r="H309" s="15"/>
      <c r="I309" s="14"/>
      <c r="J309" s="15"/>
      <c r="K309" s="14"/>
      <c r="L309" s="15"/>
      <c r="M309" s="14"/>
      <c r="N309" s="15"/>
      <c r="O309" s="14"/>
      <c r="P309" s="15"/>
      <c r="Q309" s="14"/>
      <c r="R309" s="15"/>
      <c r="S309" s="14"/>
      <c r="T309" s="15"/>
      <c r="U309" s="14"/>
      <c r="V309" s="15"/>
      <c r="W309" s="14"/>
      <c r="X309" s="15"/>
      <c r="Y309" s="14"/>
      <c r="Z309" s="15"/>
      <c r="AA309" s="14"/>
      <c r="AB309" s="15"/>
      <c r="AC309" s="14"/>
      <c r="AD309" s="15"/>
      <c r="AE309" s="14"/>
      <c r="AF309" s="15"/>
      <c r="AG309" s="14"/>
      <c r="AH309" s="15"/>
      <c r="AI309" s="14"/>
      <c r="AJ309" s="15"/>
      <c r="AK309" s="107"/>
    </row>
    <row r="310" spans="1:37" ht="16.5" customHeight="1" x14ac:dyDescent="0.2">
      <c r="A310" s="6"/>
      <c r="B310" s="135">
        <f t="shared" si="104"/>
        <v>3</v>
      </c>
      <c r="C310" s="135">
        <f>'Kelas X'!C297</f>
        <v>16549</v>
      </c>
      <c r="D310" s="34" t="str">
        <f>'Kelas X'!D297</f>
        <v>AZMI NOERRIYAH</v>
      </c>
      <c r="E310" s="14"/>
      <c r="F310" s="15"/>
      <c r="G310" s="14"/>
      <c r="H310" s="15"/>
      <c r="I310" s="14"/>
      <c r="J310" s="15"/>
      <c r="K310" s="14"/>
      <c r="L310" s="15"/>
      <c r="M310" s="14"/>
      <c r="N310" s="15"/>
      <c r="O310" s="14"/>
      <c r="P310" s="15"/>
      <c r="Q310" s="14"/>
      <c r="R310" s="15"/>
      <c r="S310" s="14"/>
      <c r="T310" s="15"/>
      <c r="U310" s="14"/>
      <c r="V310" s="15"/>
      <c r="W310" s="14"/>
      <c r="X310" s="15"/>
      <c r="Y310" s="14"/>
      <c r="Z310" s="15"/>
      <c r="AA310" s="14"/>
      <c r="AB310" s="15"/>
      <c r="AC310" s="14"/>
      <c r="AD310" s="15"/>
      <c r="AE310" s="14"/>
      <c r="AF310" s="15"/>
      <c r="AG310" s="14"/>
      <c r="AH310" s="15"/>
      <c r="AI310" s="14"/>
      <c r="AJ310" s="15"/>
      <c r="AK310" s="107"/>
    </row>
    <row r="311" spans="1:37" ht="16.5" customHeight="1" x14ac:dyDescent="0.2">
      <c r="A311" s="6"/>
      <c r="B311" s="135">
        <f t="shared" si="104"/>
        <v>4</v>
      </c>
      <c r="C311" s="135">
        <f>'Kelas X'!C298</f>
        <v>16550</v>
      </c>
      <c r="D311" s="34" t="str">
        <f>'Kelas X'!D298</f>
        <v>BALQIIS ZHAAFIRAH MEI</v>
      </c>
      <c r="E311" s="14"/>
      <c r="F311" s="15"/>
      <c r="G311" s="14"/>
      <c r="H311" s="15"/>
      <c r="I311" s="14"/>
      <c r="J311" s="15"/>
      <c r="K311" s="14"/>
      <c r="L311" s="15"/>
      <c r="M311" s="14"/>
      <c r="N311" s="15"/>
      <c r="O311" s="14"/>
      <c r="P311" s="15"/>
      <c r="Q311" s="14"/>
      <c r="R311" s="15"/>
      <c r="S311" s="14"/>
      <c r="T311" s="15"/>
      <c r="U311" s="14"/>
      <c r="V311" s="15"/>
      <c r="W311" s="14"/>
      <c r="X311" s="15"/>
      <c r="Y311" s="14"/>
      <c r="Z311" s="15"/>
      <c r="AA311" s="14"/>
      <c r="AB311" s="15"/>
      <c r="AC311" s="14"/>
      <c r="AD311" s="15"/>
      <c r="AE311" s="14"/>
      <c r="AF311" s="15"/>
      <c r="AG311" s="14"/>
      <c r="AH311" s="15"/>
      <c r="AI311" s="14"/>
      <c r="AJ311" s="15"/>
      <c r="AK311" s="107"/>
    </row>
    <row r="312" spans="1:37" ht="16.5" customHeight="1" x14ac:dyDescent="0.2">
      <c r="A312" s="6"/>
      <c r="B312" s="135">
        <f t="shared" si="104"/>
        <v>5</v>
      </c>
      <c r="C312" s="135">
        <f>'Kelas X'!C299</f>
        <v>16551</v>
      </c>
      <c r="D312" s="34" t="str">
        <f>'Kelas X'!D299</f>
        <v>CILA NOVIANTI NUR AINI</v>
      </c>
      <c r="E312" s="14"/>
      <c r="F312" s="15"/>
      <c r="G312" s="14"/>
      <c r="H312" s="15"/>
      <c r="I312" s="14"/>
      <c r="J312" s="15"/>
      <c r="K312" s="14"/>
      <c r="L312" s="15"/>
      <c r="M312" s="14"/>
      <c r="N312" s="15"/>
      <c r="O312" s="14"/>
      <c r="P312" s="15"/>
      <c r="Q312" s="14"/>
      <c r="R312" s="15"/>
      <c r="S312" s="14"/>
      <c r="T312" s="15"/>
      <c r="U312" s="14"/>
      <c r="V312" s="15"/>
      <c r="W312" s="14"/>
      <c r="X312" s="15"/>
      <c r="Y312" s="14"/>
      <c r="Z312" s="15"/>
      <c r="AA312" s="14"/>
      <c r="AB312" s="15"/>
      <c r="AC312" s="14"/>
      <c r="AD312" s="15"/>
      <c r="AE312" s="14"/>
      <c r="AF312" s="15"/>
      <c r="AG312" s="14"/>
      <c r="AH312" s="15"/>
      <c r="AI312" s="14"/>
      <c r="AJ312" s="15"/>
      <c r="AK312" s="107"/>
    </row>
    <row r="313" spans="1:37" ht="16.5" customHeight="1" x14ac:dyDescent="0.2">
      <c r="A313" s="6"/>
      <c r="B313" s="135">
        <f t="shared" si="104"/>
        <v>6</v>
      </c>
      <c r="C313" s="135">
        <f>'Kelas X'!C300</f>
        <v>16552</v>
      </c>
      <c r="D313" s="34" t="str">
        <f>'Kelas X'!D300</f>
        <v>DIZYA PUTRI JANEETA</v>
      </c>
      <c r="E313" s="14"/>
      <c r="F313" s="15"/>
      <c r="G313" s="14"/>
      <c r="H313" s="15"/>
      <c r="I313" s="14"/>
      <c r="J313" s="15"/>
      <c r="K313" s="14"/>
      <c r="L313" s="15"/>
      <c r="M313" s="14"/>
      <c r="N313" s="15"/>
      <c r="O313" s="14"/>
      <c r="P313" s="15"/>
      <c r="Q313" s="14"/>
      <c r="R313" s="15"/>
      <c r="S313" s="14"/>
      <c r="T313" s="15"/>
      <c r="U313" s="14"/>
      <c r="V313" s="15"/>
      <c r="W313" s="14"/>
      <c r="X313" s="15"/>
      <c r="Y313" s="14"/>
      <c r="Z313" s="15"/>
      <c r="AA313" s="14"/>
      <c r="AB313" s="15"/>
      <c r="AC313" s="14"/>
      <c r="AD313" s="15"/>
      <c r="AE313" s="14"/>
      <c r="AF313" s="15"/>
      <c r="AG313" s="14"/>
      <c r="AH313" s="15"/>
      <c r="AI313" s="14"/>
      <c r="AJ313" s="15"/>
      <c r="AK313" s="107"/>
    </row>
    <row r="314" spans="1:37" ht="16.5" customHeight="1" x14ac:dyDescent="0.2">
      <c r="A314" s="6"/>
      <c r="B314" s="135">
        <f t="shared" si="104"/>
        <v>7</v>
      </c>
      <c r="C314" s="135">
        <f>'Kelas X'!C301</f>
        <v>16553</v>
      </c>
      <c r="D314" s="34" t="str">
        <f>'Kelas X'!D301</f>
        <v>FAFA FARADILA FUADI</v>
      </c>
      <c r="E314" s="14"/>
      <c r="F314" s="15"/>
      <c r="G314" s="14"/>
      <c r="H314" s="15"/>
      <c r="I314" s="14"/>
      <c r="J314" s="15"/>
      <c r="K314" s="14"/>
      <c r="L314" s="15"/>
      <c r="M314" s="14"/>
      <c r="N314" s="15"/>
      <c r="O314" s="14"/>
      <c r="P314" s="15"/>
      <c r="Q314" s="14"/>
      <c r="R314" s="15"/>
      <c r="S314" s="14"/>
      <c r="T314" s="15"/>
      <c r="U314" s="14"/>
      <c r="V314" s="15"/>
      <c r="W314" s="14"/>
      <c r="X314" s="15"/>
      <c r="Y314" s="14"/>
      <c r="Z314" s="15"/>
      <c r="AA314" s="14"/>
      <c r="AB314" s="15"/>
      <c r="AC314" s="14"/>
      <c r="AD314" s="15"/>
      <c r="AE314" s="14"/>
      <c r="AF314" s="15"/>
      <c r="AG314" s="14"/>
      <c r="AH314" s="15"/>
      <c r="AI314" s="14"/>
      <c r="AJ314" s="15"/>
      <c r="AK314" s="107"/>
    </row>
    <row r="315" spans="1:37" ht="16.5" customHeight="1" x14ac:dyDescent="0.2">
      <c r="A315" s="6"/>
      <c r="B315" s="135">
        <f t="shared" si="104"/>
        <v>8</v>
      </c>
      <c r="C315" s="135">
        <f>'Kelas X'!C302</f>
        <v>16554</v>
      </c>
      <c r="D315" s="34" t="str">
        <f>'Kelas X'!D302</f>
        <v>FAIZAH NAFEEZA AYU</v>
      </c>
      <c r="E315" s="14"/>
      <c r="F315" s="15"/>
      <c r="G315" s="14"/>
      <c r="H315" s="15"/>
      <c r="I315" s="14"/>
      <c r="J315" s="15"/>
      <c r="K315" s="14"/>
      <c r="L315" s="15"/>
      <c r="M315" s="14"/>
      <c r="N315" s="15"/>
      <c r="O315" s="14"/>
      <c r="P315" s="15"/>
      <c r="Q315" s="14"/>
      <c r="R315" s="15"/>
      <c r="S315" s="14"/>
      <c r="T315" s="15"/>
      <c r="U315" s="14"/>
      <c r="V315" s="15"/>
      <c r="W315" s="14"/>
      <c r="X315" s="15"/>
      <c r="Y315" s="14"/>
      <c r="Z315" s="15"/>
      <c r="AA315" s="14"/>
      <c r="AB315" s="15"/>
      <c r="AC315" s="14"/>
      <c r="AD315" s="15"/>
      <c r="AE315" s="14"/>
      <c r="AF315" s="15"/>
      <c r="AG315" s="14"/>
      <c r="AH315" s="15"/>
      <c r="AI315" s="14"/>
      <c r="AJ315" s="15"/>
      <c r="AK315" s="107"/>
    </row>
    <row r="316" spans="1:37" ht="16.5" customHeight="1" x14ac:dyDescent="0.2">
      <c r="A316" s="6"/>
      <c r="B316" s="135">
        <f t="shared" si="104"/>
        <v>9</v>
      </c>
      <c r="C316" s="135">
        <f>'Kelas X'!C303</f>
        <v>16555</v>
      </c>
      <c r="D316" s="34" t="str">
        <f>'Kelas X'!D303</f>
        <v>GESTY ANA AMILIA</v>
      </c>
      <c r="E316" s="14"/>
      <c r="F316" s="15"/>
      <c r="G316" s="14"/>
      <c r="H316" s="15"/>
      <c r="I316" s="14"/>
      <c r="J316" s="15"/>
      <c r="K316" s="14"/>
      <c r="L316" s="15"/>
      <c r="M316" s="14"/>
      <c r="N316" s="15"/>
      <c r="O316" s="14"/>
      <c r="P316" s="15"/>
      <c r="Q316" s="14"/>
      <c r="R316" s="15"/>
      <c r="S316" s="14"/>
      <c r="T316" s="15"/>
      <c r="U316" s="14"/>
      <c r="V316" s="15"/>
      <c r="W316" s="14"/>
      <c r="X316" s="15"/>
      <c r="Y316" s="14"/>
      <c r="Z316" s="15"/>
      <c r="AA316" s="14"/>
      <c r="AB316" s="15"/>
      <c r="AC316" s="14"/>
      <c r="AD316" s="15"/>
      <c r="AE316" s="14"/>
      <c r="AF316" s="15"/>
      <c r="AG316" s="14"/>
      <c r="AH316" s="15"/>
      <c r="AI316" s="14"/>
      <c r="AJ316" s="15"/>
      <c r="AK316" s="107"/>
    </row>
    <row r="317" spans="1:37" ht="16.5" customHeight="1" x14ac:dyDescent="0.2">
      <c r="A317" s="6"/>
      <c r="B317" s="135">
        <f t="shared" si="104"/>
        <v>10</v>
      </c>
      <c r="C317" s="135">
        <f>'Kelas X'!C304</f>
        <v>16556</v>
      </c>
      <c r="D317" s="34" t="str">
        <f>'Kelas X'!D304</f>
        <v>HAYATUNNUFUS</v>
      </c>
      <c r="E317" s="14"/>
      <c r="F317" s="15"/>
      <c r="G317" s="14"/>
      <c r="H317" s="15"/>
      <c r="I317" s="14"/>
      <c r="J317" s="15"/>
      <c r="K317" s="14"/>
      <c r="L317" s="15"/>
      <c r="M317" s="14"/>
      <c r="N317" s="15"/>
      <c r="O317" s="14"/>
      <c r="P317" s="15"/>
      <c r="Q317" s="14"/>
      <c r="R317" s="15"/>
      <c r="S317" s="14"/>
      <c r="T317" s="15"/>
      <c r="U317" s="14"/>
      <c r="V317" s="15"/>
      <c r="W317" s="14"/>
      <c r="X317" s="15"/>
      <c r="Y317" s="14"/>
      <c r="Z317" s="15"/>
      <c r="AA317" s="14"/>
      <c r="AB317" s="15"/>
      <c r="AC317" s="14"/>
      <c r="AD317" s="15"/>
      <c r="AE317" s="14"/>
      <c r="AF317" s="15"/>
      <c r="AG317" s="14"/>
      <c r="AH317" s="15"/>
      <c r="AI317" s="14"/>
      <c r="AJ317" s="15"/>
      <c r="AK317" s="107"/>
    </row>
    <row r="318" spans="1:37" ht="16.5" customHeight="1" x14ac:dyDescent="0.2">
      <c r="A318" s="6"/>
      <c r="B318" s="135">
        <f t="shared" si="104"/>
        <v>11</v>
      </c>
      <c r="C318" s="135">
        <f>'Kelas X'!C305</f>
        <v>16557</v>
      </c>
      <c r="D318" s="34" t="str">
        <f>'Kelas X'!D305</f>
        <v>INAYAH ALIFATUNNISA</v>
      </c>
      <c r="E318" s="14"/>
      <c r="F318" s="15"/>
      <c r="G318" s="14"/>
      <c r="H318" s="15"/>
      <c r="I318" s="14"/>
      <c r="J318" s="15"/>
      <c r="K318" s="14"/>
      <c r="L318" s="15"/>
      <c r="M318" s="14"/>
      <c r="N318" s="15"/>
      <c r="O318" s="14"/>
      <c r="P318" s="15"/>
      <c r="Q318" s="14"/>
      <c r="R318" s="15"/>
      <c r="S318" s="14"/>
      <c r="T318" s="15"/>
      <c r="U318" s="14"/>
      <c r="V318" s="15"/>
      <c r="W318" s="14"/>
      <c r="X318" s="15"/>
      <c r="Y318" s="14"/>
      <c r="Z318" s="15"/>
      <c r="AA318" s="14"/>
      <c r="AB318" s="15"/>
      <c r="AC318" s="14"/>
      <c r="AD318" s="15"/>
      <c r="AE318" s="14"/>
      <c r="AF318" s="15"/>
      <c r="AG318" s="14"/>
      <c r="AH318" s="15"/>
      <c r="AI318" s="14"/>
      <c r="AJ318" s="15"/>
      <c r="AK318" s="107"/>
    </row>
    <row r="319" spans="1:37" ht="16.5" customHeight="1" x14ac:dyDescent="0.2">
      <c r="A319" s="6"/>
      <c r="B319" s="135">
        <f t="shared" si="104"/>
        <v>12</v>
      </c>
      <c r="C319" s="135">
        <f>'Kelas X'!C306</f>
        <v>16558</v>
      </c>
      <c r="D319" s="34" t="str">
        <f>'Kelas X'!D306</f>
        <v>IRDINA ALISHA PUTRI</v>
      </c>
      <c r="E319" s="14"/>
      <c r="F319" s="15"/>
      <c r="G319" s="14"/>
      <c r="H319" s="15"/>
      <c r="I319" s="14"/>
      <c r="J319" s="15"/>
      <c r="K319" s="14"/>
      <c r="L319" s="15"/>
      <c r="M319" s="14"/>
      <c r="N319" s="15"/>
      <c r="O319" s="14"/>
      <c r="P319" s="15"/>
      <c r="Q319" s="14"/>
      <c r="R319" s="15"/>
      <c r="S319" s="14"/>
      <c r="T319" s="15"/>
      <c r="U319" s="14"/>
      <c r="V319" s="15"/>
      <c r="W319" s="14"/>
      <c r="X319" s="15"/>
      <c r="Y319" s="14"/>
      <c r="Z319" s="15"/>
      <c r="AA319" s="14"/>
      <c r="AB319" s="15"/>
      <c r="AC319" s="14"/>
      <c r="AD319" s="15"/>
      <c r="AE319" s="14"/>
      <c r="AF319" s="15"/>
      <c r="AG319" s="14"/>
      <c r="AH319" s="15"/>
      <c r="AI319" s="14"/>
      <c r="AJ319" s="15"/>
      <c r="AK319" s="107"/>
    </row>
    <row r="320" spans="1:37" ht="16.5" customHeight="1" x14ac:dyDescent="0.2">
      <c r="A320" s="6"/>
      <c r="B320" s="135">
        <f t="shared" si="104"/>
        <v>13</v>
      </c>
      <c r="C320" s="135">
        <f>'Kelas X'!C307</f>
        <v>16559</v>
      </c>
      <c r="D320" s="34" t="str">
        <f>'Kelas X'!D307</f>
        <v>IRMADYAH USNIDA FALASIFAH</v>
      </c>
      <c r="E320" s="14"/>
      <c r="F320" s="15"/>
      <c r="G320" s="14"/>
      <c r="H320" s="15"/>
      <c r="I320" s="14"/>
      <c r="J320" s="15"/>
      <c r="K320" s="14"/>
      <c r="L320" s="15"/>
      <c r="M320" s="14"/>
      <c r="N320" s="15"/>
      <c r="O320" s="14"/>
      <c r="P320" s="15"/>
      <c r="Q320" s="14"/>
      <c r="R320" s="15"/>
      <c r="S320" s="14"/>
      <c r="T320" s="15"/>
      <c r="U320" s="14"/>
      <c r="V320" s="15"/>
      <c r="W320" s="14"/>
      <c r="X320" s="15"/>
      <c r="Y320" s="14"/>
      <c r="Z320" s="15"/>
      <c r="AA320" s="14"/>
      <c r="AB320" s="15"/>
      <c r="AC320" s="14"/>
      <c r="AD320" s="15"/>
      <c r="AE320" s="14"/>
      <c r="AF320" s="15"/>
      <c r="AG320" s="14"/>
      <c r="AH320" s="15"/>
      <c r="AI320" s="14"/>
      <c r="AJ320" s="15"/>
      <c r="AK320" s="107"/>
    </row>
    <row r="321" spans="1:37" ht="16.5" customHeight="1" x14ac:dyDescent="0.2">
      <c r="A321" s="6"/>
      <c r="B321" s="135">
        <f t="shared" si="104"/>
        <v>14</v>
      </c>
      <c r="C321" s="135">
        <f>'Kelas X'!C308</f>
        <v>16560</v>
      </c>
      <c r="D321" s="34" t="str">
        <f>'Kelas X'!D308</f>
        <v>ISYQINA FARHA DHUHA</v>
      </c>
      <c r="E321" s="14"/>
      <c r="F321" s="15"/>
      <c r="G321" s="14"/>
      <c r="H321" s="15"/>
      <c r="I321" s="14"/>
      <c r="J321" s="15"/>
      <c r="K321" s="14"/>
      <c r="L321" s="15"/>
      <c r="M321" s="14"/>
      <c r="N321" s="15"/>
      <c r="O321" s="14"/>
      <c r="P321" s="15"/>
      <c r="Q321" s="14"/>
      <c r="R321" s="15"/>
      <c r="S321" s="14"/>
      <c r="T321" s="15"/>
      <c r="U321" s="14"/>
      <c r="V321" s="15"/>
      <c r="W321" s="14"/>
      <c r="X321" s="15"/>
      <c r="Y321" s="14"/>
      <c r="Z321" s="15"/>
      <c r="AA321" s="14"/>
      <c r="AB321" s="15"/>
      <c r="AC321" s="14"/>
      <c r="AD321" s="15"/>
      <c r="AE321" s="14"/>
      <c r="AF321" s="15"/>
      <c r="AG321" s="14"/>
      <c r="AH321" s="15"/>
      <c r="AI321" s="14"/>
      <c r="AJ321" s="15"/>
      <c r="AK321" s="107"/>
    </row>
    <row r="322" spans="1:37" ht="16.5" customHeight="1" x14ac:dyDescent="0.2">
      <c r="A322" s="6"/>
      <c r="B322" s="135">
        <f t="shared" si="104"/>
        <v>15</v>
      </c>
      <c r="C322" s="135">
        <f>'Kelas X'!C309</f>
        <v>16561</v>
      </c>
      <c r="D322" s="34" t="str">
        <f>'Kelas X'!D309</f>
        <v>JULIANA YASMIN</v>
      </c>
      <c r="E322" s="14"/>
      <c r="F322" s="15"/>
      <c r="G322" s="14"/>
      <c r="H322" s="15"/>
      <c r="I322" s="14"/>
      <c r="J322" s="15"/>
      <c r="K322" s="14"/>
      <c r="L322" s="15"/>
      <c r="M322" s="14"/>
      <c r="N322" s="15"/>
      <c r="O322" s="14"/>
      <c r="P322" s="15"/>
      <c r="Q322" s="14"/>
      <c r="R322" s="15"/>
      <c r="S322" s="14"/>
      <c r="T322" s="15"/>
      <c r="U322" s="14"/>
      <c r="V322" s="15"/>
      <c r="W322" s="14"/>
      <c r="X322" s="15"/>
      <c r="Y322" s="14"/>
      <c r="Z322" s="15"/>
      <c r="AA322" s="14"/>
      <c r="AB322" s="15"/>
      <c r="AC322" s="14"/>
      <c r="AD322" s="15"/>
      <c r="AE322" s="14"/>
      <c r="AF322" s="15"/>
      <c r="AG322" s="14"/>
      <c r="AH322" s="15"/>
      <c r="AI322" s="14"/>
      <c r="AJ322" s="15"/>
      <c r="AK322" s="107"/>
    </row>
    <row r="323" spans="1:37" ht="16.5" customHeight="1" x14ac:dyDescent="0.2">
      <c r="A323" s="6"/>
      <c r="B323" s="135">
        <f t="shared" si="104"/>
        <v>16</v>
      </c>
      <c r="C323" s="135">
        <f>'Kelas X'!C310</f>
        <v>16562</v>
      </c>
      <c r="D323" s="34" t="str">
        <f>'Kelas X'!D310</f>
        <v>KHANSA KHAIRUSIFA</v>
      </c>
      <c r="E323" s="14"/>
      <c r="F323" s="15"/>
      <c r="G323" s="14"/>
      <c r="H323" s="15"/>
      <c r="I323" s="14"/>
      <c r="J323" s="15"/>
      <c r="K323" s="14"/>
      <c r="L323" s="15"/>
      <c r="M323" s="14"/>
      <c r="N323" s="15"/>
      <c r="O323" s="14"/>
      <c r="P323" s="15"/>
      <c r="Q323" s="14"/>
      <c r="R323" s="15"/>
      <c r="S323" s="14"/>
      <c r="T323" s="15"/>
      <c r="U323" s="14"/>
      <c r="V323" s="15"/>
      <c r="W323" s="14"/>
      <c r="X323" s="15"/>
      <c r="Y323" s="14"/>
      <c r="Z323" s="15"/>
      <c r="AA323" s="14"/>
      <c r="AB323" s="15"/>
      <c r="AC323" s="14"/>
      <c r="AD323" s="15"/>
      <c r="AE323" s="14"/>
      <c r="AF323" s="15"/>
      <c r="AG323" s="14"/>
      <c r="AH323" s="15"/>
      <c r="AI323" s="14"/>
      <c r="AJ323" s="15"/>
      <c r="AK323" s="107"/>
    </row>
    <row r="324" spans="1:37" ht="16.5" customHeight="1" x14ac:dyDescent="0.2">
      <c r="A324" s="6"/>
      <c r="B324" s="135">
        <f t="shared" si="104"/>
        <v>17</v>
      </c>
      <c r="C324" s="135">
        <f>'Kelas X'!C311</f>
        <v>16563</v>
      </c>
      <c r="D324" s="34" t="str">
        <f>'Kelas X'!D311</f>
        <v>KUNA KUNI KHUSNUL KHOTIMAH</v>
      </c>
      <c r="E324" s="14"/>
      <c r="F324" s="15"/>
      <c r="G324" s="14"/>
      <c r="H324" s="15"/>
      <c r="I324" s="14"/>
      <c r="J324" s="15"/>
      <c r="K324" s="14"/>
      <c r="L324" s="15"/>
      <c r="M324" s="14"/>
      <c r="N324" s="15"/>
      <c r="O324" s="14"/>
      <c r="P324" s="15"/>
      <c r="Q324" s="14"/>
      <c r="R324" s="15"/>
      <c r="S324" s="14"/>
      <c r="T324" s="15"/>
      <c r="U324" s="14"/>
      <c r="V324" s="15"/>
      <c r="W324" s="14"/>
      <c r="X324" s="15"/>
      <c r="Y324" s="14"/>
      <c r="Z324" s="15"/>
      <c r="AA324" s="14"/>
      <c r="AB324" s="15"/>
      <c r="AC324" s="14"/>
      <c r="AD324" s="15"/>
      <c r="AE324" s="14"/>
      <c r="AF324" s="15"/>
      <c r="AG324" s="14"/>
      <c r="AH324" s="15"/>
      <c r="AI324" s="14"/>
      <c r="AJ324" s="15"/>
      <c r="AK324" s="107"/>
    </row>
    <row r="325" spans="1:37" ht="16.5" customHeight="1" x14ac:dyDescent="0.2">
      <c r="A325" s="6"/>
      <c r="B325" s="135">
        <f t="shared" si="104"/>
        <v>18</v>
      </c>
      <c r="C325" s="135">
        <f>'Kelas X'!C312</f>
        <v>16564</v>
      </c>
      <c r="D325" s="34" t="str">
        <f>'Kelas X'!D312</f>
        <v>LAURA HANUM MAHESTY</v>
      </c>
      <c r="E325" s="14"/>
      <c r="F325" s="15"/>
      <c r="G325" s="14"/>
      <c r="H325" s="15"/>
      <c r="I325" s="14"/>
      <c r="J325" s="15"/>
      <c r="K325" s="14"/>
      <c r="L325" s="15"/>
      <c r="M325" s="14"/>
      <c r="N325" s="15"/>
      <c r="O325" s="14"/>
      <c r="P325" s="15"/>
      <c r="Q325" s="14"/>
      <c r="R325" s="15"/>
      <c r="S325" s="14"/>
      <c r="T325" s="15"/>
      <c r="U325" s="14"/>
      <c r="V325" s="15"/>
      <c r="W325" s="14"/>
      <c r="X325" s="15"/>
      <c r="Y325" s="14"/>
      <c r="Z325" s="15"/>
      <c r="AA325" s="14"/>
      <c r="AB325" s="15"/>
      <c r="AC325" s="14"/>
      <c r="AD325" s="15"/>
      <c r="AE325" s="14"/>
      <c r="AF325" s="15"/>
      <c r="AG325" s="14"/>
      <c r="AH325" s="15"/>
      <c r="AI325" s="14"/>
      <c r="AJ325" s="15"/>
      <c r="AK325" s="107"/>
    </row>
    <row r="326" spans="1:37" ht="16.5" customHeight="1" x14ac:dyDescent="0.2">
      <c r="A326" s="6"/>
      <c r="B326" s="135">
        <f t="shared" si="104"/>
        <v>19</v>
      </c>
      <c r="C326" s="135">
        <f>'Kelas X'!C313</f>
        <v>16565</v>
      </c>
      <c r="D326" s="34" t="str">
        <f>'Kelas X'!D313</f>
        <v>LAYALI HILYA AULIA</v>
      </c>
      <c r="E326" s="14"/>
      <c r="F326" s="15"/>
      <c r="G326" s="14"/>
      <c r="H326" s="15"/>
      <c r="I326" s="14"/>
      <c r="J326" s="15"/>
      <c r="K326" s="14"/>
      <c r="L326" s="15"/>
      <c r="M326" s="14"/>
      <c r="N326" s="15"/>
      <c r="O326" s="14"/>
      <c r="P326" s="15"/>
      <c r="Q326" s="14"/>
      <c r="R326" s="15"/>
      <c r="S326" s="14"/>
      <c r="T326" s="15"/>
      <c r="U326" s="14"/>
      <c r="V326" s="15"/>
      <c r="W326" s="14"/>
      <c r="X326" s="15"/>
      <c r="Y326" s="14"/>
      <c r="Z326" s="15"/>
      <c r="AA326" s="14"/>
      <c r="AB326" s="15"/>
      <c r="AC326" s="14"/>
      <c r="AD326" s="15"/>
      <c r="AE326" s="14"/>
      <c r="AF326" s="15"/>
      <c r="AG326" s="14"/>
      <c r="AH326" s="15"/>
      <c r="AI326" s="14"/>
      <c r="AJ326" s="15"/>
      <c r="AK326" s="107"/>
    </row>
    <row r="327" spans="1:37" ht="16.5" customHeight="1" x14ac:dyDescent="0.2">
      <c r="A327" s="6"/>
      <c r="B327" s="135">
        <f t="shared" si="104"/>
        <v>20</v>
      </c>
      <c r="C327" s="135">
        <f>'Kelas X'!C314</f>
        <v>16566</v>
      </c>
      <c r="D327" s="34" t="str">
        <f>'Kelas X'!D314</f>
        <v>MIDZATUL ARIFAH</v>
      </c>
      <c r="E327" s="14"/>
      <c r="F327" s="15"/>
      <c r="G327" s="14"/>
      <c r="H327" s="15"/>
      <c r="I327" s="14"/>
      <c r="J327" s="15"/>
      <c r="K327" s="14"/>
      <c r="L327" s="15"/>
      <c r="M327" s="14"/>
      <c r="N327" s="15"/>
      <c r="O327" s="14"/>
      <c r="P327" s="15"/>
      <c r="Q327" s="14"/>
      <c r="R327" s="15"/>
      <c r="S327" s="14"/>
      <c r="T327" s="15"/>
      <c r="U327" s="14"/>
      <c r="V327" s="15"/>
      <c r="W327" s="14"/>
      <c r="X327" s="15"/>
      <c r="Y327" s="14"/>
      <c r="Z327" s="15"/>
      <c r="AA327" s="14"/>
      <c r="AB327" s="15"/>
      <c r="AC327" s="14"/>
      <c r="AD327" s="15"/>
      <c r="AE327" s="14"/>
      <c r="AF327" s="15"/>
      <c r="AG327" s="14"/>
      <c r="AH327" s="15"/>
      <c r="AI327" s="14"/>
      <c r="AJ327" s="15"/>
      <c r="AK327" s="107"/>
    </row>
    <row r="328" spans="1:37" ht="16.5" customHeight="1" x14ac:dyDescent="0.2">
      <c r="A328" s="6"/>
      <c r="B328" s="135">
        <f t="shared" si="104"/>
        <v>21</v>
      </c>
      <c r="C328" s="135">
        <f>'Kelas X'!C315</f>
        <v>16567</v>
      </c>
      <c r="D328" s="34" t="str">
        <f>'Kelas X'!D315</f>
        <v>MIFTAHUL NABILLATUS ZAHRA</v>
      </c>
      <c r="E328" s="14"/>
      <c r="F328" s="15"/>
      <c r="G328" s="14"/>
      <c r="H328" s="15"/>
      <c r="I328" s="14"/>
      <c r="J328" s="15"/>
      <c r="K328" s="14"/>
      <c r="L328" s="15"/>
      <c r="M328" s="14"/>
      <c r="N328" s="15"/>
      <c r="O328" s="14"/>
      <c r="P328" s="15"/>
      <c r="Q328" s="14"/>
      <c r="R328" s="15"/>
      <c r="S328" s="14"/>
      <c r="T328" s="15"/>
      <c r="U328" s="14"/>
      <c r="V328" s="15"/>
      <c r="W328" s="14"/>
      <c r="X328" s="15"/>
      <c r="Y328" s="14"/>
      <c r="Z328" s="15"/>
      <c r="AA328" s="14"/>
      <c r="AB328" s="15"/>
      <c r="AC328" s="14"/>
      <c r="AD328" s="15"/>
      <c r="AE328" s="14"/>
      <c r="AF328" s="15"/>
      <c r="AG328" s="14"/>
      <c r="AH328" s="15"/>
      <c r="AI328" s="14"/>
      <c r="AJ328" s="15"/>
      <c r="AK328" s="107"/>
    </row>
    <row r="329" spans="1:37" ht="16.5" customHeight="1" x14ac:dyDescent="0.2">
      <c r="A329" s="6"/>
      <c r="B329" s="135">
        <f t="shared" si="104"/>
        <v>22</v>
      </c>
      <c r="C329" s="135">
        <f>'Kelas X'!C316</f>
        <v>16568</v>
      </c>
      <c r="D329" s="34" t="str">
        <f>'Kelas X'!D316</f>
        <v>MISSEL CALYSTA PUTRI</v>
      </c>
      <c r="E329" s="14"/>
      <c r="F329" s="15"/>
      <c r="G329" s="14"/>
      <c r="H329" s="15"/>
      <c r="I329" s="14"/>
      <c r="J329" s="15"/>
      <c r="K329" s="14"/>
      <c r="L329" s="15"/>
      <c r="M329" s="14"/>
      <c r="N329" s="15"/>
      <c r="O329" s="14"/>
      <c r="P329" s="15"/>
      <c r="Q329" s="14"/>
      <c r="R329" s="15"/>
      <c r="S329" s="14"/>
      <c r="T329" s="15"/>
      <c r="U329" s="14"/>
      <c r="V329" s="15"/>
      <c r="W329" s="14"/>
      <c r="X329" s="15"/>
      <c r="Y329" s="14"/>
      <c r="Z329" s="15"/>
      <c r="AA329" s="14"/>
      <c r="AB329" s="15"/>
      <c r="AC329" s="14"/>
      <c r="AD329" s="15"/>
      <c r="AE329" s="14"/>
      <c r="AF329" s="15"/>
      <c r="AG329" s="14"/>
      <c r="AH329" s="15"/>
      <c r="AI329" s="14"/>
      <c r="AJ329" s="15"/>
      <c r="AK329" s="107"/>
    </row>
    <row r="330" spans="1:37" ht="16.5" customHeight="1" x14ac:dyDescent="0.2">
      <c r="A330" s="6"/>
      <c r="B330" s="135">
        <f t="shared" si="104"/>
        <v>23</v>
      </c>
      <c r="C330" s="135">
        <f>'Kelas X'!C317</f>
        <v>16569</v>
      </c>
      <c r="D330" s="34" t="str">
        <f>'Kelas X'!D317</f>
        <v>NAJLA HELGA PUTRI</v>
      </c>
      <c r="E330" s="14"/>
      <c r="F330" s="15"/>
      <c r="G330" s="14"/>
      <c r="H330" s="15"/>
      <c r="I330" s="14"/>
      <c r="J330" s="15"/>
      <c r="K330" s="14"/>
      <c r="L330" s="15"/>
      <c r="M330" s="14"/>
      <c r="N330" s="15"/>
      <c r="O330" s="14"/>
      <c r="P330" s="15"/>
      <c r="Q330" s="14"/>
      <c r="R330" s="15"/>
      <c r="S330" s="14"/>
      <c r="T330" s="15"/>
      <c r="U330" s="14"/>
      <c r="V330" s="15"/>
      <c r="W330" s="14"/>
      <c r="X330" s="15"/>
      <c r="Y330" s="14"/>
      <c r="Z330" s="15"/>
      <c r="AA330" s="14"/>
      <c r="AB330" s="15"/>
      <c r="AC330" s="14"/>
      <c r="AD330" s="15"/>
      <c r="AE330" s="14"/>
      <c r="AF330" s="15"/>
      <c r="AG330" s="14"/>
      <c r="AH330" s="15"/>
      <c r="AI330" s="14"/>
      <c r="AJ330" s="15"/>
      <c r="AK330" s="107"/>
    </row>
    <row r="331" spans="1:37" ht="16.5" customHeight="1" x14ac:dyDescent="0.2">
      <c r="A331" s="6"/>
      <c r="B331" s="135">
        <f t="shared" si="104"/>
        <v>24</v>
      </c>
      <c r="C331" s="135">
        <f>'Kelas X'!C318</f>
        <v>16570</v>
      </c>
      <c r="D331" s="34" t="str">
        <f>'Kelas X'!D318</f>
        <v>NASYWA AZKIA</v>
      </c>
      <c r="E331" s="14"/>
      <c r="F331" s="15"/>
      <c r="G331" s="14"/>
      <c r="H331" s="15"/>
      <c r="I331" s="14"/>
      <c r="J331" s="15"/>
      <c r="K331" s="14"/>
      <c r="L331" s="15"/>
      <c r="M331" s="14"/>
      <c r="N331" s="15"/>
      <c r="O331" s="14"/>
      <c r="P331" s="15"/>
      <c r="Q331" s="14"/>
      <c r="R331" s="15"/>
      <c r="S331" s="14"/>
      <c r="T331" s="15"/>
      <c r="U331" s="14"/>
      <c r="V331" s="15"/>
      <c r="W331" s="14"/>
      <c r="X331" s="15"/>
      <c r="Y331" s="14"/>
      <c r="Z331" s="15"/>
      <c r="AA331" s="14"/>
      <c r="AB331" s="15"/>
      <c r="AC331" s="14"/>
      <c r="AD331" s="15"/>
      <c r="AE331" s="14"/>
      <c r="AF331" s="15"/>
      <c r="AG331" s="14"/>
      <c r="AH331" s="15"/>
      <c r="AI331" s="14"/>
      <c r="AJ331" s="15"/>
      <c r="AK331" s="107"/>
    </row>
    <row r="332" spans="1:37" ht="16.5" customHeight="1" x14ac:dyDescent="0.2">
      <c r="A332" s="6"/>
      <c r="B332" s="135">
        <f t="shared" si="104"/>
        <v>25</v>
      </c>
      <c r="C332" s="135">
        <f>'Kelas X'!C319</f>
        <v>16571</v>
      </c>
      <c r="D332" s="34" t="str">
        <f>'Kelas X'!D319</f>
        <v>NIKEISHA SHIFA AZZAHRA</v>
      </c>
      <c r="E332" s="14"/>
      <c r="F332" s="15"/>
      <c r="G332" s="14"/>
      <c r="H332" s="15"/>
      <c r="I332" s="14"/>
      <c r="J332" s="15"/>
      <c r="K332" s="14"/>
      <c r="L332" s="15"/>
      <c r="M332" s="14"/>
      <c r="N332" s="15"/>
      <c r="O332" s="14"/>
      <c r="P332" s="15"/>
      <c r="Q332" s="14"/>
      <c r="R332" s="15"/>
      <c r="S332" s="14"/>
      <c r="T332" s="15"/>
      <c r="U332" s="14"/>
      <c r="V332" s="15"/>
      <c r="W332" s="14"/>
      <c r="X332" s="15"/>
      <c r="Y332" s="14"/>
      <c r="Z332" s="15"/>
      <c r="AA332" s="14"/>
      <c r="AB332" s="15"/>
      <c r="AC332" s="14"/>
      <c r="AD332" s="15"/>
      <c r="AE332" s="14"/>
      <c r="AF332" s="15"/>
      <c r="AG332" s="14"/>
      <c r="AH332" s="15"/>
      <c r="AI332" s="14"/>
      <c r="AJ332" s="15"/>
      <c r="AK332" s="107"/>
    </row>
    <row r="333" spans="1:37" ht="16.5" customHeight="1" x14ac:dyDescent="0.2">
      <c r="A333" s="6"/>
      <c r="B333" s="135">
        <f t="shared" si="104"/>
        <v>26</v>
      </c>
      <c r="C333" s="135">
        <f>'Kelas X'!C320</f>
        <v>16572</v>
      </c>
      <c r="D333" s="34" t="str">
        <f>'Kelas X'!D320</f>
        <v>RAHAJENG HAYUNDA KAMARATIH</v>
      </c>
      <c r="E333" s="14"/>
      <c r="F333" s="15"/>
      <c r="G333" s="14"/>
      <c r="H333" s="15"/>
      <c r="I333" s="14"/>
      <c r="J333" s="15"/>
      <c r="K333" s="14"/>
      <c r="L333" s="15"/>
      <c r="M333" s="14"/>
      <c r="N333" s="15"/>
      <c r="O333" s="14"/>
      <c r="P333" s="15"/>
      <c r="Q333" s="14"/>
      <c r="R333" s="15"/>
      <c r="S333" s="14"/>
      <c r="T333" s="15"/>
      <c r="U333" s="14"/>
      <c r="V333" s="15"/>
      <c r="W333" s="14"/>
      <c r="X333" s="15"/>
      <c r="Y333" s="14"/>
      <c r="Z333" s="15"/>
      <c r="AA333" s="14"/>
      <c r="AB333" s="15"/>
      <c r="AC333" s="14"/>
      <c r="AD333" s="15"/>
      <c r="AE333" s="14"/>
      <c r="AF333" s="15"/>
      <c r="AG333" s="14"/>
      <c r="AH333" s="15"/>
      <c r="AI333" s="14"/>
      <c r="AJ333" s="15"/>
      <c r="AK333" s="107"/>
    </row>
    <row r="334" spans="1:37" ht="16.5" customHeight="1" x14ac:dyDescent="0.2">
      <c r="A334" s="6"/>
      <c r="B334" s="135">
        <f t="shared" si="104"/>
        <v>27</v>
      </c>
      <c r="C334" s="135">
        <f>'Kelas X'!C321</f>
        <v>16573</v>
      </c>
      <c r="D334" s="34" t="str">
        <f>'Kelas X'!D321</f>
        <v>RAMADHANI AZZILA MUKTI</v>
      </c>
      <c r="E334" s="14"/>
      <c r="F334" s="15"/>
      <c r="G334" s="14"/>
      <c r="H334" s="15"/>
      <c r="I334" s="14"/>
      <c r="J334" s="15"/>
      <c r="K334" s="14"/>
      <c r="L334" s="15"/>
      <c r="M334" s="14"/>
      <c r="N334" s="15"/>
      <c r="O334" s="14"/>
      <c r="P334" s="15"/>
      <c r="Q334" s="14"/>
      <c r="R334" s="15"/>
      <c r="S334" s="14"/>
      <c r="T334" s="15"/>
      <c r="U334" s="14"/>
      <c r="V334" s="15"/>
      <c r="W334" s="14"/>
      <c r="X334" s="15"/>
      <c r="Y334" s="14"/>
      <c r="Z334" s="15"/>
      <c r="AA334" s="14"/>
      <c r="AB334" s="15"/>
      <c r="AC334" s="14"/>
      <c r="AD334" s="15"/>
      <c r="AE334" s="14"/>
      <c r="AF334" s="15"/>
      <c r="AG334" s="14"/>
      <c r="AH334" s="15"/>
      <c r="AI334" s="14"/>
      <c r="AJ334" s="15"/>
      <c r="AK334" s="107"/>
    </row>
    <row r="335" spans="1:37" ht="16.5" customHeight="1" x14ac:dyDescent="0.2">
      <c r="A335" s="6"/>
      <c r="B335" s="135">
        <f t="shared" si="104"/>
        <v>28</v>
      </c>
      <c r="C335" s="135">
        <f>'Kelas X'!C322</f>
        <v>16574</v>
      </c>
      <c r="D335" s="34" t="str">
        <f>'Kelas X'!D322</f>
        <v>RASIKAH KHANSA SHABIRAH</v>
      </c>
      <c r="E335" s="14"/>
      <c r="F335" s="15"/>
      <c r="G335" s="14"/>
      <c r="H335" s="15"/>
      <c r="I335" s="14"/>
      <c r="J335" s="15"/>
      <c r="K335" s="14"/>
      <c r="L335" s="15"/>
      <c r="M335" s="14"/>
      <c r="N335" s="15"/>
      <c r="O335" s="14"/>
      <c r="P335" s="15"/>
      <c r="Q335" s="14"/>
      <c r="R335" s="15"/>
      <c r="S335" s="14"/>
      <c r="T335" s="15"/>
      <c r="U335" s="14"/>
      <c r="V335" s="15"/>
      <c r="W335" s="14"/>
      <c r="X335" s="15"/>
      <c r="Y335" s="14"/>
      <c r="Z335" s="15"/>
      <c r="AA335" s="14"/>
      <c r="AB335" s="15"/>
      <c r="AC335" s="14"/>
      <c r="AD335" s="15"/>
      <c r="AE335" s="14"/>
      <c r="AF335" s="15"/>
      <c r="AG335" s="14"/>
      <c r="AH335" s="15"/>
      <c r="AI335" s="14"/>
      <c r="AJ335" s="15"/>
      <c r="AK335" s="107"/>
    </row>
    <row r="336" spans="1:37" ht="16.5" customHeight="1" x14ac:dyDescent="0.2">
      <c r="A336" s="6"/>
      <c r="B336" s="135">
        <f t="shared" si="104"/>
        <v>29</v>
      </c>
      <c r="C336" s="135">
        <f>'Kelas X'!C323</f>
        <v>16575</v>
      </c>
      <c r="D336" s="34" t="str">
        <f>'Kelas X'!D323</f>
        <v>SARAH AULIA AL-MAWADDAH</v>
      </c>
      <c r="E336" s="16"/>
      <c r="F336" s="17"/>
      <c r="G336" s="16"/>
      <c r="H336" s="17"/>
      <c r="I336" s="16"/>
      <c r="J336" s="17"/>
      <c r="K336" s="16"/>
      <c r="L336" s="17"/>
      <c r="M336" s="16"/>
      <c r="N336" s="17"/>
      <c r="O336" s="16"/>
      <c r="P336" s="17"/>
      <c r="Q336" s="16"/>
      <c r="R336" s="17"/>
      <c r="S336" s="16"/>
      <c r="T336" s="17"/>
      <c r="U336" s="16"/>
      <c r="V336" s="17"/>
      <c r="W336" s="16"/>
      <c r="X336" s="17"/>
      <c r="Y336" s="16"/>
      <c r="Z336" s="17"/>
      <c r="AA336" s="16"/>
      <c r="AB336" s="17"/>
      <c r="AC336" s="16"/>
      <c r="AD336" s="17"/>
      <c r="AE336" s="16"/>
      <c r="AF336" s="17"/>
      <c r="AG336" s="16"/>
      <c r="AH336" s="17"/>
      <c r="AI336" s="16"/>
      <c r="AJ336" s="17"/>
      <c r="AK336" s="107"/>
    </row>
    <row r="337" spans="1:37" ht="16.5" customHeight="1" x14ac:dyDescent="0.2">
      <c r="A337" s="6"/>
      <c r="B337" s="135">
        <f t="shared" si="104"/>
        <v>30</v>
      </c>
      <c r="C337" s="135">
        <f>'Kelas X'!C324</f>
        <v>16576</v>
      </c>
      <c r="D337" s="34" t="str">
        <f>'Kelas X'!D324</f>
        <v>SELSY JUANITA PRATIWI</v>
      </c>
      <c r="E337" s="16"/>
      <c r="F337" s="17"/>
      <c r="G337" s="16"/>
      <c r="H337" s="17"/>
      <c r="I337" s="16"/>
      <c r="J337" s="17"/>
      <c r="K337" s="16"/>
      <c r="L337" s="17"/>
      <c r="M337" s="16"/>
      <c r="N337" s="17"/>
      <c r="O337" s="16"/>
      <c r="P337" s="17"/>
      <c r="Q337" s="16"/>
      <c r="R337" s="17"/>
      <c r="S337" s="16"/>
      <c r="T337" s="17"/>
      <c r="U337" s="16"/>
      <c r="V337" s="17"/>
      <c r="W337" s="16"/>
      <c r="X337" s="17"/>
      <c r="Y337" s="16"/>
      <c r="Z337" s="17"/>
      <c r="AA337" s="16"/>
      <c r="AB337" s="17"/>
      <c r="AC337" s="16"/>
      <c r="AD337" s="17"/>
      <c r="AE337" s="16"/>
      <c r="AF337" s="17"/>
      <c r="AG337" s="16"/>
      <c r="AH337" s="17"/>
      <c r="AI337" s="16"/>
      <c r="AJ337" s="17"/>
      <c r="AK337" s="107"/>
    </row>
    <row r="338" spans="1:37" ht="16.5" customHeight="1" x14ac:dyDescent="0.2">
      <c r="A338" s="6"/>
      <c r="B338" s="135">
        <f t="shared" si="104"/>
        <v>31</v>
      </c>
      <c r="C338" s="135">
        <f>'Kelas X'!C325</f>
        <v>16577</v>
      </c>
      <c r="D338" s="34" t="str">
        <f>'Kelas X'!D325</f>
        <v>SITI SALMA AFIFAH</v>
      </c>
      <c r="E338" s="16"/>
      <c r="F338" s="17"/>
      <c r="G338" s="16"/>
      <c r="H338" s="17"/>
      <c r="I338" s="16"/>
      <c r="J338" s="17"/>
      <c r="K338" s="16"/>
      <c r="L338" s="17"/>
      <c r="M338" s="16"/>
      <c r="N338" s="17"/>
      <c r="O338" s="16"/>
      <c r="P338" s="17"/>
      <c r="Q338" s="16"/>
      <c r="R338" s="17"/>
      <c r="S338" s="16"/>
      <c r="T338" s="17"/>
      <c r="U338" s="16"/>
      <c r="V338" s="17"/>
      <c r="W338" s="16"/>
      <c r="X338" s="17"/>
      <c r="Y338" s="16"/>
      <c r="Z338" s="17"/>
      <c r="AA338" s="16"/>
      <c r="AB338" s="17"/>
      <c r="AC338" s="16"/>
      <c r="AD338" s="17"/>
      <c r="AE338" s="16"/>
      <c r="AF338" s="17"/>
      <c r="AG338" s="16"/>
      <c r="AH338" s="17"/>
      <c r="AI338" s="16"/>
      <c r="AJ338" s="17"/>
      <c r="AK338" s="107"/>
    </row>
    <row r="339" spans="1:37" ht="16.5" customHeight="1" x14ac:dyDescent="0.2">
      <c r="A339" s="6"/>
      <c r="B339" s="135">
        <f t="shared" si="104"/>
        <v>32</v>
      </c>
      <c r="C339" s="135">
        <f>'Kelas X'!C326</f>
        <v>16578</v>
      </c>
      <c r="D339" s="34" t="str">
        <f>'Kelas X'!D326</f>
        <v>ZALFAA AZZAHRA EMBUN SAMUDRA</v>
      </c>
      <c r="E339" s="16"/>
      <c r="F339" s="17"/>
      <c r="G339" s="16"/>
      <c r="H339" s="17"/>
      <c r="I339" s="16"/>
      <c r="J339" s="17"/>
      <c r="K339" s="16"/>
      <c r="L339" s="17"/>
      <c r="M339" s="16"/>
      <c r="N339" s="17"/>
      <c r="O339" s="16"/>
      <c r="P339" s="17"/>
      <c r="Q339" s="16"/>
      <c r="R339" s="17"/>
      <c r="S339" s="16"/>
      <c r="T339" s="17"/>
      <c r="U339" s="16"/>
      <c r="V339" s="17"/>
      <c r="W339" s="16"/>
      <c r="X339" s="17"/>
      <c r="Y339" s="16"/>
      <c r="Z339" s="17"/>
      <c r="AA339" s="16"/>
      <c r="AB339" s="17"/>
      <c r="AC339" s="16"/>
      <c r="AD339" s="17"/>
      <c r="AE339" s="16"/>
      <c r="AF339" s="17"/>
      <c r="AG339" s="16"/>
      <c r="AH339" s="17"/>
      <c r="AI339" s="16"/>
      <c r="AJ339" s="17"/>
      <c r="AK339" s="107"/>
    </row>
    <row r="340" spans="1:37" ht="16.5" customHeight="1" x14ac:dyDescent="0.2">
      <c r="A340" s="6"/>
      <c r="B340" s="135">
        <f t="shared" si="104"/>
        <v>33</v>
      </c>
      <c r="C340" s="135">
        <f>'Kelas X'!C327</f>
        <v>0</v>
      </c>
      <c r="D340" s="34">
        <f>'Kelas X'!D327</f>
        <v>0</v>
      </c>
      <c r="E340" s="16"/>
      <c r="F340" s="17"/>
      <c r="G340" s="16"/>
      <c r="H340" s="17"/>
      <c r="I340" s="16"/>
      <c r="J340" s="17"/>
      <c r="K340" s="16"/>
      <c r="L340" s="17"/>
      <c r="M340" s="16"/>
      <c r="N340" s="17"/>
      <c r="O340" s="16"/>
      <c r="P340" s="17"/>
      <c r="Q340" s="16"/>
      <c r="R340" s="17"/>
      <c r="S340" s="16"/>
      <c r="T340" s="17"/>
      <c r="U340" s="16"/>
      <c r="V340" s="17"/>
      <c r="W340" s="16"/>
      <c r="X340" s="17"/>
      <c r="Y340" s="16"/>
      <c r="Z340" s="17"/>
      <c r="AA340" s="16"/>
      <c r="AB340" s="17"/>
      <c r="AC340" s="16"/>
      <c r="AD340" s="17"/>
      <c r="AE340" s="16"/>
      <c r="AF340" s="17"/>
      <c r="AG340" s="16"/>
      <c r="AH340" s="17"/>
      <c r="AI340" s="16"/>
      <c r="AJ340" s="17"/>
      <c r="AK340" s="107"/>
    </row>
    <row r="341" spans="1:37" ht="16.5" customHeight="1" x14ac:dyDescent="0.2">
      <c r="A341" s="6"/>
      <c r="B341" s="135">
        <f t="shared" si="104"/>
        <v>34</v>
      </c>
      <c r="C341" s="135">
        <f>'Kelas X'!C328</f>
        <v>0</v>
      </c>
      <c r="D341" s="34">
        <f>'Kelas X'!D328</f>
        <v>0</v>
      </c>
      <c r="E341" s="16"/>
      <c r="F341" s="17"/>
      <c r="G341" s="16"/>
      <c r="H341" s="17"/>
      <c r="I341" s="16"/>
      <c r="J341" s="17"/>
      <c r="K341" s="16"/>
      <c r="L341" s="17"/>
      <c r="M341" s="16"/>
      <c r="N341" s="17"/>
      <c r="O341" s="16"/>
      <c r="P341" s="17"/>
      <c r="Q341" s="16"/>
      <c r="R341" s="17"/>
      <c r="S341" s="16"/>
      <c r="T341" s="17"/>
      <c r="U341" s="16"/>
      <c r="V341" s="17"/>
      <c r="W341" s="16"/>
      <c r="X341" s="17"/>
      <c r="Y341" s="16"/>
      <c r="Z341" s="17"/>
      <c r="AA341" s="16"/>
      <c r="AB341" s="17"/>
      <c r="AC341" s="16"/>
      <c r="AD341" s="17"/>
      <c r="AE341" s="16"/>
      <c r="AF341" s="17"/>
      <c r="AG341" s="16"/>
      <c r="AH341" s="17"/>
      <c r="AI341" s="16"/>
      <c r="AJ341" s="17"/>
      <c r="AK341" s="107"/>
    </row>
    <row r="342" spans="1:37" ht="16.5" customHeight="1" x14ac:dyDescent="0.2">
      <c r="A342" s="6"/>
      <c r="B342" s="135">
        <f t="shared" si="104"/>
        <v>35</v>
      </c>
      <c r="C342" s="135">
        <f>'Kelas X'!C329</f>
        <v>0</v>
      </c>
      <c r="D342" s="34">
        <f>'Kelas X'!D329</f>
        <v>0</v>
      </c>
      <c r="E342" s="16"/>
      <c r="F342" s="17"/>
      <c r="G342" s="16"/>
      <c r="H342" s="17"/>
      <c r="I342" s="16"/>
      <c r="J342" s="17"/>
      <c r="K342" s="16"/>
      <c r="L342" s="17"/>
      <c r="M342" s="16"/>
      <c r="N342" s="17"/>
      <c r="O342" s="16"/>
      <c r="P342" s="17"/>
      <c r="Q342" s="16"/>
      <c r="R342" s="17"/>
      <c r="S342" s="16"/>
      <c r="T342" s="17"/>
      <c r="U342" s="16"/>
      <c r="V342" s="17"/>
      <c r="W342" s="16"/>
      <c r="X342" s="17"/>
      <c r="Y342" s="16"/>
      <c r="Z342" s="17"/>
      <c r="AA342" s="16"/>
      <c r="AB342" s="17"/>
      <c r="AC342" s="16"/>
      <c r="AD342" s="17"/>
      <c r="AE342" s="16"/>
      <c r="AF342" s="17"/>
      <c r="AG342" s="16"/>
      <c r="AH342" s="17"/>
      <c r="AI342" s="16"/>
      <c r="AJ342" s="17"/>
      <c r="AK342" s="107"/>
    </row>
    <row r="343" spans="1:37" ht="16.5" customHeight="1" x14ac:dyDescent="0.2">
      <c r="A343" s="6"/>
      <c r="B343" s="135">
        <f t="shared" si="104"/>
        <v>36</v>
      </c>
      <c r="C343" s="135">
        <f>'Kelas X'!C330</f>
        <v>0</v>
      </c>
      <c r="D343" s="34">
        <f>'Kelas X'!D330</f>
        <v>0</v>
      </c>
      <c r="E343" s="16"/>
      <c r="F343" s="17"/>
      <c r="G343" s="16"/>
      <c r="H343" s="17"/>
      <c r="I343" s="16"/>
      <c r="J343" s="17"/>
      <c r="K343" s="16"/>
      <c r="L343" s="17"/>
      <c r="M343" s="16"/>
      <c r="N343" s="17"/>
      <c r="O343" s="16"/>
      <c r="P343" s="17"/>
      <c r="Q343" s="16"/>
      <c r="R343" s="17"/>
      <c r="S343" s="16"/>
      <c r="T343" s="17"/>
      <c r="U343" s="16"/>
      <c r="V343" s="17"/>
      <c r="W343" s="16"/>
      <c r="X343" s="17"/>
      <c r="Y343" s="16"/>
      <c r="Z343" s="17"/>
      <c r="AA343" s="16"/>
      <c r="AB343" s="17"/>
      <c r="AC343" s="16"/>
      <c r="AD343" s="17"/>
      <c r="AE343" s="16"/>
      <c r="AF343" s="17"/>
      <c r="AG343" s="16"/>
      <c r="AH343" s="17"/>
      <c r="AI343" s="16"/>
      <c r="AJ343" s="17"/>
      <c r="AK343" s="107"/>
    </row>
    <row r="344" spans="1:37" ht="16.5" customHeight="1" x14ac:dyDescent="0.2">
      <c r="A344" s="6"/>
      <c r="B344" s="135">
        <f t="shared" si="104"/>
        <v>37</v>
      </c>
      <c r="C344" s="135">
        <f>'Kelas X'!C331</f>
        <v>0</v>
      </c>
      <c r="D344" s="34">
        <f>'Kelas X'!D331</f>
        <v>0</v>
      </c>
      <c r="E344" s="16"/>
      <c r="F344" s="17"/>
      <c r="G344" s="16"/>
      <c r="H344" s="17"/>
      <c r="I344" s="16"/>
      <c r="J344" s="17"/>
      <c r="K344" s="16"/>
      <c r="L344" s="17"/>
      <c r="M344" s="16"/>
      <c r="N344" s="17"/>
      <c r="O344" s="16"/>
      <c r="P344" s="17"/>
      <c r="Q344" s="16"/>
      <c r="R344" s="17"/>
      <c r="S344" s="16"/>
      <c r="T344" s="17"/>
      <c r="U344" s="16"/>
      <c r="V344" s="17"/>
      <c r="W344" s="16"/>
      <c r="X344" s="17"/>
      <c r="Y344" s="16"/>
      <c r="Z344" s="17"/>
      <c r="AA344" s="16"/>
      <c r="AB344" s="17"/>
      <c r="AC344" s="16"/>
      <c r="AD344" s="17"/>
      <c r="AE344" s="16"/>
      <c r="AF344" s="17"/>
      <c r="AG344" s="16"/>
      <c r="AH344" s="17"/>
      <c r="AI344" s="16"/>
      <c r="AJ344" s="17"/>
      <c r="AK344" s="107"/>
    </row>
    <row r="345" spans="1:37" ht="16.5" customHeight="1" thickBot="1" x14ac:dyDescent="0.25">
      <c r="A345" s="6"/>
      <c r="B345" s="143">
        <f t="shared" si="104"/>
        <v>38</v>
      </c>
      <c r="C345" s="143"/>
      <c r="D345" s="147"/>
      <c r="E345" s="18"/>
      <c r="F345" s="19"/>
      <c r="G345" s="18"/>
      <c r="H345" s="19"/>
      <c r="I345" s="18"/>
      <c r="J345" s="19"/>
      <c r="K345" s="18"/>
      <c r="L345" s="19"/>
      <c r="M345" s="18"/>
      <c r="N345" s="19"/>
      <c r="O345" s="18"/>
      <c r="P345" s="19"/>
      <c r="Q345" s="18"/>
      <c r="R345" s="19"/>
      <c r="S345" s="18"/>
      <c r="T345" s="19"/>
      <c r="U345" s="18"/>
      <c r="V345" s="19"/>
      <c r="W345" s="18"/>
      <c r="X345" s="19"/>
      <c r="Y345" s="18"/>
      <c r="Z345" s="19"/>
      <c r="AA345" s="18"/>
      <c r="AB345" s="19"/>
      <c r="AC345" s="18"/>
      <c r="AD345" s="19"/>
      <c r="AE345" s="18"/>
      <c r="AF345" s="19"/>
      <c r="AG345" s="18"/>
      <c r="AH345" s="19"/>
      <c r="AI345" s="18"/>
      <c r="AJ345" s="19"/>
      <c r="AK345" s="107"/>
    </row>
    <row r="346" spans="1:37" ht="16.5" customHeight="1" x14ac:dyDescent="0.2">
      <c r="A346" s="6"/>
      <c r="B346" s="6"/>
      <c r="C346" s="20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107"/>
    </row>
    <row r="347" spans="1:37" ht="16.5" customHeight="1" thickBo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107"/>
    </row>
    <row r="348" spans="1:37" ht="16.5" customHeight="1" x14ac:dyDescent="0.2">
      <c r="A348" s="6"/>
      <c r="B348" s="279"/>
      <c r="C348" s="280"/>
      <c r="D348" s="283" t="s">
        <v>3</v>
      </c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  <c r="AA348" s="284"/>
      <c r="AB348" s="284"/>
      <c r="AC348" s="284"/>
      <c r="AD348" s="284"/>
      <c r="AE348" s="284"/>
      <c r="AF348" s="284"/>
      <c r="AG348" s="284"/>
      <c r="AH348" s="284"/>
      <c r="AI348" s="284"/>
      <c r="AJ348" s="285"/>
      <c r="AK348" s="107"/>
    </row>
    <row r="349" spans="1:37" ht="16.5" customHeight="1" x14ac:dyDescent="0.2">
      <c r="A349" s="6"/>
      <c r="B349" s="281"/>
      <c r="C349" s="282"/>
      <c r="D349" s="286" t="s">
        <v>4</v>
      </c>
      <c r="E349" s="287"/>
      <c r="F349" s="287"/>
      <c r="G349" s="287"/>
      <c r="H349" s="287"/>
      <c r="I349" s="287"/>
      <c r="J349" s="287"/>
      <c r="K349" s="287"/>
      <c r="L349" s="287"/>
      <c r="M349" s="287"/>
      <c r="N349" s="287"/>
      <c r="O349" s="287"/>
      <c r="P349" s="287"/>
      <c r="Q349" s="287"/>
      <c r="R349" s="287"/>
      <c r="S349" s="287"/>
      <c r="T349" s="287"/>
      <c r="U349" s="287"/>
      <c r="V349" s="287"/>
      <c r="W349" s="287"/>
      <c r="X349" s="287"/>
      <c r="Y349" s="287"/>
      <c r="Z349" s="287"/>
      <c r="AA349" s="287"/>
      <c r="AB349" s="287"/>
      <c r="AC349" s="287"/>
      <c r="AD349" s="287"/>
      <c r="AE349" s="287"/>
      <c r="AF349" s="287"/>
      <c r="AG349" s="287"/>
      <c r="AH349" s="287"/>
      <c r="AI349" s="287"/>
      <c r="AJ349" s="288"/>
      <c r="AK349" s="107"/>
    </row>
    <row r="350" spans="1:37" ht="16.5" customHeight="1" x14ac:dyDescent="0.2">
      <c r="A350" s="6"/>
      <c r="B350" s="281"/>
      <c r="C350" s="282"/>
      <c r="D350" s="286" t="s">
        <v>547</v>
      </c>
      <c r="E350" s="287"/>
      <c r="F350" s="287"/>
      <c r="G350" s="287"/>
      <c r="H350" s="287"/>
      <c r="I350" s="287"/>
      <c r="J350" s="287"/>
      <c r="K350" s="287"/>
      <c r="L350" s="287"/>
      <c r="M350" s="287"/>
      <c r="N350" s="287"/>
      <c r="O350" s="287"/>
      <c r="P350" s="287"/>
      <c r="Q350" s="287"/>
      <c r="R350" s="287"/>
      <c r="S350" s="287"/>
      <c r="T350" s="287"/>
      <c r="U350" s="287"/>
      <c r="V350" s="287"/>
      <c r="W350" s="287"/>
      <c r="X350" s="287"/>
      <c r="Y350" s="287"/>
      <c r="Z350" s="287"/>
      <c r="AA350" s="287"/>
      <c r="AB350" s="287"/>
      <c r="AC350" s="287"/>
      <c r="AD350" s="287"/>
      <c r="AE350" s="287"/>
      <c r="AF350" s="287"/>
      <c r="AG350" s="287"/>
      <c r="AH350" s="287"/>
      <c r="AI350" s="287"/>
      <c r="AJ350" s="288"/>
      <c r="AK350" s="107"/>
    </row>
    <row r="351" spans="1:37" ht="16.5" customHeight="1" thickBot="1" x14ac:dyDescent="0.25">
      <c r="A351" s="6"/>
      <c r="B351" s="281"/>
      <c r="C351" s="282"/>
      <c r="D351" s="289"/>
      <c r="E351" s="290"/>
      <c r="F351" s="290"/>
      <c r="G351" s="290"/>
      <c r="H351" s="290"/>
      <c r="I351" s="290"/>
      <c r="J351" s="290"/>
      <c r="K351" s="290"/>
      <c r="L351" s="290"/>
      <c r="M351" s="290"/>
      <c r="N351" s="290"/>
      <c r="O351" s="290"/>
      <c r="P351" s="290"/>
      <c r="Q351" s="290"/>
      <c r="R351" s="290"/>
      <c r="S351" s="290"/>
      <c r="T351" s="290"/>
      <c r="U351" s="290"/>
      <c r="V351" s="290"/>
      <c r="W351" s="290"/>
      <c r="X351" s="290"/>
      <c r="Y351" s="290"/>
      <c r="Z351" s="290"/>
      <c r="AA351" s="290"/>
      <c r="AB351" s="290"/>
      <c r="AC351" s="290"/>
      <c r="AD351" s="290"/>
      <c r="AE351" s="290"/>
      <c r="AF351" s="290"/>
      <c r="AG351" s="290"/>
      <c r="AH351" s="290"/>
      <c r="AI351" s="290"/>
      <c r="AJ351" s="291"/>
      <c r="AK351" s="107"/>
    </row>
    <row r="352" spans="1:37" ht="16.5" customHeight="1" thickBot="1" x14ac:dyDescent="0.25">
      <c r="A352" s="6"/>
      <c r="B352" s="292"/>
      <c r="C352" s="293"/>
      <c r="D352" s="9" t="s">
        <v>567</v>
      </c>
      <c r="E352" s="10" t="s">
        <v>11</v>
      </c>
      <c r="F352" s="10"/>
      <c r="G352" s="10"/>
      <c r="H352" s="10"/>
      <c r="I352" s="10"/>
      <c r="J352" s="149"/>
      <c r="K352" s="10"/>
      <c r="L352" s="10"/>
      <c r="M352" s="10"/>
      <c r="N352" s="10"/>
      <c r="O352" s="10"/>
      <c r="P352" s="10"/>
      <c r="Q352" s="10"/>
      <c r="R352" s="10"/>
      <c r="S352" s="10" t="s">
        <v>5</v>
      </c>
      <c r="T352" s="10"/>
      <c r="U352" s="299" t="s">
        <v>810</v>
      </c>
      <c r="V352" s="299"/>
      <c r="W352" s="299"/>
      <c r="X352" s="299"/>
      <c r="Y352" s="299"/>
      <c r="Z352" s="299"/>
      <c r="AA352" s="299"/>
      <c r="AB352" s="10"/>
      <c r="AC352" s="10"/>
      <c r="AD352" s="10"/>
      <c r="AE352" s="10"/>
      <c r="AF352" s="10"/>
      <c r="AG352" s="10"/>
      <c r="AH352" s="10"/>
      <c r="AI352" s="10"/>
      <c r="AJ352" s="158"/>
      <c r="AK352" s="107"/>
    </row>
    <row r="353" spans="1:37" ht="16.5" customHeight="1" thickBot="1" x14ac:dyDescent="0.25">
      <c r="A353" s="6"/>
      <c r="B353" s="294" t="s">
        <v>6</v>
      </c>
      <c r="C353" s="294"/>
      <c r="D353" s="295" t="s">
        <v>7</v>
      </c>
      <c r="E353" s="292" t="s">
        <v>519</v>
      </c>
      <c r="F353" s="298"/>
      <c r="G353" s="298"/>
      <c r="H353" s="298"/>
      <c r="I353" s="298"/>
      <c r="J353" s="298"/>
      <c r="K353" s="298"/>
      <c r="L353" s="298"/>
      <c r="M353" s="298"/>
      <c r="N353" s="298"/>
      <c r="O353" s="298"/>
      <c r="P353" s="298"/>
      <c r="Q353" s="298"/>
      <c r="R353" s="298"/>
      <c r="S353" s="298"/>
      <c r="T353" s="298"/>
      <c r="U353" s="298"/>
      <c r="V353" s="298"/>
      <c r="W353" s="298"/>
      <c r="X353" s="298"/>
      <c r="Y353" s="298"/>
      <c r="Z353" s="298"/>
      <c r="AA353" s="298"/>
      <c r="AB353" s="298"/>
      <c r="AC353" s="298"/>
      <c r="AD353" s="298"/>
      <c r="AE353" s="298"/>
      <c r="AF353" s="298"/>
      <c r="AG353" s="298"/>
      <c r="AH353" s="298"/>
      <c r="AI353" s="298"/>
      <c r="AJ353" s="293"/>
      <c r="AK353" s="107"/>
    </row>
    <row r="354" spans="1:37" ht="16.5" customHeight="1" thickBot="1" x14ac:dyDescent="0.25">
      <c r="A354" s="6"/>
      <c r="B354" s="295" t="s">
        <v>8</v>
      </c>
      <c r="C354" s="295" t="s">
        <v>9</v>
      </c>
      <c r="D354" s="296"/>
      <c r="E354" s="292">
        <f>E8</f>
        <v>17</v>
      </c>
      <c r="F354" s="298"/>
      <c r="G354" s="292">
        <f>E354+1</f>
        <v>18</v>
      </c>
      <c r="H354" s="298"/>
      <c r="I354" s="292">
        <f t="shared" ref="I354" si="105">G354+1</f>
        <v>19</v>
      </c>
      <c r="J354" s="298"/>
      <c r="K354" s="292">
        <f t="shared" ref="K354" si="106">I354+1</f>
        <v>20</v>
      </c>
      <c r="L354" s="298"/>
      <c r="M354" s="292">
        <f t="shared" ref="M354" si="107">K354+1</f>
        <v>21</v>
      </c>
      <c r="N354" s="298"/>
      <c r="O354" s="292">
        <f t="shared" ref="O354" si="108">M354+1</f>
        <v>22</v>
      </c>
      <c r="P354" s="298"/>
      <c r="Q354" s="292">
        <f t="shared" ref="Q354" si="109">O354+1</f>
        <v>23</v>
      </c>
      <c r="R354" s="298"/>
      <c r="S354" s="292">
        <f t="shared" ref="S354" si="110">Q354+1</f>
        <v>24</v>
      </c>
      <c r="T354" s="298"/>
      <c r="U354" s="292">
        <f t="shared" ref="U354" si="111">S354+1</f>
        <v>25</v>
      </c>
      <c r="V354" s="298"/>
      <c r="W354" s="292">
        <f t="shared" ref="W354" si="112">U354+1</f>
        <v>26</v>
      </c>
      <c r="X354" s="298"/>
      <c r="Y354" s="292">
        <f t="shared" ref="Y354" si="113">W354+1</f>
        <v>27</v>
      </c>
      <c r="Z354" s="298"/>
      <c r="AA354" s="292">
        <f t="shared" ref="AA354" si="114">Y354+1</f>
        <v>28</v>
      </c>
      <c r="AB354" s="298"/>
      <c r="AC354" s="292">
        <f t="shared" ref="AC354" si="115">AA354+1</f>
        <v>29</v>
      </c>
      <c r="AD354" s="298"/>
      <c r="AE354" s="292">
        <f t="shared" ref="AE354" si="116">AC354+1</f>
        <v>30</v>
      </c>
      <c r="AF354" s="298"/>
      <c r="AG354" s="292">
        <f t="shared" ref="AG354" si="117">AE354+1</f>
        <v>31</v>
      </c>
      <c r="AH354" s="298"/>
      <c r="AI354" s="292">
        <f t="shared" ref="AI354" si="118">AG354+1</f>
        <v>32</v>
      </c>
      <c r="AJ354" s="298"/>
      <c r="AK354" s="107"/>
    </row>
    <row r="355" spans="1:37" ht="25.5" customHeight="1" thickBot="1" x14ac:dyDescent="0.25">
      <c r="A355" s="6"/>
      <c r="B355" s="297"/>
      <c r="C355" s="297"/>
      <c r="D355" s="297"/>
      <c r="E355" s="108" t="s">
        <v>13</v>
      </c>
      <c r="F355" s="108" t="s">
        <v>14</v>
      </c>
      <c r="G355" s="108" t="s">
        <v>13</v>
      </c>
      <c r="H355" s="108" t="s">
        <v>14</v>
      </c>
      <c r="I355" s="108" t="s">
        <v>13</v>
      </c>
      <c r="J355" s="108" t="s">
        <v>14</v>
      </c>
      <c r="K355" s="108" t="s">
        <v>13</v>
      </c>
      <c r="L355" s="108" t="s">
        <v>14</v>
      </c>
      <c r="M355" s="108" t="s">
        <v>13</v>
      </c>
      <c r="N355" s="108" t="s">
        <v>14</v>
      </c>
      <c r="O355" s="108" t="s">
        <v>13</v>
      </c>
      <c r="P355" s="108" t="s">
        <v>14</v>
      </c>
      <c r="Q355" s="108" t="s">
        <v>13</v>
      </c>
      <c r="R355" s="108" t="s">
        <v>14</v>
      </c>
      <c r="S355" s="108" t="s">
        <v>13</v>
      </c>
      <c r="T355" s="108" t="s">
        <v>14</v>
      </c>
      <c r="U355" s="108" t="s">
        <v>13</v>
      </c>
      <c r="V355" s="108" t="s">
        <v>14</v>
      </c>
      <c r="W355" s="108" t="s">
        <v>13</v>
      </c>
      <c r="X355" s="108" t="s">
        <v>14</v>
      </c>
      <c r="Y355" s="108" t="s">
        <v>13</v>
      </c>
      <c r="Z355" s="108" t="s">
        <v>14</v>
      </c>
      <c r="AA355" s="108" t="s">
        <v>13</v>
      </c>
      <c r="AB355" s="108" t="s">
        <v>14</v>
      </c>
      <c r="AC355" s="108" t="s">
        <v>13</v>
      </c>
      <c r="AD355" s="108" t="s">
        <v>14</v>
      </c>
      <c r="AE355" s="108" t="s">
        <v>13</v>
      </c>
      <c r="AF355" s="108" t="s">
        <v>14</v>
      </c>
      <c r="AG355" s="108" t="s">
        <v>13</v>
      </c>
      <c r="AH355" s="108" t="s">
        <v>14</v>
      </c>
      <c r="AI355" s="108" t="s">
        <v>13</v>
      </c>
      <c r="AJ355" s="108" t="s">
        <v>14</v>
      </c>
      <c r="AK355" s="107"/>
    </row>
    <row r="356" spans="1:37" ht="16.5" customHeight="1" x14ac:dyDescent="0.2">
      <c r="A356" s="6"/>
      <c r="B356" s="22">
        <v>1</v>
      </c>
      <c r="C356" s="22">
        <f>'Kelas X'!C341</f>
        <v>16579</v>
      </c>
      <c r="D356" s="34" t="str">
        <f>'Kelas X'!D341</f>
        <v>ALAINA ASSYAKIRA</v>
      </c>
      <c r="E356" s="12"/>
      <c r="F356" s="13"/>
      <c r="G356" s="12"/>
      <c r="H356" s="13"/>
      <c r="I356" s="12"/>
      <c r="J356" s="13"/>
      <c r="K356" s="12"/>
      <c r="L356" s="13"/>
      <c r="M356" s="12"/>
      <c r="N356" s="13"/>
      <c r="O356" s="12"/>
      <c r="P356" s="13"/>
      <c r="Q356" s="12"/>
      <c r="R356" s="13"/>
      <c r="S356" s="12"/>
      <c r="T356" s="13"/>
      <c r="U356" s="12"/>
      <c r="V356" s="13"/>
      <c r="W356" s="12"/>
      <c r="X356" s="13"/>
      <c r="Y356" s="12"/>
      <c r="Z356" s="13"/>
      <c r="AA356" s="12"/>
      <c r="AB356" s="13"/>
      <c r="AC356" s="12"/>
      <c r="AD356" s="13"/>
      <c r="AE356" s="12"/>
      <c r="AF356" s="13"/>
      <c r="AG356" s="12"/>
      <c r="AH356" s="13"/>
      <c r="AI356" s="12"/>
      <c r="AJ356" s="13"/>
      <c r="AK356" s="107"/>
    </row>
    <row r="357" spans="1:37" ht="16.5" customHeight="1" x14ac:dyDescent="0.2">
      <c r="A357" s="6"/>
      <c r="B357" s="135">
        <f t="shared" ref="B357:B393" si="119">B356+1</f>
        <v>2</v>
      </c>
      <c r="C357" s="135">
        <f>'Kelas X'!C342</f>
        <v>16580</v>
      </c>
      <c r="D357" s="34" t="str">
        <f>'Kelas X'!D342</f>
        <v>AMIRA SYARIFA ADELIA YAHYA</v>
      </c>
      <c r="E357" s="14"/>
      <c r="F357" s="15"/>
      <c r="G357" s="14"/>
      <c r="H357" s="15"/>
      <c r="I357" s="14"/>
      <c r="J357" s="15"/>
      <c r="K357" s="14"/>
      <c r="L357" s="15"/>
      <c r="M357" s="14"/>
      <c r="N357" s="15"/>
      <c r="O357" s="14"/>
      <c r="P357" s="15"/>
      <c r="Q357" s="14"/>
      <c r="R357" s="15"/>
      <c r="S357" s="14"/>
      <c r="T357" s="15"/>
      <c r="U357" s="14"/>
      <c r="V357" s="15"/>
      <c r="W357" s="14"/>
      <c r="X357" s="15"/>
      <c r="Y357" s="14"/>
      <c r="Z357" s="15"/>
      <c r="AA357" s="14"/>
      <c r="AB357" s="15"/>
      <c r="AC357" s="14"/>
      <c r="AD357" s="15"/>
      <c r="AE357" s="14"/>
      <c r="AF357" s="15"/>
      <c r="AG357" s="14"/>
      <c r="AH357" s="15"/>
      <c r="AI357" s="14"/>
      <c r="AJ357" s="15"/>
      <c r="AK357" s="107"/>
    </row>
    <row r="358" spans="1:37" ht="16.5" customHeight="1" x14ac:dyDescent="0.2">
      <c r="A358" s="6"/>
      <c r="B358" s="135">
        <f t="shared" si="119"/>
        <v>3</v>
      </c>
      <c r="C358" s="135">
        <f>'Kelas X'!C343</f>
        <v>16581</v>
      </c>
      <c r="D358" s="34" t="str">
        <f>'Kelas X'!D343</f>
        <v>ANNI IZZATUL KAROMAH RAFSODI</v>
      </c>
      <c r="E358" s="14"/>
      <c r="F358" s="15"/>
      <c r="G358" s="14"/>
      <c r="H358" s="15"/>
      <c r="I358" s="14"/>
      <c r="J358" s="15"/>
      <c r="K358" s="14"/>
      <c r="L358" s="15"/>
      <c r="M358" s="14"/>
      <c r="N358" s="15"/>
      <c r="O358" s="14"/>
      <c r="P358" s="15"/>
      <c r="Q358" s="14"/>
      <c r="R358" s="15"/>
      <c r="S358" s="14"/>
      <c r="T358" s="15"/>
      <c r="U358" s="14"/>
      <c r="V358" s="15"/>
      <c r="W358" s="14"/>
      <c r="X358" s="15"/>
      <c r="Y358" s="14"/>
      <c r="Z358" s="15"/>
      <c r="AA358" s="14"/>
      <c r="AB358" s="15"/>
      <c r="AC358" s="14"/>
      <c r="AD358" s="15"/>
      <c r="AE358" s="14"/>
      <c r="AF358" s="15"/>
      <c r="AG358" s="14"/>
      <c r="AH358" s="15"/>
      <c r="AI358" s="14"/>
      <c r="AJ358" s="15"/>
      <c r="AK358" s="107"/>
    </row>
    <row r="359" spans="1:37" ht="16.5" customHeight="1" x14ac:dyDescent="0.2">
      <c r="A359" s="6"/>
      <c r="B359" s="135">
        <f t="shared" si="119"/>
        <v>4</v>
      </c>
      <c r="C359" s="135">
        <f>'Kelas X'!C344</f>
        <v>16582</v>
      </c>
      <c r="D359" s="34" t="str">
        <f>'Kelas X'!D344</f>
        <v>AQILAH HABIBATUL IZZAH</v>
      </c>
      <c r="E359" s="14"/>
      <c r="F359" s="15"/>
      <c r="G359" s="14"/>
      <c r="H359" s="15"/>
      <c r="I359" s="14"/>
      <c r="J359" s="15"/>
      <c r="K359" s="14"/>
      <c r="L359" s="15"/>
      <c r="M359" s="14"/>
      <c r="N359" s="15"/>
      <c r="O359" s="14"/>
      <c r="P359" s="15"/>
      <c r="Q359" s="14"/>
      <c r="R359" s="15"/>
      <c r="S359" s="14"/>
      <c r="T359" s="15"/>
      <c r="U359" s="14"/>
      <c r="V359" s="15"/>
      <c r="W359" s="14"/>
      <c r="X359" s="15"/>
      <c r="Y359" s="14"/>
      <c r="Z359" s="15"/>
      <c r="AA359" s="14"/>
      <c r="AB359" s="15"/>
      <c r="AC359" s="14"/>
      <c r="AD359" s="15"/>
      <c r="AE359" s="14"/>
      <c r="AF359" s="15"/>
      <c r="AG359" s="14"/>
      <c r="AH359" s="15"/>
      <c r="AI359" s="14"/>
      <c r="AJ359" s="15"/>
      <c r="AK359" s="107"/>
    </row>
    <row r="360" spans="1:37" ht="16.5" customHeight="1" x14ac:dyDescent="0.2">
      <c r="A360" s="6"/>
      <c r="B360" s="135">
        <f t="shared" si="119"/>
        <v>5</v>
      </c>
      <c r="C360" s="135">
        <f>'Kelas X'!C345</f>
        <v>16583</v>
      </c>
      <c r="D360" s="34" t="str">
        <f>'Kelas X'!D345</f>
        <v>ASYIFA MEDINA AZZAHRO</v>
      </c>
      <c r="E360" s="14"/>
      <c r="F360" s="15"/>
      <c r="G360" s="14"/>
      <c r="H360" s="15"/>
      <c r="I360" s="14"/>
      <c r="J360" s="15"/>
      <c r="K360" s="14"/>
      <c r="L360" s="15"/>
      <c r="M360" s="14"/>
      <c r="N360" s="15"/>
      <c r="O360" s="14"/>
      <c r="P360" s="15"/>
      <c r="Q360" s="14"/>
      <c r="R360" s="15"/>
      <c r="S360" s="14"/>
      <c r="T360" s="15"/>
      <c r="U360" s="14"/>
      <c r="V360" s="15"/>
      <c r="W360" s="14"/>
      <c r="X360" s="15"/>
      <c r="Y360" s="14"/>
      <c r="Z360" s="15"/>
      <c r="AA360" s="14"/>
      <c r="AB360" s="15"/>
      <c r="AC360" s="14"/>
      <c r="AD360" s="15"/>
      <c r="AE360" s="14"/>
      <c r="AF360" s="15"/>
      <c r="AG360" s="14"/>
      <c r="AH360" s="15"/>
      <c r="AI360" s="14"/>
      <c r="AJ360" s="15"/>
      <c r="AK360" s="107"/>
    </row>
    <row r="361" spans="1:37" ht="16.5" customHeight="1" x14ac:dyDescent="0.2">
      <c r="A361" s="6"/>
      <c r="B361" s="135">
        <f t="shared" si="119"/>
        <v>6</v>
      </c>
      <c r="C361" s="135">
        <f>'Kelas X'!C346</f>
        <v>16584</v>
      </c>
      <c r="D361" s="34" t="str">
        <f>'Kelas X'!D346</f>
        <v>ATHA GENDHIS ANANTA</v>
      </c>
      <c r="E361" s="14"/>
      <c r="F361" s="15"/>
      <c r="G361" s="14"/>
      <c r="H361" s="15"/>
      <c r="I361" s="14"/>
      <c r="J361" s="15"/>
      <c r="K361" s="14"/>
      <c r="L361" s="15"/>
      <c r="M361" s="14"/>
      <c r="N361" s="15"/>
      <c r="O361" s="14"/>
      <c r="P361" s="15"/>
      <c r="Q361" s="14"/>
      <c r="R361" s="15"/>
      <c r="S361" s="14"/>
      <c r="T361" s="15"/>
      <c r="U361" s="14"/>
      <c r="V361" s="15"/>
      <c r="W361" s="14"/>
      <c r="X361" s="15"/>
      <c r="Y361" s="14"/>
      <c r="Z361" s="15"/>
      <c r="AA361" s="14"/>
      <c r="AB361" s="15"/>
      <c r="AC361" s="14"/>
      <c r="AD361" s="15"/>
      <c r="AE361" s="14"/>
      <c r="AF361" s="15"/>
      <c r="AG361" s="14"/>
      <c r="AH361" s="15"/>
      <c r="AI361" s="14"/>
      <c r="AJ361" s="15"/>
      <c r="AK361" s="107"/>
    </row>
    <row r="362" spans="1:37" ht="16.5" customHeight="1" x14ac:dyDescent="0.2">
      <c r="A362" s="6"/>
      <c r="B362" s="135">
        <f t="shared" si="119"/>
        <v>7</v>
      </c>
      <c r="C362" s="135">
        <f>'Kelas X'!C347</f>
        <v>16585</v>
      </c>
      <c r="D362" s="34" t="str">
        <f>'Kelas X'!D347</f>
        <v>AYESHA BUNGAS EL FAYYAZA</v>
      </c>
      <c r="E362" s="14"/>
      <c r="F362" s="15"/>
      <c r="G362" s="14"/>
      <c r="H362" s="15"/>
      <c r="I362" s="14"/>
      <c r="J362" s="15"/>
      <c r="K362" s="14"/>
      <c r="L362" s="15"/>
      <c r="M362" s="14"/>
      <c r="N362" s="15"/>
      <c r="O362" s="14"/>
      <c r="P362" s="15"/>
      <c r="Q362" s="14"/>
      <c r="R362" s="15"/>
      <c r="S362" s="14"/>
      <c r="T362" s="15"/>
      <c r="U362" s="14"/>
      <c r="V362" s="15"/>
      <c r="W362" s="14"/>
      <c r="X362" s="15"/>
      <c r="Y362" s="14"/>
      <c r="Z362" s="15"/>
      <c r="AA362" s="14"/>
      <c r="AB362" s="15"/>
      <c r="AC362" s="14"/>
      <c r="AD362" s="15"/>
      <c r="AE362" s="14"/>
      <c r="AF362" s="15"/>
      <c r="AG362" s="14"/>
      <c r="AH362" s="15"/>
      <c r="AI362" s="14"/>
      <c r="AJ362" s="15"/>
      <c r="AK362" s="107"/>
    </row>
    <row r="363" spans="1:37" ht="16.5" customHeight="1" x14ac:dyDescent="0.2">
      <c r="A363" s="6"/>
      <c r="B363" s="135">
        <f t="shared" si="119"/>
        <v>8</v>
      </c>
      <c r="C363" s="135">
        <f>'Kelas X'!C348</f>
        <v>16587</v>
      </c>
      <c r="D363" s="34" t="str">
        <f>'Kelas X'!D348</f>
        <v>DESTRY ROSDIANA</v>
      </c>
      <c r="E363" s="14"/>
      <c r="F363" s="15"/>
      <c r="G363" s="14"/>
      <c r="H363" s="15"/>
      <c r="I363" s="14"/>
      <c r="J363" s="15"/>
      <c r="K363" s="14"/>
      <c r="L363" s="15"/>
      <c r="M363" s="14"/>
      <c r="N363" s="15"/>
      <c r="O363" s="14"/>
      <c r="P363" s="15"/>
      <c r="Q363" s="14"/>
      <c r="R363" s="15"/>
      <c r="S363" s="14"/>
      <c r="T363" s="15"/>
      <c r="U363" s="14"/>
      <c r="V363" s="15"/>
      <c r="W363" s="14"/>
      <c r="X363" s="15"/>
      <c r="Y363" s="14"/>
      <c r="Z363" s="15"/>
      <c r="AA363" s="14"/>
      <c r="AB363" s="15"/>
      <c r="AC363" s="14"/>
      <c r="AD363" s="15"/>
      <c r="AE363" s="14"/>
      <c r="AF363" s="15"/>
      <c r="AG363" s="14"/>
      <c r="AH363" s="15"/>
      <c r="AI363" s="14"/>
      <c r="AJ363" s="15"/>
      <c r="AK363" s="107"/>
    </row>
    <row r="364" spans="1:37" ht="16.5" customHeight="1" x14ac:dyDescent="0.2">
      <c r="A364" s="6"/>
      <c r="B364" s="135">
        <f t="shared" si="119"/>
        <v>9</v>
      </c>
      <c r="C364" s="135">
        <f>'Kelas X'!C349</f>
        <v>16588</v>
      </c>
      <c r="D364" s="34" t="str">
        <f>'Kelas X'!D349</f>
        <v>DINDA SYAFIQA ADELGISA</v>
      </c>
      <c r="E364" s="14"/>
      <c r="F364" s="15"/>
      <c r="G364" s="14"/>
      <c r="H364" s="15"/>
      <c r="I364" s="14"/>
      <c r="J364" s="15"/>
      <c r="K364" s="14"/>
      <c r="L364" s="15"/>
      <c r="M364" s="14"/>
      <c r="N364" s="15"/>
      <c r="O364" s="14"/>
      <c r="P364" s="15"/>
      <c r="Q364" s="14"/>
      <c r="R364" s="15"/>
      <c r="S364" s="14"/>
      <c r="T364" s="15"/>
      <c r="U364" s="14"/>
      <c r="V364" s="15"/>
      <c r="W364" s="14"/>
      <c r="X364" s="15"/>
      <c r="Y364" s="14"/>
      <c r="Z364" s="15"/>
      <c r="AA364" s="14"/>
      <c r="AB364" s="15"/>
      <c r="AC364" s="14"/>
      <c r="AD364" s="15"/>
      <c r="AE364" s="14"/>
      <c r="AF364" s="15"/>
      <c r="AG364" s="14"/>
      <c r="AH364" s="15"/>
      <c r="AI364" s="14"/>
      <c r="AJ364" s="15"/>
      <c r="AK364" s="107"/>
    </row>
    <row r="365" spans="1:37" ht="16.5" customHeight="1" x14ac:dyDescent="0.2">
      <c r="A365" s="6"/>
      <c r="B365" s="135">
        <f t="shared" si="119"/>
        <v>10</v>
      </c>
      <c r="C365" s="135">
        <f>'Kelas X'!C350</f>
        <v>16589</v>
      </c>
      <c r="D365" s="34" t="str">
        <f>'Kelas X'!D350</f>
        <v>EARLY NAZILATUZ ZAHROH</v>
      </c>
      <c r="E365" s="14"/>
      <c r="F365" s="15"/>
      <c r="G365" s="14"/>
      <c r="H365" s="15"/>
      <c r="I365" s="14"/>
      <c r="J365" s="15"/>
      <c r="K365" s="14"/>
      <c r="L365" s="15"/>
      <c r="M365" s="14"/>
      <c r="N365" s="15"/>
      <c r="O365" s="14"/>
      <c r="P365" s="15"/>
      <c r="Q365" s="14"/>
      <c r="R365" s="15"/>
      <c r="S365" s="14"/>
      <c r="T365" s="15"/>
      <c r="U365" s="14"/>
      <c r="V365" s="15"/>
      <c r="W365" s="14"/>
      <c r="X365" s="15"/>
      <c r="Y365" s="14"/>
      <c r="Z365" s="15"/>
      <c r="AA365" s="14"/>
      <c r="AB365" s="15"/>
      <c r="AC365" s="14"/>
      <c r="AD365" s="15"/>
      <c r="AE365" s="14"/>
      <c r="AF365" s="15"/>
      <c r="AG365" s="14"/>
      <c r="AH365" s="15"/>
      <c r="AI365" s="14"/>
      <c r="AJ365" s="15"/>
      <c r="AK365" s="107"/>
    </row>
    <row r="366" spans="1:37" ht="16.5" customHeight="1" x14ac:dyDescent="0.2">
      <c r="A366" s="6"/>
      <c r="B366" s="135">
        <f t="shared" si="119"/>
        <v>11</v>
      </c>
      <c r="C366" s="135">
        <f>'Kelas X'!C351</f>
        <v>16590</v>
      </c>
      <c r="D366" s="34" t="str">
        <f>'Kelas X'!D351</f>
        <v>ECHA AVRIELLYA LAILATUZZAHRAH</v>
      </c>
      <c r="E366" s="14"/>
      <c r="F366" s="15"/>
      <c r="G366" s="14"/>
      <c r="H366" s="15"/>
      <c r="I366" s="14"/>
      <c r="J366" s="15"/>
      <c r="K366" s="14"/>
      <c r="L366" s="15"/>
      <c r="M366" s="14"/>
      <c r="N366" s="15"/>
      <c r="O366" s="14"/>
      <c r="P366" s="15"/>
      <c r="Q366" s="14"/>
      <c r="R366" s="15"/>
      <c r="S366" s="14"/>
      <c r="T366" s="15"/>
      <c r="U366" s="14"/>
      <c r="V366" s="15"/>
      <c r="W366" s="14"/>
      <c r="X366" s="15"/>
      <c r="Y366" s="14"/>
      <c r="Z366" s="15"/>
      <c r="AA366" s="14"/>
      <c r="AB366" s="15"/>
      <c r="AC366" s="14"/>
      <c r="AD366" s="15"/>
      <c r="AE366" s="14"/>
      <c r="AF366" s="15"/>
      <c r="AG366" s="14"/>
      <c r="AH366" s="15"/>
      <c r="AI366" s="14"/>
      <c r="AJ366" s="15"/>
      <c r="AK366" s="107"/>
    </row>
    <row r="367" spans="1:37" ht="16.5" customHeight="1" x14ac:dyDescent="0.2">
      <c r="A367" s="6"/>
      <c r="B367" s="135">
        <f t="shared" si="119"/>
        <v>12</v>
      </c>
      <c r="C367" s="135">
        <f>'Kelas X'!C352</f>
        <v>16591</v>
      </c>
      <c r="D367" s="34" t="str">
        <f>'Kelas X'!D352</f>
        <v>ELYSIANNA SEDAYU RADYSTI</v>
      </c>
      <c r="E367" s="14"/>
      <c r="F367" s="15"/>
      <c r="G367" s="14"/>
      <c r="H367" s="15"/>
      <c r="I367" s="14"/>
      <c r="J367" s="15"/>
      <c r="K367" s="14"/>
      <c r="L367" s="15"/>
      <c r="M367" s="14"/>
      <c r="N367" s="15"/>
      <c r="O367" s="14"/>
      <c r="P367" s="15"/>
      <c r="Q367" s="14"/>
      <c r="R367" s="15"/>
      <c r="S367" s="14"/>
      <c r="T367" s="15"/>
      <c r="U367" s="14"/>
      <c r="V367" s="15"/>
      <c r="W367" s="14"/>
      <c r="X367" s="15"/>
      <c r="Y367" s="14"/>
      <c r="Z367" s="15"/>
      <c r="AA367" s="14"/>
      <c r="AB367" s="15"/>
      <c r="AC367" s="14"/>
      <c r="AD367" s="15"/>
      <c r="AE367" s="14"/>
      <c r="AF367" s="15"/>
      <c r="AG367" s="14"/>
      <c r="AH367" s="15"/>
      <c r="AI367" s="14"/>
      <c r="AJ367" s="15"/>
      <c r="AK367" s="107"/>
    </row>
    <row r="368" spans="1:37" ht="16.5" customHeight="1" x14ac:dyDescent="0.2">
      <c r="A368" s="6"/>
      <c r="B368" s="135">
        <f t="shared" si="119"/>
        <v>13</v>
      </c>
      <c r="C368" s="135">
        <f>'Kelas X'!C353</f>
        <v>16592</v>
      </c>
      <c r="D368" s="34" t="str">
        <f>'Kelas X'!D353</f>
        <v>FAKRINA HAINUNATUZ ZAHRA</v>
      </c>
      <c r="E368" s="14"/>
      <c r="F368" s="15"/>
      <c r="G368" s="14"/>
      <c r="H368" s="15"/>
      <c r="I368" s="14"/>
      <c r="J368" s="15"/>
      <c r="K368" s="14"/>
      <c r="L368" s="15"/>
      <c r="M368" s="14"/>
      <c r="N368" s="15"/>
      <c r="O368" s="14"/>
      <c r="P368" s="15"/>
      <c r="Q368" s="14"/>
      <c r="R368" s="15"/>
      <c r="S368" s="14"/>
      <c r="T368" s="15"/>
      <c r="U368" s="14"/>
      <c r="V368" s="15"/>
      <c r="W368" s="14"/>
      <c r="X368" s="15"/>
      <c r="Y368" s="14"/>
      <c r="Z368" s="15"/>
      <c r="AA368" s="14"/>
      <c r="AB368" s="15"/>
      <c r="AC368" s="14"/>
      <c r="AD368" s="15"/>
      <c r="AE368" s="14"/>
      <c r="AF368" s="15"/>
      <c r="AG368" s="14"/>
      <c r="AH368" s="15"/>
      <c r="AI368" s="14"/>
      <c r="AJ368" s="15"/>
      <c r="AK368" s="107"/>
    </row>
    <row r="369" spans="1:37" ht="16.5" customHeight="1" x14ac:dyDescent="0.2">
      <c r="A369" s="6"/>
      <c r="B369" s="135">
        <f t="shared" si="119"/>
        <v>14</v>
      </c>
      <c r="C369" s="135">
        <f>'Kelas X'!C354</f>
        <v>16593</v>
      </c>
      <c r="D369" s="34" t="str">
        <f>'Kelas X'!D354</f>
        <v>FAYXA AYU DEWINTA PUTRI SRIKANDI</v>
      </c>
      <c r="E369" s="14"/>
      <c r="F369" s="15"/>
      <c r="G369" s="14"/>
      <c r="H369" s="15"/>
      <c r="I369" s="14"/>
      <c r="J369" s="15"/>
      <c r="K369" s="14"/>
      <c r="L369" s="15"/>
      <c r="M369" s="14"/>
      <c r="N369" s="15"/>
      <c r="O369" s="14"/>
      <c r="P369" s="15"/>
      <c r="Q369" s="14"/>
      <c r="R369" s="15"/>
      <c r="S369" s="14"/>
      <c r="T369" s="15"/>
      <c r="U369" s="14"/>
      <c r="V369" s="15"/>
      <c r="W369" s="14"/>
      <c r="X369" s="15"/>
      <c r="Y369" s="14"/>
      <c r="Z369" s="15"/>
      <c r="AA369" s="14"/>
      <c r="AB369" s="15"/>
      <c r="AC369" s="14"/>
      <c r="AD369" s="15"/>
      <c r="AE369" s="14"/>
      <c r="AF369" s="15"/>
      <c r="AG369" s="14"/>
      <c r="AH369" s="15"/>
      <c r="AI369" s="14"/>
      <c r="AJ369" s="15"/>
      <c r="AK369" s="107"/>
    </row>
    <row r="370" spans="1:37" ht="16.5" customHeight="1" x14ac:dyDescent="0.2">
      <c r="A370" s="6"/>
      <c r="B370" s="135">
        <f t="shared" si="119"/>
        <v>15</v>
      </c>
      <c r="C370" s="135">
        <f>'Kelas X'!C355</f>
        <v>16594</v>
      </c>
      <c r="D370" s="34" t="str">
        <f>'Kelas X'!D355</f>
        <v>FILDZAH AMIMAH YUMNA</v>
      </c>
      <c r="E370" s="14"/>
      <c r="F370" s="15"/>
      <c r="G370" s="14"/>
      <c r="H370" s="15"/>
      <c r="I370" s="14"/>
      <c r="J370" s="15"/>
      <c r="K370" s="14"/>
      <c r="L370" s="15"/>
      <c r="M370" s="14"/>
      <c r="N370" s="15"/>
      <c r="O370" s="14"/>
      <c r="P370" s="15"/>
      <c r="Q370" s="14"/>
      <c r="R370" s="15"/>
      <c r="S370" s="14"/>
      <c r="T370" s="15"/>
      <c r="U370" s="14"/>
      <c r="V370" s="15"/>
      <c r="W370" s="14"/>
      <c r="X370" s="15"/>
      <c r="Y370" s="14"/>
      <c r="Z370" s="15"/>
      <c r="AA370" s="14"/>
      <c r="AB370" s="15"/>
      <c r="AC370" s="14"/>
      <c r="AD370" s="15"/>
      <c r="AE370" s="14"/>
      <c r="AF370" s="15"/>
      <c r="AG370" s="14"/>
      <c r="AH370" s="15"/>
      <c r="AI370" s="14"/>
      <c r="AJ370" s="15"/>
      <c r="AK370" s="107"/>
    </row>
    <row r="371" spans="1:37" ht="16.5" customHeight="1" x14ac:dyDescent="0.2">
      <c r="A371" s="6"/>
      <c r="B371" s="135">
        <f t="shared" si="119"/>
        <v>16</v>
      </c>
      <c r="C371" s="135">
        <f>'Kelas X'!C356</f>
        <v>16595</v>
      </c>
      <c r="D371" s="34" t="str">
        <f>'Kelas X'!D356</f>
        <v>HAMISA AULIA NAJIB</v>
      </c>
      <c r="E371" s="14"/>
      <c r="F371" s="15"/>
      <c r="G371" s="14"/>
      <c r="H371" s="15"/>
      <c r="I371" s="14"/>
      <c r="J371" s="15"/>
      <c r="K371" s="14"/>
      <c r="L371" s="15"/>
      <c r="M371" s="14"/>
      <c r="N371" s="15"/>
      <c r="O371" s="14"/>
      <c r="P371" s="15"/>
      <c r="Q371" s="14"/>
      <c r="R371" s="15"/>
      <c r="S371" s="14"/>
      <c r="T371" s="15"/>
      <c r="U371" s="14"/>
      <c r="V371" s="15"/>
      <c r="W371" s="14"/>
      <c r="X371" s="15"/>
      <c r="Y371" s="14"/>
      <c r="Z371" s="15"/>
      <c r="AA371" s="14"/>
      <c r="AB371" s="15"/>
      <c r="AC371" s="14"/>
      <c r="AD371" s="15"/>
      <c r="AE371" s="14"/>
      <c r="AF371" s="15"/>
      <c r="AG371" s="14"/>
      <c r="AH371" s="15"/>
      <c r="AI371" s="14"/>
      <c r="AJ371" s="15"/>
      <c r="AK371" s="107"/>
    </row>
    <row r="372" spans="1:37" ht="16.5" customHeight="1" x14ac:dyDescent="0.2">
      <c r="A372" s="6"/>
      <c r="B372" s="135">
        <f t="shared" si="119"/>
        <v>17</v>
      </c>
      <c r="C372" s="135">
        <f>'Kelas X'!C357</f>
        <v>16596</v>
      </c>
      <c r="D372" s="34" t="str">
        <f>'Kelas X'!D357</f>
        <v>HANIYA RIHADATUL AISA</v>
      </c>
      <c r="E372" s="14"/>
      <c r="F372" s="15"/>
      <c r="G372" s="14"/>
      <c r="H372" s="15"/>
      <c r="I372" s="14"/>
      <c r="J372" s="15"/>
      <c r="K372" s="14"/>
      <c r="L372" s="15"/>
      <c r="M372" s="14"/>
      <c r="N372" s="15"/>
      <c r="O372" s="14"/>
      <c r="P372" s="15"/>
      <c r="Q372" s="14"/>
      <c r="R372" s="15"/>
      <c r="S372" s="14"/>
      <c r="T372" s="15"/>
      <c r="U372" s="14"/>
      <c r="V372" s="15"/>
      <c r="W372" s="14"/>
      <c r="X372" s="15"/>
      <c r="Y372" s="14"/>
      <c r="Z372" s="15"/>
      <c r="AA372" s="14"/>
      <c r="AB372" s="15"/>
      <c r="AC372" s="14"/>
      <c r="AD372" s="15"/>
      <c r="AE372" s="14"/>
      <c r="AF372" s="15"/>
      <c r="AG372" s="14"/>
      <c r="AH372" s="15"/>
      <c r="AI372" s="14"/>
      <c r="AJ372" s="15"/>
      <c r="AK372" s="107"/>
    </row>
    <row r="373" spans="1:37" ht="16.5" customHeight="1" x14ac:dyDescent="0.2">
      <c r="A373" s="6"/>
      <c r="B373" s="135">
        <f t="shared" si="119"/>
        <v>18</v>
      </c>
      <c r="C373" s="135">
        <f>'Kelas X'!C358</f>
        <v>16597</v>
      </c>
      <c r="D373" s="34" t="str">
        <f>'Kelas X'!D358</f>
        <v>HAZLINA SABIQA WIDIASTUTI</v>
      </c>
      <c r="E373" s="14"/>
      <c r="F373" s="15"/>
      <c r="G373" s="14"/>
      <c r="H373" s="15"/>
      <c r="I373" s="14"/>
      <c r="J373" s="15"/>
      <c r="K373" s="14"/>
      <c r="L373" s="15"/>
      <c r="M373" s="14"/>
      <c r="N373" s="15"/>
      <c r="O373" s="14"/>
      <c r="P373" s="15"/>
      <c r="Q373" s="14"/>
      <c r="R373" s="15"/>
      <c r="S373" s="14"/>
      <c r="T373" s="15"/>
      <c r="U373" s="14"/>
      <c r="V373" s="15"/>
      <c r="W373" s="14"/>
      <c r="X373" s="15"/>
      <c r="Y373" s="14"/>
      <c r="Z373" s="15"/>
      <c r="AA373" s="14"/>
      <c r="AB373" s="15"/>
      <c r="AC373" s="14"/>
      <c r="AD373" s="15"/>
      <c r="AE373" s="14"/>
      <c r="AF373" s="15"/>
      <c r="AG373" s="14"/>
      <c r="AH373" s="15"/>
      <c r="AI373" s="14"/>
      <c r="AJ373" s="15"/>
      <c r="AK373" s="107"/>
    </row>
    <row r="374" spans="1:37" ht="16.5" customHeight="1" x14ac:dyDescent="0.2">
      <c r="A374" s="6"/>
      <c r="B374" s="135">
        <f t="shared" si="119"/>
        <v>19</v>
      </c>
      <c r="C374" s="135">
        <f>'Kelas X'!C359</f>
        <v>16598</v>
      </c>
      <c r="D374" s="34" t="str">
        <f>'Kelas X'!D359</f>
        <v>KHOIRILA PULUNGAN</v>
      </c>
      <c r="E374" s="14"/>
      <c r="F374" s="15"/>
      <c r="G374" s="14"/>
      <c r="H374" s="15"/>
      <c r="I374" s="14"/>
      <c r="J374" s="15"/>
      <c r="K374" s="14"/>
      <c r="L374" s="15"/>
      <c r="M374" s="14"/>
      <c r="N374" s="15"/>
      <c r="O374" s="14"/>
      <c r="P374" s="15"/>
      <c r="Q374" s="14"/>
      <c r="R374" s="15"/>
      <c r="S374" s="14"/>
      <c r="T374" s="15"/>
      <c r="U374" s="14"/>
      <c r="V374" s="15"/>
      <c r="W374" s="14"/>
      <c r="X374" s="15"/>
      <c r="Y374" s="14"/>
      <c r="Z374" s="15"/>
      <c r="AA374" s="14"/>
      <c r="AB374" s="15"/>
      <c r="AC374" s="14"/>
      <c r="AD374" s="15"/>
      <c r="AE374" s="14"/>
      <c r="AF374" s="15"/>
      <c r="AG374" s="14"/>
      <c r="AH374" s="15"/>
      <c r="AI374" s="14"/>
      <c r="AJ374" s="15"/>
      <c r="AK374" s="107"/>
    </row>
    <row r="375" spans="1:37" ht="16.5" customHeight="1" x14ac:dyDescent="0.2">
      <c r="A375" s="6"/>
      <c r="B375" s="135">
        <f t="shared" si="119"/>
        <v>20</v>
      </c>
      <c r="C375" s="135">
        <f>'Kelas X'!C360</f>
        <v>16599</v>
      </c>
      <c r="D375" s="34" t="str">
        <f>'Kelas X'!D360</f>
        <v>LAILA NAHWAH INAYATUL AINIYAH</v>
      </c>
      <c r="E375" s="14"/>
      <c r="F375" s="15"/>
      <c r="G375" s="14"/>
      <c r="H375" s="15"/>
      <c r="I375" s="14"/>
      <c r="J375" s="15"/>
      <c r="K375" s="14"/>
      <c r="L375" s="15"/>
      <c r="M375" s="14"/>
      <c r="N375" s="15"/>
      <c r="O375" s="14"/>
      <c r="P375" s="15"/>
      <c r="Q375" s="14"/>
      <c r="R375" s="15"/>
      <c r="S375" s="14"/>
      <c r="T375" s="15"/>
      <c r="U375" s="14"/>
      <c r="V375" s="15"/>
      <c r="W375" s="14"/>
      <c r="X375" s="15"/>
      <c r="Y375" s="14"/>
      <c r="Z375" s="15"/>
      <c r="AA375" s="14"/>
      <c r="AB375" s="15"/>
      <c r="AC375" s="14"/>
      <c r="AD375" s="15"/>
      <c r="AE375" s="14"/>
      <c r="AF375" s="15"/>
      <c r="AG375" s="14"/>
      <c r="AH375" s="15"/>
      <c r="AI375" s="14"/>
      <c r="AJ375" s="15"/>
      <c r="AK375" s="107"/>
    </row>
    <row r="376" spans="1:37" ht="16.5" customHeight="1" x14ac:dyDescent="0.2">
      <c r="A376" s="6"/>
      <c r="B376" s="135">
        <f t="shared" si="119"/>
        <v>21</v>
      </c>
      <c r="C376" s="135">
        <f>'Kelas X'!C361</f>
        <v>16600</v>
      </c>
      <c r="D376" s="34" t="str">
        <f>'Kelas X'!D361</f>
        <v>LAILA NAURA DINA AHMAD</v>
      </c>
      <c r="E376" s="14"/>
      <c r="F376" s="15"/>
      <c r="G376" s="14"/>
      <c r="H376" s="15"/>
      <c r="I376" s="14"/>
      <c r="J376" s="15"/>
      <c r="K376" s="14"/>
      <c r="L376" s="15"/>
      <c r="M376" s="14"/>
      <c r="N376" s="15"/>
      <c r="O376" s="14"/>
      <c r="P376" s="15"/>
      <c r="Q376" s="14"/>
      <c r="R376" s="15"/>
      <c r="S376" s="14"/>
      <c r="T376" s="15"/>
      <c r="U376" s="14"/>
      <c r="V376" s="15"/>
      <c r="W376" s="14"/>
      <c r="X376" s="15"/>
      <c r="Y376" s="14"/>
      <c r="Z376" s="15"/>
      <c r="AA376" s="14"/>
      <c r="AB376" s="15"/>
      <c r="AC376" s="14"/>
      <c r="AD376" s="15"/>
      <c r="AE376" s="14"/>
      <c r="AF376" s="15"/>
      <c r="AG376" s="14"/>
      <c r="AH376" s="15"/>
      <c r="AI376" s="14"/>
      <c r="AJ376" s="15"/>
      <c r="AK376" s="107"/>
    </row>
    <row r="377" spans="1:37" ht="16.5" customHeight="1" x14ac:dyDescent="0.2">
      <c r="A377" s="6"/>
      <c r="B377" s="135">
        <f t="shared" si="119"/>
        <v>22</v>
      </c>
      <c r="C377" s="135">
        <f>'Kelas X'!C362</f>
        <v>16601</v>
      </c>
      <c r="D377" s="34" t="str">
        <f>'Kelas X'!D362</f>
        <v>LIYA TASYA ALUNA</v>
      </c>
      <c r="E377" s="14"/>
      <c r="F377" s="15"/>
      <c r="G377" s="14"/>
      <c r="H377" s="15"/>
      <c r="I377" s="14"/>
      <c r="J377" s="15"/>
      <c r="K377" s="14"/>
      <c r="L377" s="15"/>
      <c r="M377" s="14"/>
      <c r="N377" s="15"/>
      <c r="O377" s="14"/>
      <c r="P377" s="15"/>
      <c r="Q377" s="14"/>
      <c r="R377" s="15"/>
      <c r="S377" s="14"/>
      <c r="T377" s="15"/>
      <c r="U377" s="14"/>
      <c r="V377" s="15"/>
      <c r="W377" s="14"/>
      <c r="X377" s="15"/>
      <c r="Y377" s="14"/>
      <c r="Z377" s="15"/>
      <c r="AA377" s="14"/>
      <c r="AB377" s="15"/>
      <c r="AC377" s="14"/>
      <c r="AD377" s="15"/>
      <c r="AE377" s="14"/>
      <c r="AF377" s="15"/>
      <c r="AG377" s="14"/>
      <c r="AH377" s="15"/>
      <c r="AI377" s="14"/>
      <c r="AJ377" s="15"/>
      <c r="AK377" s="107"/>
    </row>
    <row r="378" spans="1:37" ht="16.5" customHeight="1" x14ac:dyDescent="0.2">
      <c r="A378" s="6"/>
      <c r="B378" s="135">
        <f t="shared" si="119"/>
        <v>23</v>
      </c>
      <c r="C378" s="135">
        <f>'Kelas X'!C363</f>
        <v>16602</v>
      </c>
      <c r="D378" s="34" t="str">
        <f>'Kelas X'!D363</f>
        <v>MARITZA ADELIA ANINDITA</v>
      </c>
      <c r="E378" s="14"/>
      <c r="F378" s="15"/>
      <c r="G378" s="14"/>
      <c r="H378" s="15"/>
      <c r="I378" s="14"/>
      <c r="J378" s="15"/>
      <c r="K378" s="14"/>
      <c r="L378" s="15"/>
      <c r="M378" s="14"/>
      <c r="N378" s="15"/>
      <c r="O378" s="14"/>
      <c r="P378" s="15"/>
      <c r="Q378" s="14"/>
      <c r="R378" s="15"/>
      <c r="S378" s="14"/>
      <c r="T378" s="15"/>
      <c r="U378" s="14"/>
      <c r="V378" s="15"/>
      <c r="W378" s="14"/>
      <c r="X378" s="15"/>
      <c r="Y378" s="14"/>
      <c r="Z378" s="15"/>
      <c r="AA378" s="14"/>
      <c r="AB378" s="15"/>
      <c r="AC378" s="14"/>
      <c r="AD378" s="15"/>
      <c r="AE378" s="14"/>
      <c r="AF378" s="15"/>
      <c r="AG378" s="14"/>
      <c r="AH378" s="15"/>
      <c r="AI378" s="14"/>
      <c r="AJ378" s="15"/>
      <c r="AK378" s="107"/>
    </row>
    <row r="379" spans="1:37" ht="16.5" customHeight="1" x14ac:dyDescent="0.2">
      <c r="A379" s="6"/>
      <c r="B379" s="135">
        <f t="shared" si="119"/>
        <v>24</v>
      </c>
      <c r="C379" s="135">
        <f>'Kelas X'!C364</f>
        <v>16603</v>
      </c>
      <c r="D379" s="34" t="str">
        <f>'Kelas X'!D364</f>
        <v>NI'MATUS SHOLIKHA</v>
      </c>
      <c r="E379" s="14"/>
      <c r="F379" s="15"/>
      <c r="G379" s="14"/>
      <c r="H379" s="15"/>
      <c r="I379" s="14"/>
      <c r="J379" s="15"/>
      <c r="K379" s="14"/>
      <c r="L379" s="15"/>
      <c r="M379" s="14"/>
      <c r="N379" s="15"/>
      <c r="O379" s="14"/>
      <c r="P379" s="15"/>
      <c r="Q379" s="14"/>
      <c r="R379" s="15"/>
      <c r="S379" s="14"/>
      <c r="T379" s="15"/>
      <c r="U379" s="14"/>
      <c r="V379" s="15"/>
      <c r="W379" s="14"/>
      <c r="X379" s="15"/>
      <c r="Y379" s="14"/>
      <c r="Z379" s="15"/>
      <c r="AA379" s="14"/>
      <c r="AB379" s="15"/>
      <c r="AC379" s="14"/>
      <c r="AD379" s="15"/>
      <c r="AE379" s="14"/>
      <c r="AF379" s="15"/>
      <c r="AG379" s="14"/>
      <c r="AH379" s="15"/>
      <c r="AI379" s="14"/>
      <c r="AJ379" s="15"/>
      <c r="AK379" s="107"/>
    </row>
    <row r="380" spans="1:37" ht="16.5" customHeight="1" x14ac:dyDescent="0.2">
      <c r="A380" s="6"/>
      <c r="B380" s="135">
        <f t="shared" si="119"/>
        <v>25</v>
      </c>
      <c r="C380" s="135">
        <f>'Kelas X'!C365</f>
        <v>16604</v>
      </c>
      <c r="D380" s="34" t="str">
        <f>'Kelas X'!D365</f>
        <v>NUR AZIZAH HAMNABILLA</v>
      </c>
      <c r="E380" s="14"/>
      <c r="F380" s="15"/>
      <c r="G380" s="14"/>
      <c r="H380" s="15"/>
      <c r="I380" s="14"/>
      <c r="J380" s="15"/>
      <c r="K380" s="14"/>
      <c r="L380" s="15"/>
      <c r="M380" s="14"/>
      <c r="N380" s="15"/>
      <c r="O380" s="14"/>
      <c r="P380" s="15"/>
      <c r="Q380" s="14"/>
      <c r="R380" s="15"/>
      <c r="S380" s="14"/>
      <c r="T380" s="15"/>
      <c r="U380" s="14"/>
      <c r="V380" s="15"/>
      <c r="W380" s="14"/>
      <c r="X380" s="15"/>
      <c r="Y380" s="14"/>
      <c r="Z380" s="15"/>
      <c r="AA380" s="14"/>
      <c r="AB380" s="15"/>
      <c r="AC380" s="14"/>
      <c r="AD380" s="15"/>
      <c r="AE380" s="14"/>
      <c r="AF380" s="15"/>
      <c r="AG380" s="14"/>
      <c r="AH380" s="15"/>
      <c r="AI380" s="14"/>
      <c r="AJ380" s="15"/>
      <c r="AK380" s="107"/>
    </row>
    <row r="381" spans="1:37" ht="16.5" customHeight="1" x14ac:dyDescent="0.2">
      <c r="A381" s="6"/>
      <c r="B381" s="135">
        <f t="shared" si="119"/>
        <v>26</v>
      </c>
      <c r="C381" s="135">
        <f>'Kelas X'!C366</f>
        <v>16605</v>
      </c>
      <c r="D381" s="34" t="str">
        <f>'Kelas X'!D366</f>
        <v>NURRAFATUN NISA'</v>
      </c>
      <c r="E381" s="14"/>
      <c r="F381" s="15"/>
      <c r="G381" s="14"/>
      <c r="H381" s="15"/>
      <c r="I381" s="14"/>
      <c r="J381" s="15"/>
      <c r="K381" s="14"/>
      <c r="L381" s="15"/>
      <c r="M381" s="14"/>
      <c r="N381" s="15"/>
      <c r="O381" s="14"/>
      <c r="P381" s="15"/>
      <c r="Q381" s="14"/>
      <c r="R381" s="15"/>
      <c r="S381" s="14"/>
      <c r="T381" s="15"/>
      <c r="U381" s="14"/>
      <c r="V381" s="15"/>
      <c r="W381" s="14"/>
      <c r="X381" s="15"/>
      <c r="Y381" s="14"/>
      <c r="Z381" s="15"/>
      <c r="AA381" s="14"/>
      <c r="AB381" s="15"/>
      <c r="AC381" s="14"/>
      <c r="AD381" s="15"/>
      <c r="AE381" s="14"/>
      <c r="AF381" s="15"/>
      <c r="AG381" s="14"/>
      <c r="AH381" s="15"/>
      <c r="AI381" s="14"/>
      <c r="AJ381" s="15"/>
      <c r="AK381" s="107"/>
    </row>
    <row r="382" spans="1:37" ht="16.5" customHeight="1" x14ac:dyDescent="0.2">
      <c r="A382" s="6"/>
      <c r="B382" s="135">
        <f t="shared" si="119"/>
        <v>27</v>
      </c>
      <c r="C382" s="135">
        <f>'Kelas X'!C367</f>
        <v>16606</v>
      </c>
      <c r="D382" s="34" t="str">
        <f>'Kelas X'!D367</f>
        <v>RAZITA ZALIKA PRASHANTI</v>
      </c>
      <c r="E382" s="14"/>
      <c r="F382" s="15"/>
      <c r="G382" s="14"/>
      <c r="H382" s="15"/>
      <c r="I382" s="14"/>
      <c r="J382" s="15"/>
      <c r="K382" s="14"/>
      <c r="L382" s="15"/>
      <c r="M382" s="14"/>
      <c r="N382" s="15"/>
      <c r="O382" s="14"/>
      <c r="P382" s="15"/>
      <c r="Q382" s="14"/>
      <c r="R382" s="15"/>
      <c r="S382" s="14"/>
      <c r="T382" s="15"/>
      <c r="U382" s="14"/>
      <c r="V382" s="15"/>
      <c r="W382" s="14"/>
      <c r="X382" s="15"/>
      <c r="Y382" s="14"/>
      <c r="Z382" s="15"/>
      <c r="AA382" s="14"/>
      <c r="AB382" s="15"/>
      <c r="AC382" s="14"/>
      <c r="AD382" s="15"/>
      <c r="AE382" s="14"/>
      <c r="AF382" s="15"/>
      <c r="AG382" s="14"/>
      <c r="AH382" s="15"/>
      <c r="AI382" s="14"/>
      <c r="AJ382" s="15"/>
      <c r="AK382" s="107"/>
    </row>
    <row r="383" spans="1:37" ht="16.5" customHeight="1" x14ac:dyDescent="0.2">
      <c r="A383" s="6"/>
      <c r="B383" s="135">
        <f t="shared" si="119"/>
        <v>28</v>
      </c>
      <c r="C383" s="135">
        <f>'Kelas X'!C368</f>
        <v>16607</v>
      </c>
      <c r="D383" s="34" t="str">
        <f>'Kelas X'!D368</f>
        <v>RINDITA PUTRI HARTANTI</v>
      </c>
      <c r="E383" s="14"/>
      <c r="F383" s="15"/>
      <c r="G383" s="14"/>
      <c r="H383" s="15"/>
      <c r="I383" s="14"/>
      <c r="J383" s="15"/>
      <c r="K383" s="14"/>
      <c r="L383" s="15"/>
      <c r="M383" s="14"/>
      <c r="N383" s="15"/>
      <c r="O383" s="14"/>
      <c r="P383" s="15"/>
      <c r="Q383" s="14"/>
      <c r="R383" s="15"/>
      <c r="S383" s="14"/>
      <c r="T383" s="15"/>
      <c r="U383" s="14"/>
      <c r="V383" s="15"/>
      <c r="W383" s="14"/>
      <c r="X383" s="15"/>
      <c r="Y383" s="14"/>
      <c r="Z383" s="15"/>
      <c r="AA383" s="14"/>
      <c r="AB383" s="15"/>
      <c r="AC383" s="14"/>
      <c r="AD383" s="15"/>
      <c r="AE383" s="14"/>
      <c r="AF383" s="15"/>
      <c r="AG383" s="14"/>
      <c r="AH383" s="15"/>
      <c r="AI383" s="14"/>
      <c r="AJ383" s="15"/>
      <c r="AK383" s="107"/>
    </row>
    <row r="384" spans="1:37" ht="16.5" customHeight="1" x14ac:dyDescent="0.2">
      <c r="A384" s="6"/>
      <c r="B384" s="135">
        <f t="shared" si="119"/>
        <v>29</v>
      </c>
      <c r="C384" s="135">
        <f>'Kelas X'!C369</f>
        <v>16608</v>
      </c>
      <c r="D384" s="34" t="str">
        <f>'Kelas X'!D369</f>
        <v>TALITHA AULIA AZHAR</v>
      </c>
      <c r="E384" s="14"/>
      <c r="F384" s="15"/>
      <c r="G384" s="14"/>
      <c r="H384" s="15"/>
      <c r="I384" s="14"/>
      <c r="J384" s="15"/>
      <c r="K384" s="14"/>
      <c r="L384" s="15"/>
      <c r="M384" s="14"/>
      <c r="N384" s="15"/>
      <c r="O384" s="14"/>
      <c r="P384" s="15"/>
      <c r="Q384" s="14"/>
      <c r="R384" s="15"/>
      <c r="S384" s="14"/>
      <c r="T384" s="15"/>
      <c r="U384" s="14"/>
      <c r="V384" s="15"/>
      <c r="W384" s="14"/>
      <c r="X384" s="15"/>
      <c r="Y384" s="14"/>
      <c r="Z384" s="15"/>
      <c r="AA384" s="14"/>
      <c r="AB384" s="15"/>
      <c r="AC384" s="14"/>
      <c r="AD384" s="15"/>
      <c r="AE384" s="14"/>
      <c r="AF384" s="15"/>
      <c r="AG384" s="14"/>
      <c r="AH384" s="15"/>
      <c r="AI384" s="14"/>
      <c r="AJ384" s="15"/>
      <c r="AK384" s="107"/>
    </row>
    <row r="385" spans="1:37" ht="16.5" customHeight="1" x14ac:dyDescent="0.2">
      <c r="A385" s="6"/>
      <c r="B385" s="135">
        <f t="shared" si="119"/>
        <v>30</v>
      </c>
      <c r="C385" s="135">
        <f>'Kelas X'!C370</f>
        <v>16609</v>
      </c>
      <c r="D385" s="34" t="str">
        <f>'Kelas X'!D370</f>
        <v>ZAHARA AFNI RAHMA</v>
      </c>
      <c r="E385" s="14"/>
      <c r="F385" s="15"/>
      <c r="G385" s="14"/>
      <c r="H385" s="15"/>
      <c r="I385" s="14"/>
      <c r="J385" s="15"/>
      <c r="K385" s="14"/>
      <c r="L385" s="15"/>
      <c r="M385" s="14"/>
      <c r="N385" s="15"/>
      <c r="O385" s="14"/>
      <c r="P385" s="15"/>
      <c r="Q385" s="14"/>
      <c r="R385" s="15"/>
      <c r="S385" s="14"/>
      <c r="T385" s="15"/>
      <c r="U385" s="14"/>
      <c r="V385" s="15"/>
      <c r="W385" s="14"/>
      <c r="X385" s="15"/>
      <c r="Y385" s="14"/>
      <c r="Z385" s="15"/>
      <c r="AA385" s="14"/>
      <c r="AB385" s="15"/>
      <c r="AC385" s="14"/>
      <c r="AD385" s="15"/>
      <c r="AE385" s="14"/>
      <c r="AF385" s="15"/>
      <c r="AG385" s="14"/>
      <c r="AH385" s="15"/>
      <c r="AI385" s="14"/>
      <c r="AJ385" s="15"/>
      <c r="AK385" s="107"/>
    </row>
    <row r="386" spans="1:37" ht="16.5" customHeight="1" x14ac:dyDescent="0.2">
      <c r="A386" s="6"/>
      <c r="B386" s="135">
        <f t="shared" si="119"/>
        <v>31</v>
      </c>
      <c r="C386" s="135">
        <f>'Kelas X'!C371</f>
        <v>16610</v>
      </c>
      <c r="D386" s="34" t="str">
        <f>'Kelas X'!D371</f>
        <v>ZAKIYAH RAMADHANI</v>
      </c>
      <c r="E386" s="14"/>
      <c r="F386" s="15"/>
      <c r="G386" s="14"/>
      <c r="H386" s="15"/>
      <c r="I386" s="14"/>
      <c r="J386" s="15"/>
      <c r="K386" s="14"/>
      <c r="L386" s="15"/>
      <c r="M386" s="14"/>
      <c r="N386" s="15"/>
      <c r="O386" s="14"/>
      <c r="P386" s="15"/>
      <c r="Q386" s="14"/>
      <c r="R386" s="15"/>
      <c r="S386" s="14"/>
      <c r="T386" s="15"/>
      <c r="U386" s="14"/>
      <c r="V386" s="15"/>
      <c r="W386" s="14"/>
      <c r="X386" s="15"/>
      <c r="Y386" s="14"/>
      <c r="Z386" s="15"/>
      <c r="AA386" s="14"/>
      <c r="AB386" s="15"/>
      <c r="AC386" s="14"/>
      <c r="AD386" s="15"/>
      <c r="AE386" s="14"/>
      <c r="AF386" s="15"/>
      <c r="AG386" s="14"/>
      <c r="AH386" s="15"/>
      <c r="AI386" s="14"/>
      <c r="AJ386" s="15"/>
      <c r="AK386" s="107"/>
    </row>
    <row r="387" spans="1:37" ht="16.5" customHeight="1" x14ac:dyDescent="0.2">
      <c r="A387" s="6"/>
      <c r="B387" s="135">
        <f t="shared" si="119"/>
        <v>32</v>
      </c>
      <c r="C387" s="135">
        <f>'Kelas X'!C372</f>
        <v>0</v>
      </c>
      <c r="D387" s="34">
        <f>'Kelas X'!D372</f>
        <v>0</v>
      </c>
      <c r="E387" s="14"/>
      <c r="F387" s="15"/>
      <c r="G387" s="14"/>
      <c r="H387" s="15"/>
      <c r="I387" s="14"/>
      <c r="J387" s="15"/>
      <c r="K387" s="14"/>
      <c r="L387" s="15"/>
      <c r="M387" s="14"/>
      <c r="N387" s="15"/>
      <c r="O387" s="14"/>
      <c r="P387" s="15"/>
      <c r="Q387" s="14"/>
      <c r="R387" s="15"/>
      <c r="S387" s="14"/>
      <c r="T387" s="15"/>
      <c r="U387" s="14"/>
      <c r="V387" s="15"/>
      <c r="W387" s="14"/>
      <c r="X387" s="15"/>
      <c r="Y387" s="14"/>
      <c r="Z387" s="15"/>
      <c r="AA387" s="14"/>
      <c r="AB387" s="15"/>
      <c r="AC387" s="14"/>
      <c r="AD387" s="15"/>
      <c r="AE387" s="14"/>
      <c r="AF387" s="15"/>
      <c r="AG387" s="14"/>
      <c r="AH387" s="15"/>
      <c r="AI387" s="14"/>
      <c r="AJ387" s="15"/>
      <c r="AK387" s="107"/>
    </row>
    <row r="388" spans="1:37" ht="16.5" customHeight="1" x14ac:dyDescent="0.2">
      <c r="A388" s="6"/>
      <c r="B388" s="135">
        <f t="shared" si="119"/>
        <v>33</v>
      </c>
      <c r="C388" s="135">
        <f>'Kelas X'!C373</f>
        <v>0</v>
      </c>
      <c r="D388" s="34">
        <f>'Kelas X'!D373</f>
        <v>0</v>
      </c>
      <c r="E388" s="16"/>
      <c r="F388" s="17"/>
      <c r="G388" s="16"/>
      <c r="H388" s="17"/>
      <c r="I388" s="16"/>
      <c r="J388" s="17"/>
      <c r="K388" s="16"/>
      <c r="L388" s="17"/>
      <c r="M388" s="16"/>
      <c r="N388" s="17"/>
      <c r="O388" s="16"/>
      <c r="P388" s="17"/>
      <c r="Q388" s="16"/>
      <c r="R388" s="17"/>
      <c r="S388" s="16"/>
      <c r="T388" s="17"/>
      <c r="U388" s="16"/>
      <c r="V388" s="17"/>
      <c r="W388" s="16"/>
      <c r="X388" s="17"/>
      <c r="Y388" s="16"/>
      <c r="Z388" s="17"/>
      <c r="AA388" s="16"/>
      <c r="AB388" s="17"/>
      <c r="AC388" s="16"/>
      <c r="AD388" s="17"/>
      <c r="AE388" s="16"/>
      <c r="AF388" s="17"/>
      <c r="AG388" s="16"/>
      <c r="AH388" s="17"/>
      <c r="AI388" s="16"/>
      <c r="AJ388" s="17"/>
      <c r="AK388" s="107"/>
    </row>
    <row r="389" spans="1:37" ht="16.5" customHeight="1" x14ac:dyDescent="0.2">
      <c r="A389" s="6"/>
      <c r="B389" s="135">
        <f t="shared" si="119"/>
        <v>34</v>
      </c>
      <c r="C389" s="135">
        <f>'Kelas X'!C374</f>
        <v>0</v>
      </c>
      <c r="D389" s="34">
        <f>'Kelas X'!D374</f>
        <v>0</v>
      </c>
      <c r="E389" s="16"/>
      <c r="F389" s="17"/>
      <c r="G389" s="16"/>
      <c r="H389" s="17"/>
      <c r="I389" s="16"/>
      <c r="J389" s="17"/>
      <c r="K389" s="16"/>
      <c r="L389" s="17"/>
      <c r="M389" s="16"/>
      <c r="N389" s="17"/>
      <c r="O389" s="16"/>
      <c r="P389" s="17"/>
      <c r="Q389" s="16"/>
      <c r="R389" s="17"/>
      <c r="S389" s="16"/>
      <c r="T389" s="17"/>
      <c r="U389" s="16"/>
      <c r="V389" s="17"/>
      <c r="W389" s="16"/>
      <c r="X389" s="17"/>
      <c r="Y389" s="16"/>
      <c r="Z389" s="17"/>
      <c r="AA389" s="16"/>
      <c r="AB389" s="17"/>
      <c r="AC389" s="16"/>
      <c r="AD389" s="17"/>
      <c r="AE389" s="16"/>
      <c r="AF389" s="17"/>
      <c r="AG389" s="16"/>
      <c r="AH389" s="17"/>
      <c r="AI389" s="16"/>
      <c r="AJ389" s="17"/>
      <c r="AK389" s="107"/>
    </row>
    <row r="390" spans="1:37" ht="16.5" customHeight="1" x14ac:dyDescent="0.2">
      <c r="A390" s="6"/>
      <c r="B390" s="135">
        <f t="shared" si="119"/>
        <v>35</v>
      </c>
      <c r="C390" s="135">
        <f>'Kelas X'!C375</f>
        <v>0</v>
      </c>
      <c r="D390" s="34">
        <f>'Kelas X'!D375</f>
        <v>0</v>
      </c>
      <c r="E390" s="16"/>
      <c r="F390" s="17"/>
      <c r="G390" s="16"/>
      <c r="H390" s="17"/>
      <c r="I390" s="16"/>
      <c r="J390" s="17"/>
      <c r="K390" s="16"/>
      <c r="L390" s="17"/>
      <c r="M390" s="16"/>
      <c r="N390" s="17"/>
      <c r="O390" s="16"/>
      <c r="P390" s="17"/>
      <c r="Q390" s="16"/>
      <c r="R390" s="17"/>
      <c r="S390" s="16"/>
      <c r="T390" s="17"/>
      <c r="U390" s="16"/>
      <c r="V390" s="17"/>
      <c r="W390" s="16"/>
      <c r="X390" s="17"/>
      <c r="Y390" s="16"/>
      <c r="Z390" s="17"/>
      <c r="AA390" s="16"/>
      <c r="AB390" s="17"/>
      <c r="AC390" s="16"/>
      <c r="AD390" s="17"/>
      <c r="AE390" s="16"/>
      <c r="AF390" s="17"/>
      <c r="AG390" s="16"/>
      <c r="AH390" s="17"/>
      <c r="AI390" s="16"/>
      <c r="AJ390" s="17"/>
      <c r="AK390" s="107"/>
    </row>
    <row r="391" spans="1:37" ht="16.5" customHeight="1" x14ac:dyDescent="0.2">
      <c r="A391" s="6"/>
      <c r="B391" s="135">
        <f t="shared" si="119"/>
        <v>36</v>
      </c>
      <c r="C391" s="135">
        <f>'Kelas X'!C376</f>
        <v>0</v>
      </c>
      <c r="D391" s="34">
        <f>'Kelas X'!D376</f>
        <v>0</v>
      </c>
      <c r="E391" s="16"/>
      <c r="F391" s="17"/>
      <c r="G391" s="16"/>
      <c r="H391" s="17"/>
      <c r="I391" s="16"/>
      <c r="J391" s="17"/>
      <c r="K391" s="16"/>
      <c r="L391" s="17"/>
      <c r="M391" s="16"/>
      <c r="N391" s="17"/>
      <c r="O391" s="16"/>
      <c r="P391" s="17"/>
      <c r="Q391" s="16"/>
      <c r="R391" s="17"/>
      <c r="S391" s="16"/>
      <c r="T391" s="17"/>
      <c r="U391" s="16"/>
      <c r="V391" s="17"/>
      <c r="W391" s="16"/>
      <c r="X391" s="17"/>
      <c r="Y391" s="16"/>
      <c r="Z391" s="17"/>
      <c r="AA391" s="16"/>
      <c r="AB391" s="17"/>
      <c r="AC391" s="16"/>
      <c r="AD391" s="17"/>
      <c r="AE391" s="16"/>
      <c r="AF391" s="17"/>
      <c r="AG391" s="16"/>
      <c r="AH391" s="17"/>
      <c r="AI391" s="16"/>
      <c r="AJ391" s="17"/>
      <c r="AK391" s="107"/>
    </row>
    <row r="392" spans="1:37" ht="16.5" customHeight="1" x14ac:dyDescent="0.2">
      <c r="A392" s="6"/>
      <c r="B392" s="135">
        <f t="shared" si="119"/>
        <v>37</v>
      </c>
      <c r="C392" s="135">
        <f>'Kelas X'!C377</f>
        <v>0</v>
      </c>
      <c r="D392" s="34">
        <f>'Kelas X'!D377</f>
        <v>0</v>
      </c>
      <c r="E392" s="16"/>
      <c r="F392" s="17"/>
      <c r="G392" s="16"/>
      <c r="H392" s="17"/>
      <c r="I392" s="16"/>
      <c r="J392" s="17"/>
      <c r="K392" s="16"/>
      <c r="L392" s="17"/>
      <c r="M392" s="16"/>
      <c r="N392" s="17"/>
      <c r="O392" s="16"/>
      <c r="P392" s="17"/>
      <c r="Q392" s="16"/>
      <c r="R392" s="17"/>
      <c r="S392" s="16"/>
      <c r="T392" s="17"/>
      <c r="U392" s="16"/>
      <c r="V392" s="17"/>
      <c r="W392" s="16"/>
      <c r="X392" s="17"/>
      <c r="Y392" s="16"/>
      <c r="Z392" s="17"/>
      <c r="AA392" s="16"/>
      <c r="AB392" s="17"/>
      <c r="AC392" s="16"/>
      <c r="AD392" s="17"/>
      <c r="AE392" s="16"/>
      <c r="AF392" s="17"/>
      <c r="AG392" s="16"/>
      <c r="AH392" s="17"/>
      <c r="AI392" s="16"/>
      <c r="AJ392" s="17"/>
      <c r="AK392" s="107"/>
    </row>
    <row r="393" spans="1:37" ht="16.5" customHeight="1" thickBot="1" x14ac:dyDescent="0.25">
      <c r="A393" s="6"/>
      <c r="B393" s="143">
        <f t="shared" si="119"/>
        <v>38</v>
      </c>
      <c r="C393" s="143"/>
      <c r="D393" s="147"/>
      <c r="E393" s="18"/>
      <c r="F393" s="19"/>
      <c r="G393" s="18"/>
      <c r="H393" s="19"/>
      <c r="I393" s="18"/>
      <c r="J393" s="19"/>
      <c r="K393" s="18"/>
      <c r="L393" s="19"/>
      <c r="M393" s="18"/>
      <c r="N393" s="19"/>
      <c r="O393" s="18"/>
      <c r="P393" s="19"/>
      <c r="Q393" s="18"/>
      <c r="R393" s="19"/>
      <c r="S393" s="18"/>
      <c r="T393" s="19"/>
      <c r="U393" s="18"/>
      <c r="V393" s="19"/>
      <c r="W393" s="18"/>
      <c r="X393" s="19"/>
      <c r="Y393" s="18"/>
      <c r="Z393" s="19"/>
      <c r="AA393" s="18"/>
      <c r="AB393" s="19"/>
      <c r="AC393" s="18"/>
      <c r="AD393" s="19"/>
      <c r="AE393" s="18"/>
      <c r="AF393" s="19"/>
      <c r="AG393" s="18"/>
      <c r="AH393" s="19"/>
      <c r="AI393" s="18"/>
      <c r="AJ393" s="19"/>
      <c r="AK393" s="107"/>
    </row>
    <row r="394" spans="1:37" ht="16.5" customHeight="1" x14ac:dyDescent="0.2">
      <c r="A394" s="6"/>
      <c r="B394" s="6"/>
      <c r="C394" s="20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149"/>
      <c r="AK394" s="6"/>
    </row>
  </sheetData>
  <mergeCells count="219">
    <mergeCell ref="B352:C352"/>
    <mergeCell ref="U352:AA352"/>
    <mergeCell ref="B353:C353"/>
    <mergeCell ref="D353:D355"/>
    <mergeCell ref="E353:AJ353"/>
    <mergeCell ref="B354:B355"/>
    <mergeCell ref="C354:C355"/>
    <mergeCell ref="E354:F354"/>
    <mergeCell ref="G354:H354"/>
    <mergeCell ref="I354:J354"/>
    <mergeCell ref="AI354:AJ354"/>
    <mergeCell ref="W354:X354"/>
    <mergeCell ref="Y354:Z354"/>
    <mergeCell ref="AA354:AB354"/>
    <mergeCell ref="AC354:AD354"/>
    <mergeCell ref="AE354:AF354"/>
    <mergeCell ref="AG354:AH354"/>
    <mergeCell ref="K354:L354"/>
    <mergeCell ref="M354:N354"/>
    <mergeCell ref="O354:P354"/>
    <mergeCell ref="Q354:R354"/>
    <mergeCell ref="S354:T354"/>
    <mergeCell ref="U354:V354"/>
    <mergeCell ref="B348:C351"/>
    <mergeCell ref="D348:AJ348"/>
    <mergeCell ref="D349:AJ349"/>
    <mergeCell ref="D350:AJ350"/>
    <mergeCell ref="D351:AJ351"/>
    <mergeCell ref="O306:P306"/>
    <mergeCell ref="Q306:R306"/>
    <mergeCell ref="S306:T306"/>
    <mergeCell ref="U306:V306"/>
    <mergeCell ref="W306:X306"/>
    <mergeCell ref="Y306:Z306"/>
    <mergeCell ref="B305:C305"/>
    <mergeCell ref="D305:D307"/>
    <mergeCell ref="E305:AJ305"/>
    <mergeCell ref="B306:B307"/>
    <mergeCell ref="C306:C307"/>
    <mergeCell ref="E306:F306"/>
    <mergeCell ref="G306:H306"/>
    <mergeCell ref="I306:J306"/>
    <mergeCell ref="K306:L306"/>
    <mergeCell ref="M306:N306"/>
    <mergeCell ref="AA306:AB306"/>
    <mergeCell ref="AC306:AD306"/>
    <mergeCell ref="AE306:AF306"/>
    <mergeCell ref="AG306:AH306"/>
    <mergeCell ref="AI306:AJ306"/>
    <mergeCell ref="B300:C303"/>
    <mergeCell ref="D300:AJ300"/>
    <mergeCell ref="D301:AJ301"/>
    <mergeCell ref="D302:AJ302"/>
    <mergeCell ref="D303:AJ303"/>
    <mergeCell ref="B304:C304"/>
    <mergeCell ref="Y259:Z259"/>
    <mergeCell ref="AA259:AB259"/>
    <mergeCell ref="AC259:AD259"/>
    <mergeCell ref="AE259:AF259"/>
    <mergeCell ref="AG259:AH259"/>
    <mergeCell ref="AI259:AJ259"/>
    <mergeCell ref="M259:N259"/>
    <mergeCell ref="O259:P259"/>
    <mergeCell ref="Q259:R259"/>
    <mergeCell ref="S259:T259"/>
    <mergeCell ref="U259:V259"/>
    <mergeCell ref="W259:X259"/>
    <mergeCell ref="B257:C257"/>
    <mergeCell ref="B258:C258"/>
    <mergeCell ref="D258:D260"/>
    <mergeCell ref="E258:AJ258"/>
    <mergeCell ref="B259:B260"/>
    <mergeCell ref="C259:C260"/>
    <mergeCell ref="E259:F259"/>
    <mergeCell ref="G259:H259"/>
    <mergeCell ref="I259:J259"/>
    <mergeCell ref="K259:L259"/>
    <mergeCell ref="B253:C256"/>
    <mergeCell ref="D253:AJ253"/>
    <mergeCell ref="D254:AJ254"/>
    <mergeCell ref="D255:AJ255"/>
    <mergeCell ref="D256:AJ256"/>
    <mergeCell ref="O209:P209"/>
    <mergeCell ref="Q209:R209"/>
    <mergeCell ref="S209:T209"/>
    <mergeCell ref="U209:V209"/>
    <mergeCell ref="W209:X209"/>
    <mergeCell ref="Y209:Z209"/>
    <mergeCell ref="B208:C208"/>
    <mergeCell ref="D208:D210"/>
    <mergeCell ref="E208:AJ208"/>
    <mergeCell ref="B209:B210"/>
    <mergeCell ref="C209:C210"/>
    <mergeCell ref="E209:F209"/>
    <mergeCell ref="G209:H209"/>
    <mergeCell ref="I209:J209"/>
    <mergeCell ref="K209:L209"/>
    <mergeCell ref="M209:N209"/>
    <mergeCell ref="AA209:AB209"/>
    <mergeCell ref="AC209:AD209"/>
    <mergeCell ref="AE209:AF209"/>
    <mergeCell ref="AG209:AH209"/>
    <mergeCell ref="AI209:AJ209"/>
    <mergeCell ref="B203:C206"/>
    <mergeCell ref="D203:AJ203"/>
    <mergeCell ref="D204:AJ204"/>
    <mergeCell ref="D205:AJ205"/>
    <mergeCell ref="D206:AJ206"/>
    <mergeCell ref="B207:C207"/>
    <mergeCell ref="AC207:AJ207"/>
    <mergeCell ref="Y159:Z159"/>
    <mergeCell ref="AA159:AB159"/>
    <mergeCell ref="AC159:AD159"/>
    <mergeCell ref="AE159:AF159"/>
    <mergeCell ref="AG159:AH159"/>
    <mergeCell ref="AI159:AJ159"/>
    <mergeCell ref="M159:N159"/>
    <mergeCell ref="O159:P159"/>
    <mergeCell ref="Q159:R159"/>
    <mergeCell ref="S159:T159"/>
    <mergeCell ref="U159:V159"/>
    <mergeCell ref="W159:X159"/>
    <mergeCell ref="B157:C157"/>
    <mergeCell ref="B158:C158"/>
    <mergeCell ref="D158:D160"/>
    <mergeCell ref="E158:AJ158"/>
    <mergeCell ref="B159:B160"/>
    <mergeCell ref="C159:C160"/>
    <mergeCell ref="E159:F159"/>
    <mergeCell ref="G159:H159"/>
    <mergeCell ref="I159:J159"/>
    <mergeCell ref="K159:L159"/>
    <mergeCell ref="B153:C156"/>
    <mergeCell ref="D153:AJ153"/>
    <mergeCell ref="D154:AJ154"/>
    <mergeCell ref="D155:AJ155"/>
    <mergeCell ref="D156:AJ156"/>
    <mergeCell ref="O109:P109"/>
    <mergeCell ref="Q109:R109"/>
    <mergeCell ref="S109:T109"/>
    <mergeCell ref="U109:V109"/>
    <mergeCell ref="W109:X109"/>
    <mergeCell ref="Y109:Z109"/>
    <mergeCell ref="B108:C108"/>
    <mergeCell ref="D108:D110"/>
    <mergeCell ref="E108:AJ108"/>
    <mergeCell ref="B109:B110"/>
    <mergeCell ref="C109:C110"/>
    <mergeCell ref="E109:F109"/>
    <mergeCell ref="G109:H109"/>
    <mergeCell ref="I109:J109"/>
    <mergeCell ref="K109:L109"/>
    <mergeCell ref="M109:N109"/>
    <mergeCell ref="AA109:AB109"/>
    <mergeCell ref="AC109:AD109"/>
    <mergeCell ref="AE109:AF109"/>
    <mergeCell ref="AG109:AH109"/>
    <mergeCell ref="AI109:AJ109"/>
    <mergeCell ref="B103:C106"/>
    <mergeCell ref="D103:AJ103"/>
    <mergeCell ref="D104:AJ104"/>
    <mergeCell ref="D105:AJ105"/>
    <mergeCell ref="D106:AJ106"/>
    <mergeCell ref="B107:C107"/>
    <mergeCell ref="U107:AC107"/>
    <mergeCell ref="Y59:Z59"/>
    <mergeCell ref="AA59:AB59"/>
    <mergeCell ref="AC59:AD59"/>
    <mergeCell ref="AE59:AF59"/>
    <mergeCell ref="AG59:AH59"/>
    <mergeCell ref="AI59:AJ59"/>
    <mergeCell ref="M59:N59"/>
    <mergeCell ref="O59:P59"/>
    <mergeCell ref="Q59:R59"/>
    <mergeCell ref="S59:T59"/>
    <mergeCell ref="U59:V59"/>
    <mergeCell ref="W59:X59"/>
    <mergeCell ref="B57:C57"/>
    <mergeCell ref="B58:C58"/>
    <mergeCell ref="D58:D60"/>
    <mergeCell ref="E58:AJ58"/>
    <mergeCell ref="B59:B60"/>
    <mergeCell ref="C59:C60"/>
    <mergeCell ref="E59:F59"/>
    <mergeCell ref="G59:H59"/>
    <mergeCell ref="I59:J59"/>
    <mergeCell ref="K59:L59"/>
    <mergeCell ref="B53:C56"/>
    <mergeCell ref="D53:AJ53"/>
    <mergeCell ref="D54:AJ54"/>
    <mergeCell ref="D55:AJ55"/>
    <mergeCell ref="D56:AJ56"/>
    <mergeCell ref="O8:P8"/>
    <mergeCell ref="Q8:R8"/>
    <mergeCell ref="S8:T8"/>
    <mergeCell ref="U8:V8"/>
    <mergeCell ref="W8:X8"/>
    <mergeCell ref="Y8:Z8"/>
    <mergeCell ref="B2:C5"/>
    <mergeCell ref="D2:AJ2"/>
    <mergeCell ref="D3:AJ3"/>
    <mergeCell ref="D4:AJ4"/>
    <mergeCell ref="D5:AJ5"/>
    <mergeCell ref="B6:C6"/>
    <mergeCell ref="B7:C7"/>
    <mergeCell ref="D7:D9"/>
    <mergeCell ref="E7:AJ7"/>
    <mergeCell ref="B8:B9"/>
    <mergeCell ref="C8:C9"/>
    <mergeCell ref="E8:F8"/>
    <mergeCell ref="G8:H8"/>
    <mergeCell ref="I8:J8"/>
    <mergeCell ref="K8:L8"/>
    <mergeCell ref="M8:N8"/>
    <mergeCell ref="AA8:AB8"/>
    <mergeCell ref="AC8:AD8"/>
    <mergeCell ref="AE8:AF8"/>
    <mergeCell ref="AG8:AH8"/>
    <mergeCell ref="AI8:AJ8"/>
  </mergeCells>
  <pageMargins left="0.2" right="0.2" top="0.75" bottom="0.25" header="0.3" footer="0.3"/>
  <pageSetup paperSize="14" scale="60" orientation="landscape" horizontalDpi="0" verticalDpi="0" r:id="rId1"/>
  <rowBreaks count="7" manualBreakCount="7">
    <brk id="51" min="1" max="35" man="1"/>
    <brk id="101" min="1" max="35" man="1"/>
    <brk id="151" min="1" max="35" man="1"/>
    <brk id="201" min="1" max="35" man="1"/>
    <brk id="251" min="1" max="35" man="1"/>
    <brk id="298" min="1" max="35" man="1"/>
    <brk id="346" min="1" max="35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26"/>
  <sheetViews>
    <sheetView view="pageBreakPreview" zoomScale="80" zoomScaleNormal="80" zoomScaleSheetLayoutView="80" workbookViewId="0">
      <selection activeCell="D388" sqref="D388:D410"/>
    </sheetView>
  </sheetViews>
  <sheetFormatPr defaultRowHeight="18.95" customHeight="1" x14ac:dyDescent="0.2"/>
  <cols>
    <col min="1" max="1" width="5.42578125" style="50" customWidth="1"/>
    <col min="2" max="2" width="6.42578125" style="50" customWidth="1"/>
    <col min="3" max="3" width="9" style="50" customWidth="1"/>
    <col min="4" max="4" width="58.7109375" style="50" customWidth="1"/>
    <col min="5" max="5" width="4.42578125" style="50" customWidth="1"/>
    <col min="6" max="8" width="4.140625" style="50" customWidth="1"/>
    <col min="9" max="9" width="4.42578125" style="50" customWidth="1"/>
    <col min="10" max="10" width="4.85546875" style="50" customWidth="1"/>
    <col min="11" max="20" width="4.140625" style="50" customWidth="1"/>
    <col min="21" max="16384" width="9.140625" style="50"/>
  </cols>
  <sheetData>
    <row r="1" spans="1:22" ht="18.95" customHeight="1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95" customHeight="1" x14ac:dyDescent="0.2">
      <c r="A2" s="1"/>
      <c r="B2" s="255"/>
      <c r="C2" s="256"/>
      <c r="D2" s="259" t="s">
        <v>3</v>
      </c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1"/>
      <c r="U2" s="1"/>
      <c r="V2" s="1"/>
    </row>
    <row r="3" spans="1:22" ht="18.95" customHeight="1" x14ac:dyDescent="0.2">
      <c r="A3" s="1"/>
      <c r="B3" s="257"/>
      <c r="C3" s="258"/>
      <c r="D3" s="262" t="s">
        <v>4</v>
      </c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4"/>
      <c r="U3" s="1"/>
      <c r="V3" s="1"/>
    </row>
    <row r="4" spans="1:22" ht="18.95" customHeight="1" thickBot="1" x14ac:dyDescent="0.25">
      <c r="A4" s="1"/>
      <c r="B4" s="257"/>
      <c r="C4" s="258"/>
      <c r="D4" s="265" t="s">
        <v>547</v>
      </c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7"/>
      <c r="U4" s="1"/>
      <c r="V4" s="1"/>
    </row>
    <row r="5" spans="1:22" ht="18.95" customHeight="1" thickBot="1" x14ac:dyDescent="0.25">
      <c r="A5" s="1"/>
      <c r="B5" s="268"/>
      <c r="C5" s="269"/>
      <c r="D5" s="25" t="s">
        <v>556</v>
      </c>
      <c r="E5" s="26"/>
      <c r="F5" s="27" t="s">
        <v>811</v>
      </c>
      <c r="G5" s="27"/>
      <c r="H5" s="27"/>
      <c r="I5" s="28"/>
      <c r="J5" s="28"/>
      <c r="K5" s="27"/>
      <c r="L5" s="27"/>
      <c r="M5" s="27"/>
      <c r="N5" s="27"/>
      <c r="O5" s="27"/>
      <c r="P5" s="27"/>
      <c r="Q5" s="27"/>
      <c r="R5" s="27"/>
      <c r="S5" s="27"/>
      <c r="T5" s="123"/>
      <c r="U5" s="1"/>
      <c r="V5" s="1"/>
    </row>
    <row r="6" spans="1:22" ht="18.95" customHeight="1" thickBot="1" x14ac:dyDescent="0.25">
      <c r="A6" s="1"/>
      <c r="B6" s="271" t="s">
        <v>6</v>
      </c>
      <c r="C6" s="272"/>
      <c r="D6" s="270" t="s">
        <v>7</v>
      </c>
      <c r="E6" s="273" t="s">
        <v>12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1"/>
      <c r="V6" s="1"/>
    </row>
    <row r="7" spans="1:22" ht="23.25" customHeight="1" thickBot="1" x14ac:dyDescent="0.25">
      <c r="A7" s="1"/>
      <c r="B7" s="42" t="s">
        <v>10</v>
      </c>
      <c r="C7" s="29" t="s">
        <v>9</v>
      </c>
      <c r="D7" s="270"/>
      <c r="E7" s="274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1"/>
      <c r="V7" s="1"/>
    </row>
    <row r="8" spans="1:22" ht="24.95" customHeight="1" x14ac:dyDescent="0.2">
      <c r="A8" s="1"/>
      <c r="B8" s="30">
        <v>1</v>
      </c>
      <c r="C8" s="39">
        <v>16223</v>
      </c>
      <c r="D8" s="160" t="s">
        <v>374</v>
      </c>
      <c r="E8" s="169" t="s">
        <v>0</v>
      </c>
      <c r="F8" s="170"/>
      <c r="G8" s="79"/>
      <c r="H8" s="80"/>
      <c r="I8" s="80"/>
      <c r="J8" s="102"/>
      <c r="K8" s="170"/>
      <c r="L8" s="79"/>
      <c r="M8" s="80"/>
      <c r="N8" s="80"/>
      <c r="O8" s="102"/>
      <c r="P8" s="170"/>
      <c r="Q8" s="79"/>
      <c r="R8" s="80"/>
      <c r="S8" s="80"/>
      <c r="T8" s="125"/>
      <c r="U8" s="1"/>
      <c r="V8" s="1"/>
    </row>
    <row r="9" spans="1:22" ht="24.95" customHeight="1" x14ac:dyDescent="0.2">
      <c r="A9" s="1"/>
      <c r="B9" s="30">
        <v>2</v>
      </c>
      <c r="C9" s="39">
        <v>16188</v>
      </c>
      <c r="D9" s="49" t="s">
        <v>348</v>
      </c>
      <c r="E9" s="169" t="s">
        <v>0</v>
      </c>
      <c r="F9" s="170"/>
      <c r="G9" s="60"/>
      <c r="H9" s="2"/>
      <c r="I9" s="2"/>
      <c r="J9" s="102"/>
      <c r="K9" s="170"/>
      <c r="L9" s="60"/>
      <c r="M9" s="2"/>
      <c r="N9" s="2"/>
      <c r="O9" s="102"/>
      <c r="P9" s="170"/>
      <c r="Q9" s="60"/>
      <c r="R9" s="2"/>
      <c r="S9" s="2"/>
      <c r="T9" s="125"/>
      <c r="U9" s="1"/>
      <c r="V9" s="1"/>
    </row>
    <row r="10" spans="1:22" ht="24.95" customHeight="1" x14ac:dyDescent="0.2">
      <c r="A10" s="1"/>
      <c r="B10" s="30">
        <v>3</v>
      </c>
      <c r="C10" s="39">
        <v>16118</v>
      </c>
      <c r="D10" s="49" t="s">
        <v>292</v>
      </c>
      <c r="E10" s="169" t="s">
        <v>0</v>
      </c>
      <c r="F10" s="170"/>
      <c r="G10" s="60"/>
      <c r="H10" s="2"/>
      <c r="I10" s="2"/>
      <c r="J10" s="102"/>
      <c r="K10" s="170"/>
      <c r="L10" s="60"/>
      <c r="M10" s="2"/>
      <c r="N10" s="2"/>
      <c r="O10" s="102"/>
      <c r="P10" s="170"/>
      <c r="Q10" s="60"/>
      <c r="R10" s="2"/>
      <c r="S10" s="2"/>
      <c r="T10" s="125"/>
      <c r="U10" s="1"/>
      <c r="V10" s="1"/>
    </row>
    <row r="11" spans="1:22" ht="24.95" customHeight="1" x14ac:dyDescent="0.2">
      <c r="A11" s="1"/>
      <c r="B11" s="30">
        <v>4</v>
      </c>
      <c r="C11" s="39">
        <v>16189</v>
      </c>
      <c r="D11" s="49" t="s">
        <v>349</v>
      </c>
      <c r="E11" s="169" t="s">
        <v>0</v>
      </c>
      <c r="F11" s="170"/>
      <c r="G11" s="60"/>
      <c r="H11" s="2"/>
      <c r="I11" s="2"/>
      <c r="J11" s="102"/>
      <c r="K11" s="170"/>
      <c r="L11" s="60"/>
      <c r="M11" s="2"/>
      <c r="N11" s="2"/>
      <c r="O11" s="102"/>
      <c r="P11" s="170"/>
      <c r="Q11" s="60"/>
      <c r="R11" s="2"/>
      <c r="S11" s="2"/>
      <c r="T11" s="125"/>
      <c r="U11" s="1"/>
      <c r="V11" s="1"/>
    </row>
    <row r="12" spans="1:22" ht="24.95" customHeight="1" x14ac:dyDescent="0.2">
      <c r="A12" s="1"/>
      <c r="B12" s="30">
        <v>5</v>
      </c>
      <c r="C12" s="39">
        <v>16081</v>
      </c>
      <c r="D12" s="49" t="s">
        <v>258</v>
      </c>
      <c r="E12" s="169" t="s">
        <v>0</v>
      </c>
      <c r="F12" s="170"/>
      <c r="G12" s="60"/>
      <c r="H12" s="2"/>
      <c r="I12" s="2"/>
      <c r="J12" s="102"/>
      <c r="K12" s="170"/>
      <c r="L12" s="60"/>
      <c r="M12" s="2"/>
      <c r="N12" s="2"/>
      <c r="O12" s="102"/>
      <c r="P12" s="170"/>
      <c r="Q12" s="60"/>
      <c r="R12" s="2"/>
      <c r="S12" s="2"/>
      <c r="T12" s="125"/>
      <c r="U12" s="1"/>
      <c r="V12" s="1"/>
    </row>
    <row r="13" spans="1:22" ht="24.95" customHeight="1" x14ac:dyDescent="0.2">
      <c r="A13" s="1"/>
      <c r="B13" s="30">
        <v>6</v>
      </c>
      <c r="C13" s="39">
        <v>16120</v>
      </c>
      <c r="D13" s="49" t="s">
        <v>294</v>
      </c>
      <c r="E13" s="169" t="s">
        <v>0</v>
      </c>
      <c r="F13" s="170"/>
      <c r="G13" s="60"/>
      <c r="H13" s="2"/>
      <c r="I13" s="2"/>
      <c r="J13" s="102"/>
      <c r="K13" s="170"/>
      <c r="L13" s="60"/>
      <c r="M13" s="2"/>
      <c r="N13" s="2"/>
      <c r="O13" s="102"/>
      <c r="P13" s="170"/>
      <c r="Q13" s="60"/>
      <c r="R13" s="2"/>
      <c r="S13" s="2"/>
      <c r="T13" s="125"/>
      <c r="U13" s="1"/>
      <c r="V13" s="1"/>
    </row>
    <row r="14" spans="1:22" ht="24.95" customHeight="1" x14ac:dyDescent="0.2">
      <c r="A14" s="1"/>
      <c r="B14" s="30">
        <v>7</v>
      </c>
      <c r="C14" s="39">
        <v>16086</v>
      </c>
      <c r="D14" s="49" t="s">
        <v>286</v>
      </c>
      <c r="E14" s="169" t="s">
        <v>0</v>
      </c>
      <c r="F14" s="170"/>
      <c r="G14" s="60"/>
      <c r="H14" s="2"/>
      <c r="I14" s="2"/>
      <c r="J14" s="102"/>
      <c r="K14" s="170"/>
      <c r="L14" s="60"/>
      <c r="M14" s="2"/>
      <c r="N14" s="2"/>
      <c r="O14" s="102"/>
      <c r="P14" s="170"/>
      <c r="Q14" s="60"/>
      <c r="R14" s="2"/>
      <c r="S14" s="2"/>
      <c r="T14" s="125"/>
      <c r="U14" s="1"/>
      <c r="V14" s="1"/>
    </row>
    <row r="15" spans="1:22" ht="24.95" customHeight="1" x14ac:dyDescent="0.2">
      <c r="A15" s="1"/>
      <c r="B15" s="30">
        <v>8</v>
      </c>
      <c r="C15" s="39">
        <v>16087</v>
      </c>
      <c r="D15" s="49" t="s">
        <v>263</v>
      </c>
      <c r="E15" s="169" t="s">
        <v>0</v>
      </c>
      <c r="F15" s="170"/>
      <c r="G15" s="60"/>
      <c r="H15" s="2"/>
      <c r="I15" s="2"/>
      <c r="J15" s="102"/>
      <c r="K15" s="170"/>
      <c r="L15" s="60"/>
      <c r="M15" s="2"/>
      <c r="N15" s="2"/>
      <c r="O15" s="102"/>
      <c r="P15" s="170"/>
      <c r="Q15" s="60"/>
      <c r="R15" s="2"/>
      <c r="S15" s="2"/>
      <c r="T15" s="125"/>
      <c r="U15" s="1"/>
      <c r="V15" s="1"/>
    </row>
    <row r="16" spans="1:22" ht="24.95" customHeight="1" x14ac:dyDescent="0.2">
      <c r="A16" s="1"/>
      <c r="B16" s="30">
        <v>9</v>
      </c>
      <c r="C16" s="39">
        <v>16191</v>
      </c>
      <c r="D16" s="49" t="s">
        <v>351</v>
      </c>
      <c r="E16" s="169" t="s">
        <v>0</v>
      </c>
      <c r="F16" s="170"/>
      <c r="G16" s="60"/>
      <c r="H16" s="2"/>
      <c r="I16" s="2"/>
      <c r="J16" s="102"/>
      <c r="K16" s="170"/>
      <c r="L16" s="60"/>
      <c r="M16" s="2"/>
      <c r="N16" s="2"/>
      <c r="O16" s="102"/>
      <c r="P16" s="170"/>
      <c r="Q16" s="60"/>
      <c r="R16" s="2"/>
      <c r="S16" s="2"/>
      <c r="T16" s="125"/>
      <c r="U16" s="1"/>
      <c r="V16" s="1"/>
    </row>
    <row r="17" spans="1:22" ht="24.95" customHeight="1" x14ac:dyDescent="0.2">
      <c r="A17" s="1"/>
      <c r="B17" s="30">
        <v>10</v>
      </c>
      <c r="C17" s="39">
        <v>16155</v>
      </c>
      <c r="D17" s="49" t="s">
        <v>326</v>
      </c>
      <c r="E17" s="169" t="s">
        <v>0</v>
      </c>
      <c r="F17" s="170"/>
      <c r="G17" s="60"/>
      <c r="H17" s="2"/>
      <c r="I17" s="2"/>
      <c r="J17" s="102"/>
      <c r="K17" s="170"/>
      <c r="L17" s="60"/>
      <c r="M17" s="2"/>
      <c r="N17" s="2"/>
      <c r="O17" s="102"/>
      <c r="P17" s="170"/>
      <c r="Q17" s="60"/>
      <c r="R17" s="2"/>
      <c r="S17" s="2"/>
      <c r="T17" s="125"/>
      <c r="U17" s="1"/>
      <c r="V17" s="1"/>
    </row>
    <row r="18" spans="1:22" ht="24.95" customHeight="1" x14ac:dyDescent="0.2">
      <c r="A18" s="1"/>
      <c r="B18" s="30">
        <v>11</v>
      </c>
      <c r="C18" s="39">
        <v>16128</v>
      </c>
      <c r="D18" s="49" t="s">
        <v>301</v>
      </c>
      <c r="E18" s="169" t="s">
        <v>0</v>
      </c>
      <c r="F18" s="170"/>
      <c r="G18" s="60"/>
      <c r="H18" s="2"/>
      <c r="I18" s="2"/>
      <c r="J18" s="102"/>
      <c r="K18" s="170"/>
      <c r="L18" s="60"/>
      <c r="M18" s="2"/>
      <c r="N18" s="2"/>
      <c r="O18" s="102"/>
      <c r="P18" s="170"/>
      <c r="Q18" s="60"/>
      <c r="R18" s="2"/>
      <c r="S18" s="2"/>
      <c r="T18" s="125"/>
      <c r="U18" s="1"/>
      <c r="V18" s="1"/>
    </row>
    <row r="19" spans="1:22" ht="24.95" customHeight="1" x14ac:dyDescent="0.2">
      <c r="A19" s="1"/>
      <c r="B19" s="30">
        <v>12</v>
      </c>
      <c r="C19" s="39">
        <v>16158</v>
      </c>
      <c r="D19" s="49" t="s">
        <v>328</v>
      </c>
      <c r="E19" s="169" t="s">
        <v>0</v>
      </c>
      <c r="F19" s="170"/>
      <c r="G19" s="60"/>
      <c r="H19" s="2"/>
      <c r="I19" s="2"/>
      <c r="J19" s="102"/>
      <c r="K19" s="170"/>
      <c r="L19" s="60"/>
      <c r="M19" s="2"/>
      <c r="N19" s="2"/>
      <c r="O19" s="102"/>
      <c r="P19" s="170"/>
      <c r="Q19" s="60"/>
      <c r="R19" s="2"/>
      <c r="S19" s="2"/>
      <c r="T19" s="125"/>
      <c r="U19" s="1"/>
      <c r="V19" s="1"/>
    </row>
    <row r="20" spans="1:22" ht="24.95" customHeight="1" x14ac:dyDescent="0.2">
      <c r="A20" s="1"/>
      <c r="B20" s="30">
        <v>13</v>
      </c>
      <c r="C20" s="39">
        <v>16166</v>
      </c>
      <c r="D20" s="49" t="s">
        <v>332</v>
      </c>
      <c r="E20" s="169" t="s">
        <v>0</v>
      </c>
      <c r="F20" s="170"/>
      <c r="G20" s="60"/>
      <c r="H20" s="2"/>
      <c r="I20" s="2"/>
      <c r="J20" s="102"/>
      <c r="K20" s="170"/>
      <c r="L20" s="60"/>
      <c r="M20" s="2"/>
      <c r="N20" s="2"/>
      <c r="O20" s="102"/>
      <c r="P20" s="170"/>
      <c r="Q20" s="60"/>
      <c r="R20" s="2"/>
      <c r="S20" s="2"/>
      <c r="T20" s="125"/>
      <c r="U20" s="1"/>
      <c r="V20" s="1"/>
    </row>
    <row r="21" spans="1:22" ht="24.95" customHeight="1" x14ac:dyDescent="0.2">
      <c r="A21" s="1"/>
      <c r="B21" s="30">
        <v>14</v>
      </c>
      <c r="C21" s="39">
        <v>16133</v>
      </c>
      <c r="D21" s="49" t="s">
        <v>305</v>
      </c>
      <c r="E21" s="169" t="s">
        <v>0</v>
      </c>
      <c r="F21" s="170"/>
      <c r="G21" s="60"/>
      <c r="H21" s="2"/>
      <c r="I21" s="2"/>
      <c r="J21" s="102"/>
      <c r="K21" s="170"/>
      <c r="L21" s="60"/>
      <c r="M21" s="2"/>
      <c r="N21" s="2"/>
      <c r="O21" s="102"/>
      <c r="P21" s="170"/>
      <c r="Q21" s="60"/>
      <c r="R21" s="2"/>
      <c r="S21" s="2"/>
      <c r="T21" s="125"/>
      <c r="U21" s="1"/>
      <c r="V21" s="1"/>
    </row>
    <row r="22" spans="1:22" ht="24.95" customHeight="1" x14ac:dyDescent="0.2">
      <c r="A22" s="1"/>
      <c r="B22" s="30">
        <v>15</v>
      </c>
      <c r="C22" s="39">
        <v>16202</v>
      </c>
      <c r="D22" s="49" t="s">
        <v>357</v>
      </c>
      <c r="E22" s="169" t="s">
        <v>0</v>
      </c>
      <c r="F22" s="170"/>
      <c r="G22" s="60"/>
      <c r="H22" s="2"/>
      <c r="I22" s="2"/>
      <c r="J22" s="102"/>
      <c r="K22" s="170"/>
      <c r="L22" s="60"/>
      <c r="M22" s="2"/>
      <c r="N22" s="2"/>
      <c r="O22" s="102"/>
      <c r="P22" s="170"/>
      <c r="Q22" s="60"/>
      <c r="R22" s="2"/>
      <c r="S22" s="2"/>
      <c r="T22" s="125"/>
      <c r="U22" s="1"/>
      <c r="V22" s="1"/>
    </row>
    <row r="23" spans="1:22" ht="24.95" customHeight="1" x14ac:dyDescent="0.2">
      <c r="A23" s="1"/>
      <c r="B23" s="30">
        <v>16</v>
      </c>
      <c r="C23" s="39">
        <v>16098</v>
      </c>
      <c r="D23" s="49" t="s">
        <v>271</v>
      </c>
      <c r="E23" s="169" t="s">
        <v>0</v>
      </c>
      <c r="F23" s="170"/>
      <c r="G23" s="60"/>
      <c r="H23" s="2"/>
      <c r="I23" s="2"/>
      <c r="J23" s="102"/>
      <c r="K23" s="170"/>
      <c r="L23" s="60"/>
      <c r="M23" s="2"/>
      <c r="N23" s="2"/>
      <c r="O23" s="102"/>
      <c r="P23" s="170"/>
      <c r="Q23" s="60"/>
      <c r="R23" s="2"/>
      <c r="S23" s="2"/>
      <c r="T23" s="125"/>
      <c r="U23" s="1"/>
      <c r="V23" s="1"/>
    </row>
    <row r="24" spans="1:22" ht="24.95" customHeight="1" x14ac:dyDescent="0.2">
      <c r="A24" s="1"/>
      <c r="B24" s="30">
        <v>17</v>
      </c>
      <c r="C24" s="39">
        <v>16238</v>
      </c>
      <c r="D24" s="49" t="s">
        <v>388</v>
      </c>
      <c r="E24" s="169" t="s">
        <v>0</v>
      </c>
      <c r="F24" s="170"/>
      <c r="G24" s="60"/>
      <c r="H24" s="2"/>
      <c r="I24" s="2"/>
      <c r="J24" s="102"/>
      <c r="K24" s="170"/>
      <c r="L24" s="60"/>
      <c r="M24" s="2"/>
      <c r="N24" s="2"/>
      <c r="O24" s="102"/>
      <c r="P24" s="170"/>
      <c r="Q24" s="60"/>
      <c r="R24" s="2"/>
      <c r="S24" s="2"/>
      <c r="T24" s="125"/>
      <c r="U24" s="1"/>
      <c r="V24" s="1"/>
    </row>
    <row r="25" spans="1:22" ht="24.95" customHeight="1" x14ac:dyDescent="0.2">
      <c r="A25" s="1"/>
      <c r="B25" s="30">
        <v>18</v>
      </c>
      <c r="C25" s="39">
        <v>16239</v>
      </c>
      <c r="D25" s="49" t="s">
        <v>389</v>
      </c>
      <c r="E25" s="169" t="s">
        <v>0</v>
      </c>
      <c r="F25" s="170"/>
      <c r="G25" s="60"/>
      <c r="H25" s="2"/>
      <c r="I25" s="2"/>
      <c r="J25" s="102"/>
      <c r="K25" s="170"/>
      <c r="L25" s="60"/>
      <c r="M25" s="2"/>
      <c r="N25" s="2"/>
      <c r="O25" s="102"/>
      <c r="P25" s="170"/>
      <c r="Q25" s="60"/>
      <c r="R25" s="2"/>
      <c r="S25" s="2"/>
      <c r="T25" s="125"/>
      <c r="U25" s="1"/>
      <c r="V25" s="1"/>
    </row>
    <row r="26" spans="1:22" ht="24.95" customHeight="1" x14ac:dyDescent="0.2">
      <c r="A26" s="1"/>
      <c r="B26" s="30">
        <v>19</v>
      </c>
      <c r="C26" s="39">
        <v>16241</v>
      </c>
      <c r="D26" s="49" t="s">
        <v>391</v>
      </c>
      <c r="E26" s="169" t="s">
        <v>0</v>
      </c>
      <c r="F26" s="170"/>
      <c r="G26" s="60"/>
      <c r="H26" s="2"/>
      <c r="I26" s="2"/>
      <c r="J26" s="102"/>
      <c r="K26" s="170"/>
      <c r="L26" s="60"/>
      <c r="M26" s="2"/>
      <c r="N26" s="2"/>
      <c r="O26" s="102"/>
      <c r="P26" s="170"/>
      <c r="Q26" s="60"/>
      <c r="R26" s="2"/>
      <c r="S26" s="2"/>
      <c r="T26" s="125"/>
      <c r="U26" s="1"/>
      <c r="V26" s="1"/>
    </row>
    <row r="27" spans="1:22" ht="24.95" customHeight="1" x14ac:dyDescent="0.2">
      <c r="A27" s="1"/>
      <c r="B27" s="30">
        <v>20</v>
      </c>
      <c r="C27" s="39">
        <v>16172</v>
      </c>
      <c r="D27" s="49" t="s">
        <v>514</v>
      </c>
      <c r="E27" s="169" t="s">
        <v>0</v>
      </c>
      <c r="F27" s="170"/>
      <c r="G27" s="65"/>
      <c r="H27" s="2"/>
      <c r="I27" s="2"/>
      <c r="J27" s="102"/>
      <c r="K27" s="170"/>
      <c r="L27" s="65"/>
      <c r="M27" s="2"/>
      <c r="N27" s="2"/>
      <c r="O27" s="102"/>
      <c r="P27" s="170"/>
      <c r="Q27" s="65"/>
      <c r="R27" s="2"/>
      <c r="S27" s="2"/>
      <c r="T27" s="125"/>
      <c r="U27" s="1"/>
      <c r="V27" s="1"/>
    </row>
    <row r="28" spans="1:22" ht="24.95" customHeight="1" x14ac:dyDescent="0.2">
      <c r="A28" s="1"/>
      <c r="B28" s="30">
        <v>21</v>
      </c>
      <c r="C28" s="39">
        <v>16207</v>
      </c>
      <c r="D28" s="49" t="s">
        <v>360</v>
      </c>
      <c r="E28" s="169" t="s">
        <v>0</v>
      </c>
      <c r="F28" s="170"/>
      <c r="G28" s="65"/>
      <c r="H28" s="2"/>
      <c r="I28" s="2"/>
      <c r="J28" s="102"/>
      <c r="K28" s="170"/>
      <c r="L28" s="65"/>
      <c r="M28" s="2"/>
      <c r="N28" s="2"/>
      <c r="O28" s="102"/>
      <c r="P28" s="170"/>
      <c r="Q28" s="65"/>
      <c r="R28" s="2"/>
      <c r="S28" s="2"/>
      <c r="T28" s="125"/>
      <c r="U28" s="1"/>
      <c r="V28" s="1"/>
    </row>
    <row r="29" spans="1:22" ht="24.95" customHeight="1" x14ac:dyDescent="0.2">
      <c r="A29" s="1"/>
      <c r="B29" s="30">
        <v>22</v>
      </c>
      <c r="C29" s="39">
        <v>16174</v>
      </c>
      <c r="D29" s="49" t="s">
        <v>338</v>
      </c>
      <c r="E29" s="169" t="s">
        <v>0</v>
      </c>
      <c r="F29" s="170"/>
      <c r="G29" s="65"/>
      <c r="H29" s="2"/>
      <c r="I29" s="2"/>
      <c r="J29" s="102"/>
      <c r="K29" s="170"/>
      <c r="L29" s="65"/>
      <c r="M29" s="2"/>
      <c r="N29" s="2"/>
      <c r="O29" s="102"/>
      <c r="P29" s="170"/>
      <c r="Q29" s="65"/>
      <c r="R29" s="2"/>
      <c r="S29" s="2"/>
      <c r="T29" s="125"/>
      <c r="U29" s="1"/>
      <c r="V29" s="1"/>
    </row>
    <row r="30" spans="1:22" ht="24.95" customHeight="1" x14ac:dyDescent="0.2">
      <c r="A30" s="1"/>
      <c r="B30" s="30">
        <v>23</v>
      </c>
      <c r="C30" s="39">
        <v>16175</v>
      </c>
      <c r="D30" s="49" t="s">
        <v>339</v>
      </c>
      <c r="E30" s="169" t="s">
        <v>0</v>
      </c>
      <c r="F30" s="170"/>
      <c r="G30" s="60"/>
      <c r="H30" s="2"/>
      <c r="I30" s="2"/>
      <c r="J30" s="102"/>
      <c r="K30" s="170"/>
      <c r="L30" s="60"/>
      <c r="M30" s="2"/>
      <c r="N30" s="2"/>
      <c r="O30" s="102"/>
      <c r="P30" s="170"/>
      <c r="Q30" s="60"/>
      <c r="R30" s="2"/>
      <c r="S30" s="2"/>
      <c r="T30" s="125"/>
      <c r="U30" s="1"/>
      <c r="V30" s="1"/>
    </row>
    <row r="31" spans="1:22" ht="24.95" customHeight="1" x14ac:dyDescent="0.2">
      <c r="A31" s="1"/>
      <c r="B31" s="30">
        <v>24</v>
      </c>
      <c r="C31" s="39">
        <v>16212</v>
      </c>
      <c r="D31" s="49" t="s">
        <v>363</v>
      </c>
      <c r="E31" s="169" t="s">
        <v>0</v>
      </c>
      <c r="F31" s="170"/>
      <c r="G31" s="65"/>
      <c r="H31" s="2"/>
      <c r="I31" s="2"/>
      <c r="J31" s="102"/>
      <c r="K31" s="170"/>
      <c r="L31" s="65"/>
      <c r="M31" s="2"/>
      <c r="N31" s="2"/>
      <c r="O31" s="102"/>
      <c r="P31" s="170"/>
      <c r="Q31" s="65"/>
      <c r="R31" s="2"/>
      <c r="S31" s="2"/>
      <c r="T31" s="125"/>
      <c r="U31" s="1"/>
      <c r="V31" s="1"/>
    </row>
    <row r="32" spans="1:22" ht="24.95" customHeight="1" x14ac:dyDescent="0.2">
      <c r="A32" s="1"/>
      <c r="B32" s="30">
        <v>25</v>
      </c>
      <c r="C32" s="39">
        <v>16141</v>
      </c>
      <c r="D32" s="49" t="s">
        <v>311</v>
      </c>
      <c r="E32" s="169" t="s">
        <v>0</v>
      </c>
      <c r="F32" s="170"/>
      <c r="G32" s="66"/>
      <c r="H32" s="67"/>
      <c r="I32" s="2"/>
      <c r="J32" s="103"/>
      <c r="K32" s="170"/>
      <c r="L32" s="66"/>
      <c r="M32" s="67"/>
      <c r="N32" s="67"/>
      <c r="O32" s="103"/>
      <c r="P32" s="170"/>
      <c r="Q32" s="66"/>
      <c r="R32" s="67"/>
      <c r="S32" s="67"/>
      <c r="T32" s="126"/>
      <c r="U32" s="1"/>
      <c r="V32" s="1"/>
    </row>
    <row r="33" spans="1:22" ht="24.95" customHeight="1" x14ac:dyDescent="0.2">
      <c r="A33" s="1"/>
      <c r="B33" s="30">
        <v>26</v>
      </c>
      <c r="C33" s="39">
        <v>16213</v>
      </c>
      <c r="D33" s="49" t="s">
        <v>364</v>
      </c>
      <c r="E33" s="169" t="s">
        <v>0</v>
      </c>
      <c r="F33" s="170"/>
      <c r="G33" s="66"/>
      <c r="H33" s="67"/>
      <c r="I33" s="2"/>
      <c r="J33" s="103"/>
      <c r="K33" s="170"/>
      <c r="L33" s="66"/>
      <c r="M33" s="67"/>
      <c r="N33" s="67"/>
      <c r="O33" s="103"/>
      <c r="P33" s="170"/>
      <c r="Q33" s="66"/>
      <c r="R33" s="67"/>
      <c r="S33" s="67"/>
      <c r="T33" s="126"/>
      <c r="U33" s="1"/>
      <c r="V33" s="1"/>
    </row>
    <row r="34" spans="1:22" ht="24.95" customHeight="1" x14ac:dyDescent="0.2">
      <c r="A34" s="1"/>
      <c r="B34" s="30">
        <v>27</v>
      </c>
      <c r="C34" s="39">
        <v>16142</v>
      </c>
      <c r="D34" s="49" t="s">
        <v>312</v>
      </c>
      <c r="E34" s="169" t="s">
        <v>0</v>
      </c>
      <c r="F34" s="170"/>
      <c r="G34" s="66"/>
      <c r="H34" s="67"/>
      <c r="I34" s="2"/>
      <c r="J34" s="103"/>
      <c r="K34" s="170"/>
      <c r="L34" s="66"/>
      <c r="M34" s="67"/>
      <c r="N34" s="67"/>
      <c r="O34" s="103"/>
      <c r="P34" s="170"/>
      <c r="Q34" s="66"/>
      <c r="R34" s="67"/>
      <c r="S34" s="67"/>
      <c r="T34" s="126"/>
      <c r="U34" s="1"/>
      <c r="V34" s="1"/>
    </row>
    <row r="35" spans="1:22" ht="24.95" customHeight="1" x14ac:dyDescent="0.2">
      <c r="A35" s="1"/>
      <c r="B35" s="30">
        <v>28</v>
      </c>
      <c r="C35" s="39">
        <v>16108</v>
      </c>
      <c r="D35" s="49" t="s">
        <v>281</v>
      </c>
      <c r="E35" s="169" t="s">
        <v>0</v>
      </c>
      <c r="F35" s="170"/>
      <c r="G35" s="66"/>
      <c r="H35" s="67"/>
      <c r="I35" s="2"/>
      <c r="J35" s="103"/>
      <c r="K35" s="170"/>
      <c r="L35" s="66"/>
      <c r="M35" s="67"/>
      <c r="N35" s="67"/>
      <c r="O35" s="103"/>
      <c r="P35" s="170"/>
      <c r="Q35" s="66"/>
      <c r="R35" s="67"/>
      <c r="S35" s="67"/>
      <c r="T35" s="126"/>
      <c r="U35" s="1"/>
      <c r="V35" s="1"/>
    </row>
    <row r="36" spans="1:22" ht="24.95" customHeight="1" x14ac:dyDescent="0.2">
      <c r="A36" s="1"/>
      <c r="B36" s="30">
        <v>29</v>
      </c>
      <c r="C36" s="39">
        <v>16215</v>
      </c>
      <c r="D36" s="49" t="s">
        <v>366</v>
      </c>
      <c r="E36" s="169" t="s">
        <v>0</v>
      </c>
      <c r="F36" s="170"/>
      <c r="G36" s="66"/>
      <c r="H36" s="67"/>
      <c r="I36" s="2"/>
      <c r="J36" s="103"/>
      <c r="K36" s="170"/>
      <c r="L36" s="66"/>
      <c r="M36" s="67"/>
      <c r="N36" s="67"/>
      <c r="O36" s="103"/>
      <c r="P36" s="170"/>
      <c r="Q36" s="66"/>
      <c r="R36" s="67"/>
      <c r="S36" s="67"/>
      <c r="T36" s="126"/>
      <c r="U36" s="1"/>
      <c r="V36" s="1"/>
    </row>
    <row r="37" spans="1:22" ht="24.95" customHeight="1" x14ac:dyDescent="0.2">
      <c r="A37" s="1"/>
      <c r="B37" s="30">
        <v>30</v>
      </c>
      <c r="C37" s="39">
        <v>16149</v>
      </c>
      <c r="D37" s="49" t="s">
        <v>318</v>
      </c>
      <c r="E37" s="169" t="s">
        <v>0</v>
      </c>
      <c r="F37" s="170"/>
      <c r="G37" s="66"/>
      <c r="H37" s="67"/>
      <c r="I37" s="2"/>
      <c r="J37" s="103"/>
      <c r="K37" s="170"/>
      <c r="L37" s="66"/>
      <c r="M37" s="67"/>
      <c r="N37" s="67"/>
      <c r="O37" s="103"/>
      <c r="P37" s="170"/>
      <c r="Q37" s="66"/>
      <c r="R37" s="67"/>
      <c r="S37" s="67"/>
      <c r="T37" s="126"/>
      <c r="U37" s="1"/>
      <c r="V37" s="1"/>
    </row>
    <row r="38" spans="1:22" ht="24.95" customHeight="1" x14ac:dyDescent="0.2">
      <c r="A38" s="1"/>
      <c r="B38" s="30">
        <v>31</v>
      </c>
      <c r="C38" s="39">
        <v>16255</v>
      </c>
      <c r="D38" s="49" t="s">
        <v>401</v>
      </c>
      <c r="E38" s="169" t="s">
        <v>0</v>
      </c>
      <c r="F38" s="170"/>
      <c r="G38" s="66"/>
      <c r="H38" s="67"/>
      <c r="I38" s="2"/>
      <c r="J38" s="103"/>
      <c r="K38" s="170"/>
      <c r="L38" s="66"/>
      <c r="M38" s="67"/>
      <c r="N38" s="67"/>
      <c r="O38" s="103"/>
      <c r="P38" s="170"/>
      <c r="Q38" s="66"/>
      <c r="R38" s="67"/>
      <c r="S38" s="67"/>
      <c r="T38" s="126"/>
      <c r="U38" s="1"/>
      <c r="V38" s="1"/>
    </row>
    <row r="39" spans="1:22" ht="24.95" customHeight="1" x14ac:dyDescent="0.2">
      <c r="A39" s="1"/>
      <c r="B39" s="30">
        <v>32</v>
      </c>
      <c r="C39" s="39">
        <v>16111</v>
      </c>
      <c r="D39" s="49" t="s">
        <v>284</v>
      </c>
      <c r="E39" s="169" t="s">
        <v>0</v>
      </c>
      <c r="F39" s="170"/>
      <c r="G39" s="66"/>
      <c r="H39" s="67"/>
      <c r="I39" s="2"/>
      <c r="J39" s="103"/>
      <c r="K39" s="170"/>
      <c r="L39" s="66"/>
      <c r="M39" s="67"/>
      <c r="N39" s="67"/>
      <c r="O39" s="103"/>
      <c r="P39" s="170"/>
      <c r="Q39" s="66"/>
      <c r="R39" s="67"/>
      <c r="S39" s="67"/>
      <c r="T39" s="126"/>
      <c r="U39" s="1"/>
      <c r="V39" s="1"/>
    </row>
    <row r="40" spans="1:22" ht="24.95" customHeight="1" x14ac:dyDescent="0.2">
      <c r="A40" s="1"/>
      <c r="B40" s="30">
        <v>33</v>
      </c>
      <c r="C40" s="39">
        <v>16257</v>
      </c>
      <c r="D40" s="49" t="s">
        <v>402</v>
      </c>
      <c r="E40" s="169" t="s">
        <v>0</v>
      </c>
      <c r="F40" s="170"/>
      <c r="G40" s="66"/>
      <c r="H40" s="67"/>
      <c r="I40" s="2"/>
      <c r="J40" s="103"/>
      <c r="K40" s="170"/>
      <c r="L40" s="66"/>
      <c r="M40" s="67"/>
      <c r="N40" s="67"/>
      <c r="O40" s="103"/>
      <c r="P40" s="170"/>
      <c r="Q40" s="66"/>
      <c r="R40" s="67"/>
      <c r="S40" s="67"/>
      <c r="T40" s="126"/>
      <c r="U40" s="1"/>
      <c r="V40" s="1"/>
    </row>
    <row r="41" spans="1:22" ht="24.95" customHeight="1" x14ac:dyDescent="0.2">
      <c r="A41" s="1"/>
      <c r="B41" s="30">
        <v>34</v>
      </c>
      <c r="C41" s="39">
        <v>16258</v>
      </c>
      <c r="D41" s="49" t="s">
        <v>515</v>
      </c>
      <c r="E41" s="169" t="s">
        <v>0</v>
      </c>
      <c r="F41" s="170"/>
      <c r="G41" s="66"/>
      <c r="H41" s="67"/>
      <c r="I41" s="2"/>
      <c r="J41" s="103"/>
      <c r="K41" s="170"/>
      <c r="L41" s="66"/>
      <c r="M41" s="67"/>
      <c r="N41" s="67"/>
      <c r="O41" s="103"/>
      <c r="P41" s="170"/>
      <c r="Q41" s="66"/>
      <c r="R41" s="67"/>
      <c r="S41" s="67"/>
      <c r="T41" s="126"/>
      <c r="U41" s="1"/>
      <c r="V41" s="1"/>
    </row>
    <row r="42" spans="1:22" ht="24.95" customHeight="1" x14ac:dyDescent="0.2">
      <c r="A42" s="1"/>
      <c r="B42" s="30">
        <v>35</v>
      </c>
      <c r="C42" s="39"/>
      <c r="D42" s="49"/>
      <c r="E42" s="169" t="s">
        <v>0</v>
      </c>
      <c r="F42" s="170"/>
      <c r="G42" s="66"/>
      <c r="H42" s="67"/>
      <c r="I42" s="2"/>
      <c r="J42" s="103"/>
      <c r="K42" s="170"/>
      <c r="L42" s="66"/>
      <c r="M42" s="67"/>
      <c r="N42" s="67"/>
      <c r="O42" s="103"/>
      <c r="P42" s="170"/>
      <c r="Q42" s="66"/>
      <c r="R42" s="67"/>
      <c r="S42" s="67"/>
      <c r="T42" s="126"/>
      <c r="U42" s="1"/>
      <c r="V42" s="1"/>
    </row>
    <row r="43" spans="1:22" ht="24.95" customHeight="1" x14ac:dyDescent="0.2">
      <c r="A43" s="1"/>
      <c r="B43" s="30">
        <v>36</v>
      </c>
      <c r="C43" s="39"/>
      <c r="D43" s="49"/>
      <c r="E43" s="169" t="s">
        <v>0</v>
      </c>
      <c r="F43" s="170"/>
      <c r="G43" s="66"/>
      <c r="H43" s="67"/>
      <c r="I43" s="2"/>
      <c r="J43" s="103"/>
      <c r="K43" s="170"/>
      <c r="L43" s="66"/>
      <c r="M43" s="67"/>
      <c r="N43" s="67"/>
      <c r="O43" s="103"/>
      <c r="P43" s="170"/>
      <c r="Q43" s="66"/>
      <c r="R43" s="67"/>
      <c r="S43" s="67"/>
      <c r="T43" s="126"/>
      <c r="U43" s="1"/>
      <c r="V43" s="1"/>
    </row>
    <row r="44" spans="1:22" ht="24.95" customHeight="1" x14ac:dyDescent="0.2">
      <c r="A44" s="1"/>
      <c r="B44" s="30">
        <v>37</v>
      </c>
      <c r="C44" s="39"/>
      <c r="D44" s="49"/>
      <c r="E44" s="169" t="s">
        <v>0</v>
      </c>
      <c r="F44" s="170"/>
      <c r="G44" s="66"/>
      <c r="H44" s="67"/>
      <c r="I44" s="2"/>
      <c r="J44" s="103"/>
      <c r="K44" s="170"/>
      <c r="L44" s="66"/>
      <c r="M44" s="67"/>
      <c r="N44" s="67"/>
      <c r="O44" s="103"/>
      <c r="P44" s="170"/>
      <c r="Q44" s="66"/>
      <c r="R44" s="67"/>
      <c r="S44" s="67"/>
      <c r="T44" s="126"/>
      <c r="U44" s="1"/>
      <c r="V44" s="1"/>
    </row>
    <row r="45" spans="1:22" ht="24.95" customHeight="1" x14ac:dyDescent="0.2">
      <c r="A45" s="1"/>
      <c r="B45" s="30">
        <v>38</v>
      </c>
      <c r="C45" s="39"/>
      <c r="D45" s="49"/>
      <c r="E45" s="169" t="s">
        <v>0</v>
      </c>
      <c r="F45" s="170"/>
      <c r="G45" s="66"/>
      <c r="H45" s="67"/>
      <c r="I45" s="67"/>
      <c r="J45" s="103"/>
      <c r="K45" s="170"/>
      <c r="L45" s="66"/>
      <c r="M45" s="67"/>
      <c r="N45" s="67"/>
      <c r="O45" s="103"/>
      <c r="P45" s="170"/>
      <c r="Q45" s="66"/>
      <c r="R45" s="67"/>
      <c r="S45" s="67"/>
      <c r="T45" s="126"/>
      <c r="U45" s="1"/>
      <c r="V45" s="1"/>
    </row>
    <row r="46" spans="1:22" ht="24.95" customHeight="1" x14ac:dyDescent="0.2">
      <c r="A46" s="1"/>
      <c r="B46" s="30">
        <v>39</v>
      </c>
      <c r="C46" s="39"/>
      <c r="D46" s="49"/>
      <c r="E46" s="169" t="s">
        <v>0</v>
      </c>
      <c r="F46" s="172"/>
      <c r="G46" s="65"/>
      <c r="H46" s="2"/>
      <c r="I46" s="2"/>
      <c r="J46" s="102"/>
      <c r="K46" s="172"/>
      <c r="L46" s="65"/>
      <c r="M46" s="2"/>
      <c r="N46" s="2"/>
      <c r="O46" s="102"/>
      <c r="P46" s="172"/>
      <c r="Q46" s="65"/>
      <c r="R46" s="2"/>
      <c r="S46" s="2"/>
      <c r="T46" s="125"/>
      <c r="U46" s="1"/>
      <c r="V46" s="1"/>
    </row>
    <row r="47" spans="1:22" ht="24.95" customHeight="1" x14ac:dyDescent="0.2">
      <c r="A47" s="1"/>
      <c r="B47" s="30">
        <v>40</v>
      </c>
      <c r="C47" s="39"/>
      <c r="D47" s="100"/>
      <c r="E47" s="169" t="s">
        <v>0</v>
      </c>
      <c r="F47" s="173"/>
      <c r="G47" s="65"/>
      <c r="H47" s="2"/>
      <c r="I47" s="2"/>
      <c r="J47" s="102"/>
      <c r="K47" s="173"/>
      <c r="L47" s="65"/>
      <c r="M47" s="2"/>
      <c r="N47" s="2"/>
      <c r="O47" s="102"/>
      <c r="P47" s="173"/>
      <c r="Q47" s="65"/>
      <c r="R47" s="2"/>
      <c r="S47" s="2"/>
      <c r="T47" s="125"/>
      <c r="U47" s="1"/>
      <c r="V47" s="1"/>
    </row>
    <row r="48" spans="1:22" ht="24.95" customHeight="1" thickBot="1" x14ac:dyDescent="0.25">
      <c r="A48" s="1"/>
      <c r="B48" s="41">
        <v>41</v>
      </c>
      <c r="C48" s="52"/>
      <c r="D48" s="210"/>
      <c r="E48" s="212" t="s">
        <v>0</v>
      </c>
      <c r="F48" s="101"/>
      <c r="G48" s="74"/>
      <c r="H48" s="75"/>
      <c r="I48" s="75"/>
      <c r="J48" s="104"/>
      <c r="K48" s="101"/>
      <c r="L48" s="74"/>
      <c r="M48" s="75"/>
      <c r="N48" s="75"/>
      <c r="O48" s="104"/>
      <c r="P48" s="101"/>
      <c r="Q48" s="74"/>
      <c r="R48" s="75"/>
      <c r="S48" s="75"/>
      <c r="T48" s="104"/>
      <c r="U48" s="1"/>
      <c r="V48" s="1"/>
    </row>
    <row r="49" spans="1:22" ht="23.1" customHeight="1" x14ac:dyDescent="0.2">
      <c r="A49" s="1"/>
      <c r="B49" s="37"/>
      <c r="C49" s="37"/>
      <c r="D49" s="1"/>
      <c r="E49" s="3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3.1" customHeight="1" thickBot="1" x14ac:dyDescent="0.25">
      <c r="V50" s="1"/>
    </row>
    <row r="51" spans="1:22" ht="23.1" customHeight="1" x14ac:dyDescent="0.2">
      <c r="A51" s="1"/>
      <c r="B51" s="255"/>
      <c r="C51" s="256"/>
      <c r="D51" s="259" t="s">
        <v>3</v>
      </c>
      <c r="E51" s="260"/>
      <c r="F51" s="260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60"/>
      <c r="R51" s="260"/>
      <c r="S51" s="260"/>
      <c r="T51" s="261"/>
      <c r="U51" s="1"/>
      <c r="V51" s="1"/>
    </row>
    <row r="52" spans="1:22" ht="23.1" customHeight="1" x14ac:dyDescent="0.2">
      <c r="A52" s="1"/>
      <c r="B52" s="257"/>
      <c r="C52" s="258"/>
      <c r="D52" s="262" t="s">
        <v>4</v>
      </c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4"/>
      <c r="U52" s="1"/>
      <c r="V52" s="1"/>
    </row>
    <row r="53" spans="1:22" ht="23.1" customHeight="1" thickBot="1" x14ac:dyDescent="0.25">
      <c r="A53" s="1"/>
      <c r="B53" s="257"/>
      <c r="C53" s="258"/>
      <c r="D53" s="262" t="s">
        <v>547</v>
      </c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4"/>
      <c r="U53" s="1"/>
      <c r="V53" s="1"/>
    </row>
    <row r="54" spans="1:22" ht="23.1" customHeight="1" thickBot="1" x14ac:dyDescent="0.25">
      <c r="A54" s="1"/>
      <c r="B54" s="270"/>
      <c r="C54" s="270"/>
      <c r="D54" s="54" t="s">
        <v>555</v>
      </c>
      <c r="E54" s="29"/>
      <c r="F54" s="54" t="s">
        <v>812</v>
      </c>
      <c r="G54" s="54"/>
      <c r="H54" s="54"/>
      <c r="I54" s="105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24"/>
      <c r="U54" s="1"/>
      <c r="V54" s="1"/>
    </row>
    <row r="55" spans="1:22" ht="23.1" customHeight="1" thickBot="1" x14ac:dyDescent="0.25">
      <c r="A55" s="1"/>
      <c r="B55" s="270" t="s">
        <v>6</v>
      </c>
      <c r="C55" s="270"/>
      <c r="D55" s="275" t="s">
        <v>7</v>
      </c>
      <c r="E55" s="273" t="s">
        <v>12</v>
      </c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1"/>
      <c r="V55" s="1"/>
    </row>
    <row r="56" spans="1:22" ht="23.1" customHeight="1" thickBot="1" x14ac:dyDescent="0.25">
      <c r="A56" s="1"/>
      <c r="B56" s="29" t="s">
        <v>10</v>
      </c>
      <c r="C56" s="29" t="s">
        <v>9</v>
      </c>
      <c r="D56" s="276"/>
      <c r="E56" s="274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1"/>
      <c r="V56" s="1"/>
    </row>
    <row r="57" spans="1:22" ht="24.95" customHeight="1" x14ac:dyDescent="0.2">
      <c r="A57" s="1"/>
      <c r="B57" s="31">
        <v>1</v>
      </c>
      <c r="C57" s="31">
        <v>16116</v>
      </c>
      <c r="D57" s="161" t="s">
        <v>290</v>
      </c>
      <c r="E57" s="175" t="s">
        <v>0</v>
      </c>
      <c r="F57" s="176"/>
      <c r="G57" s="55"/>
      <c r="H57" s="5"/>
      <c r="I57" s="5"/>
      <c r="J57" s="56"/>
      <c r="K57" s="57"/>
      <c r="L57" s="55"/>
      <c r="M57" s="5"/>
      <c r="N57" s="5"/>
      <c r="O57" s="56"/>
      <c r="P57" s="4"/>
      <c r="Q57" s="58"/>
      <c r="R57" s="93"/>
      <c r="S57" s="55"/>
      <c r="T57" s="59"/>
      <c r="U57" s="1"/>
      <c r="V57" s="1"/>
    </row>
    <row r="58" spans="1:22" ht="24.95" customHeight="1" x14ac:dyDescent="0.2">
      <c r="A58" s="1"/>
      <c r="B58" s="30">
        <v>2</v>
      </c>
      <c r="C58" s="30">
        <v>16117</v>
      </c>
      <c r="D58" s="162" t="s">
        <v>291</v>
      </c>
      <c r="E58" s="169" t="s">
        <v>0</v>
      </c>
      <c r="F58" s="177"/>
      <c r="G58" s="60"/>
      <c r="H58" s="2"/>
      <c r="I58" s="2"/>
      <c r="J58" s="56"/>
      <c r="K58" s="62"/>
      <c r="L58" s="60"/>
      <c r="M58" s="2"/>
      <c r="N58" s="2"/>
      <c r="O58" s="61"/>
      <c r="P58" s="3"/>
      <c r="Q58" s="63"/>
      <c r="R58" s="36"/>
      <c r="S58" s="60"/>
      <c r="T58" s="64"/>
      <c r="U58" s="1"/>
      <c r="V58" s="1"/>
    </row>
    <row r="59" spans="1:22" ht="24.95" customHeight="1" x14ac:dyDescent="0.2">
      <c r="A59" s="1"/>
      <c r="B59" s="31">
        <v>3</v>
      </c>
      <c r="C59" s="31">
        <v>16079</v>
      </c>
      <c r="D59" s="162" t="s">
        <v>257</v>
      </c>
      <c r="E59" s="169" t="s">
        <v>0</v>
      </c>
      <c r="F59" s="177"/>
      <c r="G59" s="60"/>
      <c r="H59" s="2"/>
      <c r="I59" s="2"/>
      <c r="J59" s="56"/>
      <c r="K59" s="62"/>
      <c r="L59" s="60"/>
      <c r="M59" s="2"/>
      <c r="N59" s="2"/>
      <c r="O59" s="61"/>
      <c r="P59" s="3"/>
      <c r="Q59" s="63"/>
      <c r="R59" s="36"/>
      <c r="S59" s="60"/>
      <c r="T59" s="64"/>
      <c r="U59" s="1"/>
      <c r="V59" s="1"/>
    </row>
    <row r="60" spans="1:22" ht="24.95" customHeight="1" x14ac:dyDescent="0.2">
      <c r="A60" s="1"/>
      <c r="B60" s="30">
        <v>4</v>
      </c>
      <c r="C60" s="31">
        <v>16224</v>
      </c>
      <c r="D60" s="162" t="s">
        <v>375</v>
      </c>
      <c r="E60" s="169" t="s">
        <v>0</v>
      </c>
      <c r="F60" s="177"/>
      <c r="G60" s="60"/>
      <c r="H60" s="2"/>
      <c r="I60" s="2"/>
      <c r="J60" s="56"/>
      <c r="K60" s="62"/>
      <c r="L60" s="60"/>
      <c r="M60" s="2"/>
      <c r="N60" s="2"/>
      <c r="O60" s="61"/>
      <c r="P60" s="3"/>
      <c r="Q60" s="63"/>
      <c r="R60" s="36"/>
      <c r="S60" s="60"/>
      <c r="T60" s="64"/>
      <c r="U60" s="1"/>
      <c r="V60" s="1"/>
    </row>
    <row r="61" spans="1:22" ht="24.95" customHeight="1" x14ac:dyDescent="0.2">
      <c r="A61" s="1"/>
      <c r="B61" s="31">
        <v>5</v>
      </c>
      <c r="C61" s="30">
        <v>16153</v>
      </c>
      <c r="D61" s="162" t="s">
        <v>324</v>
      </c>
      <c r="E61" s="169" t="s">
        <v>0</v>
      </c>
      <c r="F61" s="177"/>
      <c r="G61" s="60"/>
      <c r="H61" s="2"/>
      <c r="I61" s="2"/>
      <c r="J61" s="56"/>
      <c r="K61" s="62"/>
      <c r="L61" s="60"/>
      <c r="M61" s="2"/>
      <c r="N61" s="2"/>
      <c r="O61" s="61"/>
      <c r="P61" s="3"/>
      <c r="Q61" s="63"/>
      <c r="R61" s="36"/>
      <c r="S61" s="60"/>
      <c r="T61" s="64"/>
      <c r="U61" s="1"/>
      <c r="V61" s="1"/>
    </row>
    <row r="62" spans="1:22" ht="24.95" customHeight="1" x14ac:dyDescent="0.2">
      <c r="A62" s="1"/>
      <c r="B62" s="30">
        <v>6</v>
      </c>
      <c r="C62" s="31">
        <v>16082</v>
      </c>
      <c r="D62" s="162" t="s">
        <v>259</v>
      </c>
      <c r="E62" s="169" t="s">
        <v>0</v>
      </c>
      <c r="F62" s="177"/>
      <c r="G62" s="60"/>
      <c r="H62" s="2"/>
      <c r="I62" s="2"/>
      <c r="J62" s="56"/>
      <c r="K62" s="62"/>
      <c r="L62" s="60"/>
      <c r="M62" s="2"/>
      <c r="N62" s="2"/>
      <c r="O62" s="61"/>
      <c r="P62" s="3"/>
      <c r="Q62" s="63"/>
      <c r="R62" s="36"/>
      <c r="S62" s="60"/>
      <c r="T62" s="64"/>
      <c r="U62" s="1"/>
      <c r="V62" s="1"/>
    </row>
    <row r="63" spans="1:22" ht="24.95" customHeight="1" x14ac:dyDescent="0.2">
      <c r="A63" s="1"/>
      <c r="B63" s="31">
        <v>7</v>
      </c>
      <c r="C63" s="30">
        <v>16154</v>
      </c>
      <c r="D63" s="162" t="s">
        <v>325</v>
      </c>
      <c r="E63" s="169" t="s">
        <v>0</v>
      </c>
      <c r="F63" s="177"/>
      <c r="G63" s="60"/>
      <c r="H63" s="2"/>
      <c r="I63" s="2"/>
      <c r="J63" s="56"/>
      <c r="K63" s="62"/>
      <c r="L63" s="60"/>
      <c r="M63" s="2"/>
      <c r="N63" s="2"/>
      <c r="O63" s="61"/>
      <c r="P63" s="3"/>
      <c r="Q63" s="63"/>
      <c r="R63" s="36"/>
      <c r="S63" s="60"/>
      <c r="T63" s="64"/>
      <c r="U63" s="1"/>
      <c r="V63" s="1"/>
    </row>
    <row r="64" spans="1:22" ht="24.95" customHeight="1" x14ac:dyDescent="0.2">
      <c r="A64" s="1"/>
      <c r="B64" s="30">
        <v>8</v>
      </c>
      <c r="C64" s="31">
        <v>16382</v>
      </c>
      <c r="D64" s="162" t="s">
        <v>544</v>
      </c>
      <c r="E64" s="169" t="s">
        <v>0</v>
      </c>
      <c r="F64" s="177"/>
      <c r="G64" s="60"/>
      <c r="H64" s="2"/>
      <c r="I64" s="2"/>
      <c r="J64" s="56"/>
      <c r="K64" s="62"/>
      <c r="L64" s="60"/>
      <c r="M64" s="2"/>
      <c r="N64" s="2"/>
      <c r="O64" s="61"/>
      <c r="P64" s="3"/>
      <c r="Q64" s="63"/>
      <c r="R64" s="36"/>
      <c r="S64" s="60"/>
      <c r="T64" s="64"/>
      <c r="U64" s="1"/>
      <c r="V64" s="1"/>
    </row>
    <row r="65" spans="1:22" ht="24.95" customHeight="1" x14ac:dyDescent="0.2">
      <c r="A65" s="1"/>
      <c r="B65" s="31">
        <v>9</v>
      </c>
      <c r="C65" s="30">
        <v>16125</v>
      </c>
      <c r="D65" s="162" t="s">
        <v>298</v>
      </c>
      <c r="E65" s="169" t="s">
        <v>0</v>
      </c>
      <c r="F65" s="177"/>
      <c r="G65" s="60"/>
      <c r="H65" s="2"/>
      <c r="I65" s="2"/>
      <c r="J65" s="56"/>
      <c r="K65" s="62"/>
      <c r="L65" s="60"/>
      <c r="M65" s="2"/>
      <c r="N65" s="2"/>
      <c r="O65" s="61"/>
      <c r="P65" s="3"/>
      <c r="Q65" s="63"/>
      <c r="R65" s="36"/>
      <c r="S65" s="60"/>
      <c r="T65" s="64"/>
      <c r="U65" s="1"/>
      <c r="V65" s="1"/>
    </row>
    <row r="66" spans="1:22" ht="24.95" customHeight="1" x14ac:dyDescent="0.2">
      <c r="A66" s="1"/>
      <c r="B66" s="30">
        <v>10</v>
      </c>
      <c r="C66" s="31">
        <v>16156</v>
      </c>
      <c r="D66" s="162" t="s">
        <v>327</v>
      </c>
      <c r="E66" s="169" t="s">
        <v>0</v>
      </c>
      <c r="F66" s="177"/>
      <c r="G66" s="60"/>
      <c r="H66" s="2"/>
      <c r="I66" s="2"/>
      <c r="J66" s="56"/>
      <c r="K66" s="62"/>
      <c r="L66" s="60"/>
      <c r="M66" s="2"/>
      <c r="N66" s="2"/>
      <c r="O66" s="61"/>
      <c r="P66" s="3"/>
      <c r="Q66" s="63"/>
      <c r="R66" s="36"/>
      <c r="S66" s="60"/>
      <c r="T66" s="64"/>
      <c r="U66" s="1"/>
      <c r="V66" s="1"/>
    </row>
    <row r="67" spans="1:22" ht="24.95" customHeight="1" x14ac:dyDescent="0.2">
      <c r="A67" s="1"/>
      <c r="B67" s="31">
        <v>11</v>
      </c>
      <c r="C67" s="30">
        <v>16129</v>
      </c>
      <c r="D67" s="162" t="s">
        <v>302</v>
      </c>
      <c r="E67" s="169" t="s">
        <v>0</v>
      </c>
      <c r="F67" s="177"/>
      <c r="G67" s="60"/>
      <c r="H67" s="2"/>
      <c r="I67" s="2"/>
      <c r="J67" s="56"/>
      <c r="K67" s="62"/>
      <c r="L67" s="60"/>
      <c r="M67" s="2"/>
      <c r="N67" s="2"/>
      <c r="O67" s="61"/>
      <c r="P67" s="3"/>
      <c r="Q67" s="63"/>
      <c r="R67" s="36"/>
      <c r="S67" s="60"/>
      <c r="T67" s="64"/>
      <c r="U67" s="1"/>
      <c r="V67" s="1"/>
    </row>
    <row r="68" spans="1:22" ht="24.95" customHeight="1" x14ac:dyDescent="0.2">
      <c r="A68" s="1"/>
      <c r="B68" s="30">
        <v>12</v>
      </c>
      <c r="C68" s="31">
        <v>16159</v>
      </c>
      <c r="D68" s="162" t="s">
        <v>545</v>
      </c>
      <c r="E68" s="169" t="s">
        <v>0</v>
      </c>
      <c r="F68" s="177"/>
      <c r="G68" s="60"/>
      <c r="H68" s="2"/>
      <c r="I68" s="2"/>
      <c r="J68" s="56"/>
      <c r="K68" s="62"/>
      <c r="L68" s="60"/>
      <c r="M68" s="2"/>
      <c r="N68" s="2"/>
      <c r="O68" s="61"/>
      <c r="P68" s="3"/>
      <c r="Q68" s="63"/>
      <c r="R68" s="36"/>
      <c r="S68" s="60"/>
      <c r="T68" s="64"/>
      <c r="U68" s="1"/>
      <c r="V68" s="1"/>
    </row>
    <row r="69" spans="1:22" ht="24.95" customHeight="1" x14ac:dyDescent="0.2">
      <c r="A69" s="1"/>
      <c r="B69" s="31">
        <v>13</v>
      </c>
      <c r="C69" s="30">
        <v>16160</v>
      </c>
      <c r="D69" s="162" t="s">
        <v>329</v>
      </c>
      <c r="E69" s="169" t="s">
        <v>0</v>
      </c>
      <c r="F69" s="177"/>
      <c r="G69" s="60"/>
      <c r="H69" s="2"/>
      <c r="I69" s="2"/>
      <c r="J69" s="56"/>
      <c r="K69" s="62"/>
      <c r="L69" s="60"/>
      <c r="M69" s="2"/>
      <c r="N69" s="2"/>
      <c r="O69" s="61"/>
      <c r="P69" s="3"/>
      <c r="Q69" s="63"/>
      <c r="R69" s="93"/>
      <c r="S69" s="55"/>
      <c r="T69" s="64"/>
      <c r="U69" s="1"/>
      <c r="V69" s="1"/>
    </row>
    <row r="70" spans="1:22" ht="24.95" customHeight="1" x14ac:dyDescent="0.2">
      <c r="A70" s="1"/>
      <c r="B70" s="30">
        <v>14</v>
      </c>
      <c r="C70" s="31">
        <v>16091</v>
      </c>
      <c r="D70" s="162" t="s">
        <v>264</v>
      </c>
      <c r="E70" s="169" t="s">
        <v>0</v>
      </c>
      <c r="F70" s="177"/>
      <c r="G70" s="60"/>
      <c r="H70" s="2"/>
      <c r="I70" s="2"/>
      <c r="J70" s="56"/>
      <c r="K70" s="62"/>
      <c r="L70" s="60"/>
      <c r="M70" s="2"/>
      <c r="N70" s="2"/>
      <c r="O70" s="61"/>
      <c r="P70" s="3"/>
      <c r="Q70" s="63"/>
      <c r="R70" s="36"/>
      <c r="S70" s="60"/>
      <c r="T70" s="64"/>
      <c r="U70" s="1"/>
      <c r="V70" s="1"/>
    </row>
    <row r="71" spans="1:22" ht="24.95" customHeight="1" x14ac:dyDescent="0.2">
      <c r="A71" s="1"/>
      <c r="B71" s="31">
        <v>15</v>
      </c>
      <c r="C71" s="30">
        <v>16096</v>
      </c>
      <c r="D71" s="162" t="s">
        <v>269</v>
      </c>
      <c r="E71" s="169" t="s">
        <v>0</v>
      </c>
      <c r="F71" s="177"/>
      <c r="G71" s="60"/>
      <c r="H71" s="2"/>
      <c r="I71" s="2"/>
      <c r="J71" s="56"/>
      <c r="K71" s="62"/>
      <c r="L71" s="60"/>
      <c r="M71" s="2"/>
      <c r="N71" s="2"/>
      <c r="O71" s="61"/>
      <c r="P71" s="3"/>
      <c r="Q71" s="63"/>
      <c r="R71" s="36"/>
      <c r="S71" s="60"/>
      <c r="T71" s="64"/>
      <c r="U71" s="1"/>
      <c r="V71" s="1"/>
    </row>
    <row r="72" spans="1:22" ht="24.95" customHeight="1" x14ac:dyDescent="0.2">
      <c r="A72" s="1"/>
      <c r="B72" s="30">
        <v>16</v>
      </c>
      <c r="C72" s="31">
        <v>16132</v>
      </c>
      <c r="D72" s="162" t="s">
        <v>304</v>
      </c>
      <c r="E72" s="169" t="s">
        <v>0</v>
      </c>
      <c r="F72" s="177"/>
      <c r="G72" s="60"/>
      <c r="H72" s="2"/>
      <c r="I72" s="2"/>
      <c r="J72" s="56"/>
      <c r="K72" s="62"/>
      <c r="L72" s="60"/>
      <c r="M72" s="2"/>
      <c r="N72" s="2"/>
      <c r="O72" s="61"/>
      <c r="P72" s="3"/>
      <c r="Q72" s="63"/>
      <c r="R72" s="36"/>
      <c r="S72" s="60"/>
      <c r="T72" s="64"/>
      <c r="U72" s="1"/>
      <c r="V72" s="1"/>
    </row>
    <row r="73" spans="1:22" ht="24.95" customHeight="1" x14ac:dyDescent="0.2">
      <c r="A73" s="1"/>
      <c r="B73" s="31">
        <v>17</v>
      </c>
      <c r="C73" s="30">
        <v>16167</v>
      </c>
      <c r="D73" s="162" t="s">
        <v>333</v>
      </c>
      <c r="E73" s="169" t="s">
        <v>0</v>
      </c>
      <c r="F73" s="177"/>
      <c r="G73" s="60"/>
      <c r="H73" s="2"/>
      <c r="I73" s="2"/>
      <c r="J73" s="56"/>
      <c r="K73" s="62"/>
      <c r="L73" s="60"/>
      <c r="M73" s="2"/>
      <c r="N73" s="2"/>
      <c r="O73" s="61"/>
      <c r="P73" s="3"/>
      <c r="Q73" s="63"/>
      <c r="R73" s="36"/>
      <c r="S73" s="60"/>
      <c r="T73" s="64"/>
      <c r="U73" s="1"/>
      <c r="V73" s="1"/>
    </row>
    <row r="74" spans="1:22" ht="24.95" customHeight="1" x14ac:dyDescent="0.2">
      <c r="A74" s="1"/>
      <c r="B74" s="30">
        <v>18</v>
      </c>
      <c r="C74" s="31">
        <v>16235</v>
      </c>
      <c r="D74" s="162" t="s">
        <v>385</v>
      </c>
      <c r="E74" s="169" t="s">
        <v>0</v>
      </c>
      <c r="F74" s="177"/>
      <c r="G74" s="60"/>
      <c r="H74" s="2"/>
      <c r="I74" s="2"/>
      <c r="J74" s="56"/>
      <c r="K74" s="62"/>
      <c r="L74" s="60"/>
      <c r="M74" s="2"/>
      <c r="N74" s="2"/>
      <c r="O74" s="61"/>
      <c r="P74" s="3"/>
      <c r="Q74" s="63"/>
      <c r="R74" s="36"/>
      <c r="S74" s="60"/>
      <c r="T74" s="64"/>
      <c r="U74" s="1"/>
      <c r="V74" s="1"/>
    </row>
    <row r="75" spans="1:22" ht="24.95" customHeight="1" x14ac:dyDescent="0.2">
      <c r="A75" s="1"/>
      <c r="B75" s="31">
        <v>19</v>
      </c>
      <c r="C75" s="30">
        <v>16169</v>
      </c>
      <c r="D75" s="162" t="s">
        <v>335</v>
      </c>
      <c r="E75" s="169" t="s">
        <v>0</v>
      </c>
      <c r="F75" s="177"/>
      <c r="G75" s="60"/>
      <c r="H75" s="2"/>
      <c r="I75" s="2"/>
      <c r="J75" s="56"/>
      <c r="K75" s="62"/>
      <c r="L75" s="60"/>
      <c r="M75" s="2"/>
      <c r="N75" s="2"/>
      <c r="O75" s="61"/>
      <c r="P75" s="3"/>
      <c r="Q75" s="63"/>
      <c r="R75" s="36"/>
      <c r="S75" s="60"/>
      <c r="T75" s="64"/>
      <c r="U75" s="1"/>
      <c r="V75" s="1"/>
    </row>
    <row r="76" spans="1:22" ht="24.95" customHeight="1" x14ac:dyDescent="0.2">
      <c r="A76" s="1"/>
      <c r="B76" s="30">
        <v>20</v>
      </c>
      <c r="C76" s="31">
        <v>16099</v>
      </c>
      <c r="D76" s="162" t="s">
        <v>272</v>
      </c>
      <c r="E76" s="169" t="s">
        <v>0</v>
      </c>
      <c r="F76" s="177"/>
      <c r="G76" s="65"/>
      <c r="H76" s="2"/>
      <c r="I76" s="2"/>
      <c r="J76" s="56"/>
      <c r="K76" s="62"/>
      <c r="L76" s="60"/>
      <c r="M76" s="2"/>
      <c r="N76" s="2"/>
      <c r="O76" s="61"/>
      <c r="P76" s="3"/>
      <c r="Q76" s="63"/>
      <c r="R76" s="36"/>
      <c r="S76" s="60"/>
      <c r="T76" s="64"/>
      <c r="U76" s="1"/>
      <c r="V76" s="1"/>
    </row>
    <row r="77" spans="1:22" ht="24.95" customHeight="1" x14ac:dyDescent="0.2">
      <c r="A77" s="1"/>
      <c r="B77" s="31">
        <v>21</v>
      </c>
      <c r="C77" s="30">
        <v>16205</v>
      </c>
      <c r="D77" s="162" t="s">
        <v>359</v>
      </c>
      <c r="E77" s="169" t="s">
        <v>0</v>
      </c>
      <c r="F77" s="177"/>
      <c r="G77" s="65"/>
      <c r="H77" s="2"/>
      <c r="I77" s="2"/>
      <c r="J77" s="56"/>
      <c r="K77" s="62"/>
      <c r="L77" s="65"/>
      <c r="M77" s="2"/>
      <c r="N77" s="2"/>
      <c r="O77" s="61"/>
      <c r="P77" s="3"/>
      <c r="Q77" s="63"/>
      <c r="R77" s="93"/>
      <c r="S77" s="55"/>
      <c r="T77" s="64"/>
      <c r="U77" s="1"/>
      <c r="V77" s="1"/>
    </row>
    <row r="78" spans="1:22" ht="24.95" customHeight="1" x14ac:dyDescent="0.2">
      <c r="A78" s="1"/>
      <c r="B78" s="30">
        <v>22</v>
      </c>
      <c r="C78" s="31">
        <v>16240</v>
      </c>
      <c r="D78" s="162" t="s">
        <v>390</v>
      </c>
      <c r="E78" s="169" t="s">
        <v>0</v>
      </c>
      <c r="F78" s="177"/>
      <c r="G78" s="65"/>
      <c r="H78" s="2"/>
      <c r="I78" s="2"/>
      <c r="J78" s="56"/>
      <c r="K78" s="62"/>
      <c r="L78" s="65"/>
      <c r="M78" s="2"/>
      <c r="N78" s="2"/>
      <c r="O78" s="61"/>
      <c r="P78" s="3"/>
      <c r="Q78" s="63"/>
      <c r="R78" s="93"/>
      <c r="S78" s="55"/>
      <c r="T78" s="64"/>
      <c r="U78" s="1"/>
      <c r="V78" s="1"/>
    </row>
    <row r="79" spans="1:22" ht="24.95" customHeight="1" x14ac:dyDescent="0.2">
      <c r="A79" s="1"/>
      <c r="B79" s="31">
        <v>23</v>
      </c>
      <c r="C79" s="30">
        <v>16140</v>
      </c>
      <c r="D79" s="162" t="s">
        <v>310</v>
      </c>
      <c r="E79" s="169" t="s">
        <v>0</v>
      </c>
      <c r="F79" s="177"/>
      <c r="G79" s="60"/>
      <c r="H79" s="2"/>
      <c r="I79" s="2"/>
      <c r="J79" s="56"/>
      <c r="K79" s="62"/>
      <c r="L79" s="65"/>
      <c r="M79" s="2"/>
      <c r="N79" s="2"/>
      <c r="O79" s="61"/>
      <c r="P79" s="3"/>
      <c r="Q79" s="63"/>
      <c r="R79" s="36"/>
      <c r="S79" s="60"/>
      <c r="T79" s="64"/>
      <c r="U79" s="1"/>
      <c r="V79" s="1"/>
    </row>
    <row r="80" spans="1:22" ht="24.95" customHeight="1" x14ac:dyDescent="0.2">
      <c r="A80" s="1"/>
      <c r="B80" s="30">
        <v>24</v>
      </c>
      <c r="C80" s="31">
        <v>16176</v>
      </c>
      <c r="D80" s="162" t="s">
        <v>340</v>
      </c>
      <c r="E80" s="169" t="s">
        <v>0</v>
      </c>
      <c r="F80" s="177"/>
      <c r="G80" s="65"/>
      <c r="H80" s="2"/>
      <c r="I80" s="2"/>
      <c r="J80" s="56"/>
      <c r="K80" s="62"/>
      <c r="L80" s="60"/>
      <c r="M80" s="2"/>
      <c r="N80" s="2"/>
      <c r="O80" s="61"/>
      <c r="P80" s="3"/>
      <c r="Q80" s="63"/>
      <c r="R80" s="36"/>
      <c r="S80" s="60"/>
      <c r="T80" s="64"/>
      <c r="U80" s="1"/>
      <c r="V80" s="1"/>
    </row>
    <row r="81" spans="1:22" ht="24.95" customHeight="1" x14ac:dyDescent="0.2">
      <c r="A81" s="1"/>
      <c r="B81" s="31">
        <v>25</v>
      </c>
      <c r="C81" s="30">
        <v>16243</v>
      </c>
      <c r="D81" s="162" t="s">
        <v>393</v>
      </c>
      <c r="E81" s="169" t="s">
        <v>0</v>
      </c>
      <c r="F81" s="177"/>
      <c r="G81" s="66"/>
      <c r="H81" s="2"/>
      <c r="I81" s="2"/>
      <c r="J81" s="56"/>
      <c r="K81" s="62"/>
      <c r="L81" s="65"/>
      <c r="M81" s="2"/>
      <c r="N81" s="2"/>
      <c r="O81" s="61"/>
      <c r="P81" s="3"/>
      <c r="Q81" s="63"/>
      <c r="R81" s="36"/>
      <c r="S81" s="60"/>
      <c r="T81" s="64"/>
      <c r="U81" s="1"/>
      <c r="V81" s="1"/>
    </row>
    <row r="82" spans="1:22" ht="24.95" customHeight="1" x14ac:dyDescent="0.2">
      <c r="A82" s="1"/>
      <c r="B82" s="30">
        <v>26</v>
      </c>
      <c r="C82" s="31">
        <v>16106</v>
      </c>
      <c r="D82" s="162" t="s">
        <v>279</v>
      </c>
      <c r="E82" s="169" t="s">
        <v>0</v>
      </c>
      <c r="F82" s="177"/>
      <c r="G82" s="66"/>
      <c r="H82" s="67"/>
      <c r="I82" s="67"/>
      <c r="J82" s="56"/>
      <c r="K82" s="62"/>
      <c r="L82" s="66"/>
      <c r="M82" s="67"/>
      <c r="N82" s="67"/>
      <c r="O82" s="68"/>
      <c r="P82" s="40"/>
      <c r="Q82" s="69"/>
      <c r="R82" s="178"/>
      <c r="S82" s="90"/>
      <c r="T82" s="70"/>
      <c r="U82" s="1"/>
      <c r="V82" s="1"/>
    </row>
    <row r="83" spans="1:22" ht="24.95" customHeight="1" x14ac:dyDescent="0.2">
      <c r="A83" s="1"/>
      <c r="B83" s="31">
        <v>27</v>
      </c>
      <c r="C83" s="30">
        <v>16135</v>
      </c>
      <c r="D83" s="162" t="s">
        <v>536</v>
      </c>
      <c r="E83" s="169" t="s">
        <v>0</v>
      </c>
      <c r="F83" s="177"/>
      <c r="G83" s="66"/>
      <c r="H83" s="67"/>
      <c r="I83" s="67"/>
      <c r="J83" s="56"/>
      <c r="K83" s="62"/>
      <c r="L83" s="66"/>
      <c r="M83" s="67"/>
      <c r="N83" s="67"/>
      <c r="O83" s="68"/>
      <c r="P83" s="40"/>
      <c r="Q83" s="69"/>
      <c r="R83" s="178"/>
      <c r="S83" s="90"/>
      <c r="T83" s="70"/>
      <c r="U83" s="1"/>
      <c r="V83" s="1"/>
    </row>
    <row r="84" spans="1:22" ht="24.95" customHeight="1" x14ac:dyDescent="0.2">
      <c r="A84" s="1"/>
      <c r="B84" s="30">
        <v>28</v>
      </c>
      <c r="C84" s="31">
        <v>16143</v>
      </c>
      <c r="D84" s="162" t="s">
        <v>313</v>
      </c>
      <c r="E84" s="169" t="s">
        <v>0</v>
      </c>
      <c r="F84" s="177"/>
      <c r="G84" s="66"/>
      <c r="H84" s="67"/>
      <c r="I84" s="67"/>
      <c r="J84" s="56"/>
      <c r="K84" s="62"/>
      <c r="L84" s="66"/>
      <c r="M84" s="67"/>
      <c r="N84" s="67"/>
      <c r="O84" s="68"/>
      <c r="P84" s="40"/>
      <c r="Q84" s="69"/>
      <c r="R84" s="178"/>
      <c r="S84" s="90"/>
      <c r="T84" s="70"/>
      <c r="U84" s="1"/>
      <c r="V84" s="1"/>
    </row>
    <row r="85" spans="1:22" ht="24.95" customHeight="1" x14ac:dyDescent="0.2">
      <c r="A85" s="1"/>
      <c r="B85" s="31">
        <v>29</v>
      </c>
      <c r="C85" s="30">
        <v>16178</v>
      </c>
      <c r="D85" s="218" t="s">
        <v>537</v>
      </c>
      <c r="E85" s="169" t="s">
        <v>0</v>
      </c>
      <c r="F85" s="177"/>
      <c r="G85" s="66"/>
      <c r="H85" s="67"/>
      <c r="I85" s="67"/>
      <c r="J85" s="56"/>
      <c r="K85" s="62"/>
      <c r="L85" s="66"/>
      <c r="M85" s="67"/>
      <c r="N85" s="67"/>
      <c r="O85" s="68"/>
      <c r="P85" s="40"/>
      <c r="Q85" s="69"/>
      <c r="R85" s="178"/>
      <c r="S85" s="90"/>
      <c r="T85" s="70"/>
      <c r="U85" s="1"/>
      <c r="V85" s="1"/>
    </row>
    <row r="86" spans="1:22" ht="24.95" customHeight="1" x14ac:dyDescent="0.2">
      <c r="A86" s="1"/>
      <c r="B86" s="30">
        <v>30</v>
      </c>
      <c r="C86" s="31">
        <v>16109</v>
      </c>
      <c r="D86" s="162" t="s">
        <v>282</v>
      </c>
      <c r="E86" s="169" t="s">
        <v>0</v>
      </c>
      <c r="F86" s="177"/>
      <c r="G86" s="66"/>
      <c r="H86" s="67"/>
      <c r="I86" s="67"/>
      <c r="J86" s="56"/>
      <c r="K86" s="62"/>
      <c r="L86" s="66"/>
      <c r="M86" s="67"/>
      <c r="N86" s="67"/>
      <c r="O86" s="68"/>
      <c r="P86" s="40"/>
      <c r="Q86" s="69"/>
      <c r="R86" s="178"/>
      <c r="S86" s="90"/>
      <c r="T86" s="70"/>
      <c r="U86" s="1"/>
      <c r="V86" s="1"/>
    </row>
    <row r="87" spans="1:22" ht="24.95" customHeight="1" x14ac:dyDescent="0.2">
      <c r="A87" s="1"/>
      <c r="B87" s="31">
        <v>31</v>
      </c>
      <c r="C87" s="30">
        <v>16145</v>
      </c>
      <c r="D87" s="162" t="s">
        <v>315</v>
      </c>
      <c r="E87" s="169" t="s">
        <v>0</v>
      </c>
      <c r="F87" s="177"/>
      <c r="G87" s="66"/>
      <c r="H87" s="67"/>
      <c r="I87" s="67"/>
      <c r="J87" s="56"/>
      <c r="K87" s="62"/>
      <c r="L87" s="66"/>
      <c r="M87" s="67"/>
      <c r="N87" s="67"/>
      <c r="O87" s="68"/>
      <c r="P87" s="40"/>
      <c r="Q87" s="69"/>
      <c r="R87" s="178"/>
      <c r="S87" s="90"/>
      <c r="T87" s="70"/>
      <c r="U87" s="1"/>
      <c r="V87" s="1"/>
    </row>
    <row r="88" spans="1:22" ht="24.95" customHeight="1" x14ac:dyDescent="0.2">
      <c r="A88" s="1"/>
      <c r="B88" s="30">
        <v>32</v>
      </c>
      <c r="C88" s="31">
        <v>16244</v>
      </c>
      <c r="D88" s="100" t="s">
        <v>394</v>
      </c>
      <c r="E88" s="169" t="s">
        <v>0</v>
      </c>
      <c r="F88" s="177"/>
      <c r="G88" s="66"/>
      <c r="H88" s="67"/>
      <c r="I88" s="67"/>
      <c r="J88" s="56"/>
      <c r="K88" s="62"/>
      <c r="L88" s="66"/>
      <c r="M88" s="67"/>
      <c r="N88" s="67"/>
      <c r="O88" s="68"/>
      <c r="P88" s="40"/>
      <c r="Q88" s="69"/>
      <c r="R88" s="178"/>
      <c r="S88" s="90"/>
      <c r="T88" s="70"/>
      <c r="U88" s="1"/>
      <c r="V88" s="1"/>
    </row>
    <row r="89" spans="1:22" ht="24.95" customHeight="1" x14ac:dyDescent="0.2">
      <c r="A89" s="1"/>
      <c r="B89" s="31">
        <v>33</v>
      </c>
      <c r="C89" s="246">
        <v>16246</v>
      </c>
      <c r="D89" s="247" t="s">
        <v>396</v>
      </c>
      <c r="E89" s="169" t="s">
        <v>0</v>
      </c>
      <c r="F89" s="177"/>
      <c r="G89" s="66"/>
      <c r="H89" s="67"/>
      <c r="I89" s="67"/>
      <c r="J89" s="56"/>
      <c r="K89" s="62"/>
      <c r="L89" s="66"/>
      <c r="M89" s="67"/>
      <c r="N89" s="67"/>
      <c r="O89" s="68"/>
      <c r="P89" s="40"/>
      <c r="Q89" s="69"/>
      <c r="R89" s="178"/>
      <c r="S89" s="90"/>
      <c r="T89" s="70"/>
      <c r="U89" s="1"/>
      <c r="V89" s="1"/>
    </row>
    <row r="90" spans="1:22" ht="24.95" customHeight="1" x14ac:dyDescent="0.2">
      <c r="A90" s="1"/>
      <c r="B90" s="30">
        <v>34</v>
      </c>
      <c r="C90" s="31">
        <v>16219</v>
      </c>
      <c r="D90" s="100" t="s">
        <v>369</v>
      </c>
      <c r="E90" s="169" t="s">
        <v>0</v>
      </c>
      <c r="F90" s="177"/>
      <c r="G90" s="227"/>
      <c r="H90" s="67"/>
      <c r="I90" s="67"/>
      <c r="J90" s="56"/>
      <c r="K90" s="62"/>
      <c r="L90" s="66"/>
      <c r="M90" s="67"/>
      <c r="N90" s="67"/>
      <c r="O90" s="68"/>
      <c r="P90" s="40"/>
      <c r="Q90" s="69"/>
      <c r="R90" s="178"/>
      <c r="S90" s="90"/>
      <c r="T90" s="70"/>
      <c r="U90" s="1"/>
      <c r="V90" s="1"/>
    </row>
    <row r="91" spans="1:22" ht="24.95" customHeight="1" x14ac:dyDescent="0.2">
      <c r="A91" s="1"/>
      <c r="B91" s="31">
        <v>35</v>
      </c>
      <c r="C91" s="31"/>
      <c r="D91" s="100"/>
      <c r="E91" s="248" t="s">
        <v>0</v>
      </c>
      <c r="F91" s="249"/>
      <c r="G91" s="66"/>
      <c r="H91" s="228"/>
      <c r="I91" s="228"/>
      <c r="J91" s="56"/>
      <c r="K91" s="235"/>
      <c r="L91" s="227"/>
      <c r="M91" s="228"/>
      <c r="N91" s="228"/>
      <c r="O91" s="229"/>
      <c r="P91" s="230"/>
      <c r="Q91" s="231"/>
      <c r="R91" s="232"/>
      <c r="S91" s="233"/>
      <c r="T91" s="234"/>
      <c r="U91" s="1"/>
      <c r="V91" s="1"/>
    </row>
    <row r="92" spans="1:22" ht="24.95" customHeight="1" x14ac:dyDescent="0.2">
      <c r="A92" s="1"/>
      <c r="B92" s="30">
        <v>36</v>
      </c>
      <c r="C92" s="31"/>
      <c r="D92" s="100"/>
      <c r="E92" s="169" t="s">
        <v>0</v>
      </c>
      <c r="F92" s="177"/>
      <c r="G92" s="66"/>
      <c r="H92" s="67"/>
      <c r="I92" s="67"/>
      <c r="J92" s="56"/>
      <c r="K92" s="62"/>
      <c r="L92" s="66"/>
      <c r="M92" s="67"/>
      <c r="N92" s="67"/>
      <c r="O92" s="68"/>
      <c r="P92" s="40"/>
      <c r="Q92" s="69"/>
      <c r="R92" s="178"/>
      <c r="S92" s="90"/>
      <c r="T92" s="70"/>
      <c r="U92" s="1"/>
      <c r="V92" s="1"/>
    </row>
    <row r="93" spans="1:22" ht="24.95" customHeight="1" x14ac:dyDescent="0.2">
      <c r="A93" s="1"/>
      <c r="B93" s="31">
        <v>37</v>
      </c>
      <c r="C93" s="31"/>
      <c r="D93" s="100"/>
      <c r="E93" s="169" t="s">
        <v>0</v>
      </c>
      <c r="F93" s="177"/>
      <c r="G93" s="66"/>
      <c r="H93" s="67"/>
      <c r="I93" s="67"/>
      <c r="J93" s="56"/>
      <c r="K93" s="62"/>
      <c r="L93" s="66"/>
      <c r="M93" s="67"/>
      <c r="N93" s="67"/>
      <c r="O93" s="68"/>
      <c r="P93" s="40"/>
      <c r="Q93" s="69"/>
      <c r="R93" s="178"/>
      <c r="S93" s="90"/>
      <c r="T93" s="70"/>
      <c r="U93" s="1"/>
      <c r="V93" s="1"/>
    </row>
    <row r="94" spans="1:22" ht="24.95" customHeight="1" x14ac:dyDescent="0.2">
      <c r="A94" s="1"/>
      <c r="B94" s="30">
        <v>38</v>
      </c>
      <c r="C94" s="199"/>
      <c r="D94" s="100"/>
      <c r="E94" s="169" t="s">
        <v>0</v>
      </c>
      <c r="F94" s="201"/>
      <c r="G94" s="202"/>
      <c r="H94" s="67"/>
      <c r="I94" s="67"/>
      <c r="J94" s="68"/>
      <c r="K94" s="71"/>
      <c r="L94" s="66"/>
      <c r="M94" s="67"/>
      <c r="N94" s="67"/>
      <c r="O94" s="68"/>
      <c r="P94" s="40"/>
      <c r="Q94" s="69"/>
      <c r="R94" s="178"/>
      <c r="S94" s="90"/>
      <c r="T94" s="70"/>
      <c r="U94" s="1"/>
      <c r="V94" s="1"/>
    </row>
    <row r="95" spans="1:22" ht="24.95" customHeight="1" x14ac:dyDescent="0.2">
      <c r="A95" s="1"/>
      <c r="B95" s="31">
        <v>39</v>
      </c>
      <c r="C95" s="30"/>
      <c r="D95" s="100"/>
      <c r="E95" s="169" t="s">
        <v>0</v>
      </c>
      <c r="F95" s="204"/>
      <c r="G95" s="65"/>
      <c r="H95" s="2"/>
      <c r="I95" s="2"/>
      <c r="J95" s="61"/>
      <c r="K95" s="62"/>
      <c r="L95" s="65"/>
      <c r="M95" s="2"/>
      <c r="N95" s="2"/>
      <c r="O95" s="61"/>
      <c r="P95" s="3"/>
      <c r="Q95" s="63"/>
      <c r="R95" s="36"/>
      <c r="S95" s="60"/>
      <c r="T95" s="64"/>
      <c r="U95" s="1"/>
      <c r="V95" s="1"/>
    </row>
    <row r="96" spans="1:22" ht="24.95" customHeight="1" thickBot="1" x14ac:dyDescent="0.25">
      <c r="A96" s="1"/>
      <c r="B96" s="41">
        <v>40</v>
      </c>
      <c r="C96" s="53"/>
      <c r="D96" s="219"/>
      <c r="E96" s="174" t="s">
        <v>0</v>
      </c>
      <c r="F96" s="73"/>
      <c r="G96" s="74"/>
      <c r="H96" s="75"/>
      <c r="I96" s="75"/>
      <c r="J96" s="76"/>
      <c r="K96" s="77"/>
      <c r="L96" s="74"/>
      <c r="M96" s="75"/>
      <c r="N96" s="75"/>
      <c r="O96" s="76"/>
      <c r="P96" s="75"/>
      <c r="Q96" s="78"/>
      <c r="R96" s="78"/>
      <c r="S96" s="78"/>
      <c r="T96" s="76"/>
      <c r="U96" s="1"/>
      <c r="V96" s="1"/>
    </row>
    <row r="97" spans="1:22" ht="18.95" customHeight="1" x14ac:dyDescent="0.2">
      <c r="A97" s="1"/>
      <c r="B97" s="37"/>
      <c r="C97" s="37"/>
      <c r="D97" s="1"/>
      <c r="E97" s="3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.95" customHeight="1" thickBot="1" x14ac:dyDescent="0.25">
      <c r="A98" s="1"/>
      <c r="B98" s="37"/>
      <c r="C98" s="37"/>
      <c r="D98" s="1"/>
      <c r="E98" s="3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8.95" customHeight="1" x14ac:dyDescent="0.2">
      <c r="A99" s="1"/>
      <c r="B99" s="255"/>
      <c r="C99" s="256"/>
      <c r="D99" s="259" t="s">
        <v>3</v>
      </c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1"/>
      <c r="U99" s="1"/>
      <c r="V99" s="1"/>
    </row>
    <row r="100" spans="1:22" ht="18.95" customHeight="1" x14ac:dyDescent="0.2">
      <c r="A100" s="1"/>
      <c r="B100" s="257"/>
      <c r="C100" s="258"/>
      <c r="D100" s="262" t="s">
        <v>4</v>
      </c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  <c r="S100" s="263"/>
      <c r="T100" s="264"/>
      <c r="U100" s="1"/>
      <c r="V100" s="1"/>
    </row>
    <row r="101" spans="1:22" ht="18.95" customHeight="1" thickBot="1" x14ac:dyDescent="0.25">
      <c r="A101" s="1"/>
      <c r="B101" s="257"/>
      <c r="C101" s="258"/>
      <c r="D101" s="265" t="s">
        <v>547</v>
      </c>
      <c r="E101" s="266"/>
      <c r="F101" s="266"/>
      <c r="G101" s="266"/>
      <c r="H101" s="266"/>
      <c r="I101" s="266"/>
      <c r="J101" s="266"/>
      <c r="K101" s="266"/>
      <c r="L101" s="266"/>
      <c r="M101" s="266"/>
      <c r="N101" s="266"/>
      <c r="O101" s="266"/>
      <c r="P101" s="266"/>
      <c r="Q101" s="266"/>
      <c r="R101" s="266"/>
      <c r="S101" s="266"/>
      <c r="T101" s="267"/>
      <c r="U101" s="1"/>
      <c r="V101" s="1"/>
    </row>
    <row r="102" spans="1:22" ht="18.95" customHeight="1" thickBot="1" x14ac:dyDescent="0.25">
      <c r="A102" s="1"/>
      <c r="B102" s="268"/>
      <c r="C102" s="269"/>
      <c r="D102" s="25" t="s">
        <v>554</v>
      </c>
      <c r="E102" s="26"/>
      <c r="F102" s="27" t="s">
        <v>824</v>
      </c>
      <c r="G102" s="27"/>
      <c r="H102" s="27"/>
      <c r="I102" s="28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24"/>
      <c r="U102" s="1"/>
      <c r="V102" s="1"/>
    </row>
    <row r="103" spans="1:22" ht="18.95" customHeight="1" thickBot="1" x14ac:dyDescent="0.25">
      <c r="A103" s="1"/>
      <c r="B103" s="271" t="s">
        <v>6</v>
      </c>
      <c r="C103" s="272"/>
      <c r="D103" s="270" t="s">
        <v>7</v>
      </c>
      <c r="E103" s="273" t="s">
        <v>12</v>
      </c>
      <c r="F103" s="268"/>
      <c r="G103" s="277"/>
      <c r="H103" s="277"/>
      <c r="I103" s="277"/>
      <c r="J103" s="269"/>
      <c r="K103" s="268"/>
      <c r="L103" s="277"/>
      <c r="M103" s="277"/>
      <c r="N103" s="277"/>
      <c r="O103" s="269"/>
      <c r="P103" s="272"/>
      <c r="Q103" s="277"/>
      <c r="R103" s="277"/>
      <c r="S103" s="277"/>
      <c r="T103" s="269"/>
      <c r="U103" s="1"/>
      <c r="V103" s="1"/>
    </row>
    <row r="104" spans="1:22" ht="24" customHeight="1" thickBot="1" x14ac:dyDescent="0.25">
      <c r="A104" s="1"/>
      <c r="B104" s="51" t="s">
        <v>10</v>
      </c>
      <c r="C104" s="43" t="s">
        <v>9</v>
      </c>
      <c r="D104" s="270"/>
      <c r="E104" s="274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1"/>
      <c r="V104" s="1"/>
    </row>
    <row r="105" spans="1:22" ht="24.95" customHeight="1" x14ac:dyDescent="0.2">
      <c r="A105" s="1"/>
      <c r="B105" s="38">
        <v>1</v>
      </c>
      <c r="C105" s="32">
        <v>16115</v>
      </c>
      <c r="D105" s="221" t="s">
        <v>289</v>
      </c>
      <c r="E105" s="206" t="s">
        <v>0</v>
      </c>
      <c r="F105" s="177"/>
      <c r="G105" s="79"/>
      <c r="H105" s="80"/>
      <c r="I105" s="2"/>
      <c r="J105" s="61"/>
      <c r="K105" s="62"/>
      <c r="L105" s="79"/>
      <c r="M105" s="80"/>
      <c r="N105" s="2"/>
      <c r="O105" s="61"/>
      <c r="P105" s="81"/>
      <c r="Q105" s="82"/>
      <c r="R105" s="36"/>
      <c r="S105" s="60"/>
      <c r="T105" s="83"/>
      <c r="U105" s="1"/>
      <c r="V105" s="1"/>
    </row>
    <row r="106" spans="1:22" ht="24.95" customHeight="1" x14ac:dyDescent="0.2">
      <c r="A106" s="1"/>
      <c r="B106" s="39">
        <f t="shared" ref="B106:B143" si="0">B105+1</f>
        <v>2</v>
      </c>
      <c r="C106" s="30">
        <v>16151</v>
      </c>
      <c r="D106" s="180" t="s">
        <v>323</v>
      </c>
      <c r="E106" s="207" t="s">
        <v>0</v>
      </c>
      <c r="F106" s="177"/>
      <c r="G106" s="60"/>
      <c r="H106" s="2"/>
      <c r="I106" s="2"/>
      <c r="J106" s="61"/>
      <c r="K106" s="62"/>
      <c r="L106" s="60"/>
      <c r="M106" s="2"/>
      <c r="N106" s="2"/>
      <c r="O106" s="61"/>
      <c r="P106" s="3"/>
      <c r="Q106" s="63"/>
      <c r="R106" s="36"/>
      <c r="S106" s="60"/>
      <c r="T106" s="64"/>
      <c r="U106" s="1"/>
      <c r="V106" s="1"/>
    </row>
    <row r="107" spans="1:22" ht="24.95" customHeight="1" x14ac:dyDescent="0.2">
      <c r="A107" s="1"/>
      <c r="B107" s="39">
        <f t="shared" si="0"/>
        <v>3</v>
      </c>
      <c r="C107" s="30">
        <v>16084</v>
      </c>
      <c r="D107" s="180" t="s">
        <v>261</v>
      </c>
      <c r="E107" s="207" t="s">
        <v>0</v>
      </c>
      <c r="F107" s="177"/>
      <c r="G107" s="60"/>
      <c r="H107" s="2"/>
      <c r="I107" s="2"/>
      <c r="J107" s="61"/>
      <c r="K107" s="62"/>
      <c r="L107" s="60"/>
      <c r="M107" s="2"/>
      <c r="N107" s="2"/>
      <c r="O107" s="61"/>
      <c r="P107" s="3"/>
      <c r="Q107" s="63"/>
      <c r="R107" s="36"/>
      <c r="S107" s="60"/>
      <c r="T107" s="64"/>
      <c r="U107" s="1"/>
      <c r="V107" s="1"/>
    </row>
    <row r="108" spans="1:22" ht="24.95" customHeight="1" x14ac:dyDescent="0.2">
      <c r="A108" s="1"/>
      <c r="B108" s="39">
        <f t="shared" si="0"/>
        <v>4</v>
      </c>
      <c r="C108" s="30">
        <v>16085</v>
      </c>
      <c r="D108" s="180" t="s">
        <v>262</v>
      </c>
      <c r="E108" s="207" t="s">
        <v>0</v>
      </c>
      <c r="F108" s="177"/>
      <c r="G108" s="60"/>
      <c r="H108" s="2"/>
      <c r="I108" s="2"/>
      <c r="J108" s="61"/>
      <c r="K108" s="62"/>
      <c r="L108" s="60"/>
      <c r="M108" s="2"/>
      <c r="N108" s="2"/>
      <c r="O108" s="61"/>
      <c r="P108" s="3"/>
      <c r="Q108" s="63"/>
      <c r="R108" s="36"/>
      <c r="S108" s="60"/>
      <c r="T108" s="64"/>
      <c r="U108" s="1"/>
      <c r="V108" s="1"/>
    </row>
    <row r="109" spans="1:22" ht="24.95" customHeight="1" x14ac:dyDescent="0.2">
      <c r="A109" s="1"/>
      <c r="B109" s="39">
        <f t="shared" si="0"/>
        <v>5</v>
      </c>
      <c r="C109" s="30">
        <v>16123</v>
      </c>
      <c r="D109" s="180" t="s">
        <v>296</v>
      </c>
      <c r="E109" s="207" t="s">
        <v>0</v>
      </c>
      <c r="F109" s="177"/>
      <c r="G109" s="60"/>
      <c r="H109" s="2"/>
      <c r="I109" s="2"/>
      <c r="J109" s="61"/>
      <c r="K109" s="62"/>
      <c r="L109" s="60"/>
      <c r="M109" s="2"/>
      <c r="N109" s="2"/>
      <c r="O109" s="61"/>
      <c r="P109" s="3"/>
      <c r="Q109" s="63"/>
      <c r="R109" s="36"/>
      <c r="S109" s="60"/>
      <c r="T109" s="64"/>
      <c r="U109" s="1"/>
      <c r="V109" s="1"/>
    </row>
    <row r="110" spans="1:22" ht="24.95" customHeight="1" x14ac:dyDescent="0.2">
      <c r="A110" s="1"/>
      <c r="B110" s="39">
        <f t="shared" si="0"/>
        <v>6</v>
      </c>
      <c r="C110" s="30">
        <v>16229</v>
      </c>
      <c r="D110" s="180" t="s">
        <v>379</v>
      </c>
      <c r="E110" s="207" t="s">
        <v>0</v>
      </c>
      <c r="F110" s="177"/>
      <c r="G110" s="60"/>
      <c r="H110" s="2"/>
      <c r="I110" s="2"/>
      <c r="J110" s="61"/>
      <c r="K110" s="62"/>
      <c r="L110" s="60"/>
      <c r="M110" s="2"/>
      <c r="N110" s="2"/>
      <c r="O110" s="61"/>
      <c r="P110" s="3"/>
      <c r="Q110" s="63"/>
      <c r="R110" s="36"/>
      <c r="S110" s="60"/>
      <c r="T110" s="64"/>
      <c r="U110" s="1"/>
      <c r="V110" s="1"/>
    </row>
    <row r="111" spans="1:22" ht="24.95" customHeight="1" x14ac:dyDescent="0.2">
      <c r="A111" s="1"/>
      <c r="B111" s="39">
        <f t="shared" si="0"/>
        <v>7</v>
      </c>
      <c r="C111" s="30">
        <v>16192</v>
      </c>
      <c r="D111" s="180" t="s">
        <v>352</v>
      </c>
      <c r="E111" s="207" t="s">
        <v>0</v>
      </c>
      <c r="F111" s="177"/>
      <c r="G111" s="60"/>
      <c r="H111" s="2"/>
      <c r="I111" s="2"/>
      <c r="J111" s="61"/>
      <c r="K111" s="62"/>
      <c r="L111" s="60"/>
      <c r="M111" s="2"/>
      <c r="N111" s="2"/>
      <c r="O111" s="61"/>
      <c r="P111" s="3"/>
      <c r="Q111" s="63"/>
      <c r="R111" s="36"/>
      <c r="S111" s="60"/>
      <c r="T111" s="64"/>
      <c r="U111" s="1"/>
      <c r="V111" s="1"/>
    </row>
    <row r="112" spans="1:22" ht="24.95" customHeight="1" x14ac:dyDescent="0.2">
      <c r="A112" s="1"/>
      <c r="B112" s="39">
        <f t="shared" si="0"/>
        <v>8</v>
      </c>
      <c r="C112" s="30">
        <v>16193</v>
      </c>
      <c r="D112" s="180" t="s">
        <v>531</v>
      </c>
      <c r="E112" s="207" t="s">
        <v>0</v>
      </c>
      <c r="F112" s="177"/>
      <c r="G112" s="60"/>
      <c r="H112" s="2"/>
      <c r="I112" s="2"/>
      <c r="J112" s="61"/>
      <c r="K112" s="62"/>
      <c r="L112" s="60"/>
      <c r="M112" s="2"/>
      <c r="N112" s="2"/>
      <c r="O112" s="61"/>
      <c r="P112" s="3"/>
      <c r="Q112" s="63"/>
      <c r="R112" s="36"/>
      <c r="S112" s="60"/>
      <c r="T112" s="64"/>
      <c r="U112" s="1"/>
      <c r="V112" s="1"/>
    </row>
    <row r="113" spans="1:22" ht="24.95" customHeight="1" x14ac:dyDescent="0.2">
      <c r="A113" s="1"/>
      <c r="B113" s="39">
        <f t="shared" si="0"/>
        <v>9</v>
      </c>
      <c r="C113" s="30">
        <v>16195</v>
      </c>
      <c r="D113" s="180" t="s">
        <v>353</v>
      </c>
      <c r="E113" s="207" t="s">
        <v>0</v>
      </c>
      <c r="F113" s="177"/>
      <c r="G113" s="60"/>
      <c r="H113" s="2"/>
      <c r="I113" s="2"/>
      <c r="J113" s="61"/>
      <c r="K113" s="62"/>
      <c r="L113" s="60"/>
      <c r="M113" s="2"/>
      <c r="N113" s="2"/>
      <c r="O113" s="61"/>
      <c r="P113" s="3"/>
      <c r="Q113" s="63"/>
      <c r="R113" s="36"/>
      <c r="S113" s="60"/>
      <c r="T113" s="64"/>
      <c r="U113" s="1"/>
      <c r="V113" s="1"/>
    </row>
    <row r="114" spans="1:22" ht="24.95" customHeight="1" x14ac:dyDescent="0.2">
      <c r="A114" s="1"/>
      <c r="B114" s="39">
        <f t="shared" si="0"/>
        <v>10</v>
      </c>
      <c r="C114" s="30">
        <v>16088</v>
      </c>
      <c r="D114" s="180" t="s">
        <v>513</v>
      </c>
      <c r="E114" s="207" t="s">
        <v>0</v>
      </c>
      <c r="F114" s="177"/>
      <c r="G114" s="60"/>
      <c r="H114" s="2"/>
      <c r="I114" s="2"/>
      <c r="J114" s="61"/>
      <c r="K114" s="62"/>
      <c r="L114" s="60"/>
      <c r="M114" s="2"/>
      <c r="N114" s="2"/>
      <c r="O114" s="61"/>
      <c r="P114" s="3"/>
      <c r="Q114" s="63"/>
      <c r="R114" s="36"/>
      <c r="S114" s="60"/>
      <c r="T114" s="64"/>
      <c r="U114" s="1"/>
      <c r="V114" s="1"/>
    </row>
    <row r="115" spans="1:22" ht="24.95" customHeight="1" x14ac:dyDescent="0.2">
      <c r="A115" s="1"/>
      <c r="B115" s="39">
        <f t="shared" si="0"/>
        <v>11</v>
      </c>
      <c r="C115" s="30">
        <v>16092</v>
      </c>
      <c r="D115" s="180" t="s">
        <v>265</v>
      </c>
      <c r="E115" s="207" t="s">
        <v>0</v>
      </c>
      <c r="F115" s="177"/>
      <c r="G115" s="60"/>
      <c r="H115" s="2"/>
      <c r="I115" s="2"/>
      <c r="J115" s="61"/>
      <c r="K115" s="62"/>
      <c r="L115" s="60"/>
      <c r="M115" s="2"/>
      <c r="N115" s="2"/>
      <c r="O115" s="61"/>
      <c r="P115" s="3"/>
      <c r="Q115" s="63"/>
      <c r="R115" s="36"/>
      <c r="S115" s="60"/>
      <c r="T115" s="64"/>
      <c r="U115" s="1"/>
      <c r="V115" s="1"/>
    </row>
    <row r="116" spans="1:22" ht="24.95" customHeight="1" x14ac:dyDescent="0.2">
      <c r="A116" s="1"/>
      <c r="B116" s="39">
        <f t="shared" si="0"/>
        <v>12</v>
      </c>
      <c r="C116" s="30">
        <v>16165</v>
      </c>
      <c r="D116" s="180" t="s">
        <v>528</v>
      </c>
      <c r="E116" s="207" t="s">
        <v>0</v>
      </c>
      <c r="F116" s="177"/>
      <c r="G116" s="60"/>
      <c r="H116" s="2"/>
      <c r="I116" s="2"/>
      <c r="J116" s="61"/>
      <c r="K116" s="62"/>
      <c r="L116" s="60"/>
      <c r="M116" s="2"/>
      <c r="N116" s="2"/>
      <c r="O116" s="61"/>
      <c r="P116" s="3"/>
      <c r="Q116" s="63"/>
      <c r="R116" s="36"/>
      <c r="S116" s="60"/>
      <c r="T116" s="64"/>
      <c r="U116" s="1"/>
      <c r="V116" s="1"/>
    </row>
    <row r="117" spans="1:22" ht="24.95" customHeight="1" x14ac:dyDescent="0.2">
      <c r="A117" s="1"/>
      <c r="B117" s="39">
        <f t="shared" si="0"/>
        <v>13</v>
      </c>
      <c r="C117" s="30">
        <v>16197</v>
      </c>
      <c r="D117" s="180" t="s">
        <v>355</v>
      </c>
      <c r="E117" s="207" t="s">
        <v>0</v>
      </c>
      <c r="F117" s="177"/>
      <c r="G117" s="60"/>
      <c r="H117" s="2"/>
      <c r="I117" s="2"/>
      <c r="J117" s="61"/>
      <c r="K117" s="62"/>
      <c r="L117" s="60"/>
      <c r="M117" s="2"/>
      <c r="N117" s="2"/>
      <c r="O117" s="61"/>
      <c r="P117" s="3"/>
      <c r="Q117" s="63"/>
      <c r="R117" s="93"/>
      <c r="S117" s="55"/>
      <c r="T117" s="64"/>
      <c r="U117" s="1"/>
      <c r="V117" s="1"/>
    </row>
    <row r="118" spans="1:22" ht="24.95" customHeight="1" x14ac:dyDescent="0.2">
      <c r="A118" s="1"/>
      <c r="B118" s="39">
        <f t="shared" si="0"/>
        <v>14</v>
      </c>
      <c r="C118" s="30">
        <v>16200</v>
      </c>
      <c r="D118" s="180" t="s">
        <v>356</v>
      </c>
      <c r="E118" s="207" t="s">
        <v>0</v>
      </c>
      <c r="F118" s="177"/>
      <c r="G118" s="60"/>
      <c r="H118" s="2"/>
      <c r="I118" s="2"/>
      <c r="J118" s="61"/>
      <c r="K118" s="62"/>
      <c r="L118" s="60"/>
      <c r="M118" s="2"/>
      <c r="N118" s="2"/>
      <c r="O118" s="61"/>
      <c r="P118" s="3"/>
      <c r="Q118" s="63"/>
      <c r="R118" s="36"/>
      <c r="S118" s="60"/>
      <c r="T118" s="64"/>
      <c r="U118" s="1"/>
      <c r="V118" s="1"/>
    </row>
    <row r="119" spans="1:22" ht="24.95" customHeight="1" x14ac:dyDescent="0.2">
      <c r="A119" s="1"/>
      <c r="B119" s="39">
        <f t="shared" si="0"/>
        <v>15</v>
      </c>
      <c r="C119" s="30">
        <v>16168</v>
      </c>
      <c r="D119" s="180" t="s">
        <v>334</v>
      </c>
      <c r="E119" s="207" t="s">
        <v>0</v>
      </c>
      <c r="F119" s="177"/>
      <c r="G119" s="60"/>
      <c r="H119" s="2"/>
      <c r="I119" s="2"/>
      <c r="J119" s="61"/>
      <c r="K119" s="62"/>
      <c r="L119" s="60"/>
      <c r="M119" s="2"/>
      <c r="N119" s="2"/>
      <c r="O119" s="61"/>
      <c r="P119" s="3"/>
      <c r="Q119" s="63"/>
      <c r="R119" s="36"/>
      <c r="S119" s="60"/>
      <c r="T119" s="64"/>
      <c r="U119" s="1"/>
      <c r="V119" s="1"/>
    </row>
    <row r="120" spans="1:22" ht="24.95" customHeight="1" x14ac:dyDescent="0.2">
      <c r="A120" s="1"/>
      <c r="B120" s="39">
        <f t="shared" si="0"/>
        <v>16</v>
      </c>
      <c r="C120" s="30">
        <v>16236</v>
      </c>
      <c r="D120" s="180" t="s">
        <v>386</v>
      </c>
      <c r="E120" s="207" t="s">
        <v>0</v>
      </c>
      <c r="F120" s="177"/>
      <c r="G120" s="60"/>
      <c r="H120" s="2"/>
      <c r="I120" s="2"/>
      <c r="J120" s="61"/>
      <c r="K120" s="62"/>
      <c r="L120" s="60"/>
      <c r="M120" s="2"/>
      <c r="N120" s="2"/>
      <c r="O120" s="61"/>
      <c r="P120" s="3"/>
      <c r="Q120" s="63"/>
      <c r="R120" s="36"/>
      <c r="S120" s="60"/>
      <c r="T120" s="64"/>
      <c r="U120" s="1"/>
      <c r="V120" s="1"/>
    </row>
    <row r="121" spans="1:22" ht="24.95" customHeight="1" x14ac:dyDescent="0.2">
      <c r="A121" s="1"/>
      <c r="B121" s="39">
        <f t="shared" si="0"/>
        <v>17</v>
      </c>
      <c r="C121" s="30">
        <v>16237</v>
      </c>
      <c r="D121" s="180" t="s">
        <v>387</v>
      </c>
      <c r="E121" s="207" t="s">
        <v>0</v>
      </c>
      <c r="F121" s="177"/>
      <c r="G121" s="60"/>
      <c r="H121" s="2"/>
      <c r="I121" s="2"/>
      <c r="J121" s="61"/>
      <c r="K121" s="62"/>
      <c r="L121" s="60"/>
      <c r="M121" s="2"/>
      <c r="N121" s="2"/>
      <c r="O121" s="61"/>
      <c r="P121" s="3"/>
      <c r="Q121" s="63"/>
      <c r="R121" s="36"/>
      <c r="S121" s="60"/>
      <c r="T121" s="64"/>
      <c r="U121" s="1"/>
      <c r="V121" s="1"/>
    </row>
    <row r="122" spans="1:22" ht="24.95" customHeight="1" x14ac:dyDescent="0.2">
      <c r="A122" s="1"/>
      <c r="B122" s="39">
        <f t="shared" si="0"/>
        <v>18</v>
      </c>
      <c r="C122" s="30">
        <v>16203</v>
      </c>
      <c r="D122" s="180" t="s">
        <v>546</v>
      </c>
      <c r="E122" s="207" t="s">
        <v>0</v>
      </c>
      <c r="F122" s="177"/>
      <c r="G122" s="60"/>
      <c r="H122" s="2"/>
      <c r="I122" s="2"/>
      <c r="J122" s="61"/>
      <c r="K122" s="62"/>
      <c r="L122" s="60"/>
      <c r="M122" s="2"/>
      <c r="N122" s="2"/>
      <c r="O122" s="61"/>
      <c r="P122" s="3"/>
      <c r="Q122" s="63"/>
      <c r="R122" s="36"/>
      <c r="S122" s="60"/>
      <c r="T122" s="64"/>
      <c r="U122" s="1"/>
      <c r="V122" s="1"/>
    </row>
    <row r="123" spans="1:22" ht="24.95" customHeight="1" x14ac:dyDescent="0.2">
      <c r="A123" s="1"/>
      <c r="B123" s="39">
        <f t="shared" si="0"/>
        <v>19</v>
      </c>
      <c r="C123" s="30">
        <v>16137</v>
      </c>
      <c r="D123" s="180" t="s">
        <v>307</v>
      </c>
      <c r="E123" s="207" t="s">
        <v>0</v>
      </c>
      <c r="F123" s="177"/>
      <c r="G123" s="60"/>
      <c r="H123" s="2"/>
      <c r="I123" s="2"/>
      <c r="J123" s="61"/>
      <c r="K123" s="62"/>
      <c r="L123" s="60"/>
      <c r="M123" s="2"/>
      <c r="N123" s="2"/>
      <c r="O123" s="61"/>
      <c r="P123" s="3"/>
      <c r="Q123" s="63"/>
      <c r="R123" s="36"/>
      <c r="S123" s="60"/>
      <c r="T123" s="64"/>
      <c r="U123" s="1"/>
      <c r="V123" s="1"/>
    </row>
    <row r="124" spans="1:22" ht="24.95" customHeight="1" x14ac:dyDescent="0.2">
      <c r="A124" s="1"/>
      <c r="B124" s="39">
        <f t="shared" si="0"/>
        <v>20</v>
      </c>
      <c r="C124" s="30">
        <v>16170</v>
      </c>
      <c r="D124" s="180" t="s">
        <v>336</v>
      </c>
      <c r="E124" s="207" t="s">
        <v>0</v>
      </c>
      <c r="F124" s="177"/>
      <c r="G124" s="60"/>
      <c r="H124" s="2"/>
      <c r="I124" s="2"/>
      <c r="J124" s="61"/>
      <c r="K124" s="62"/>
      <c r="L124" s="60"/>
      <c r="M124" s="2"/>
      <c r="N124" s="2"/>
      <c r="O124" s="61"/>
      <c r="P124" s="3"/>
      <c r="Q124" s="63"/>
      <c r="R124" s="36"/>
      <c r="S124" s="60"/>
      <c r="T124" s="64"/>
      <c r="U124" s="1"/>
      <c r="V124" s="1"/>
    </row>
    <row r="125" spans="1:22" ht="24.95" customHeight="1" x14ac:dyDescent="0.2">
      <c r="A125" s="1"/>
      <c r="B125" s="39">
        <f t="shared" si="0"/>
        <v>21</v>
      </c>
      <c r="C125" s="30">
        <v>16104</v>
      </c>
      <c r="D125" s="180" t="s">
        <v>277</v>
      </c>
      <c r="E125" s="207" t="s">
        <v>0</v>
      </c>
      <c r="F125" s="177"/>
      <c r="G125" s="65"/>
      <c r="H125" s="2"/>
      <c r="I125" s="2"/>
      <c r="J125" s="61"/>
      <c r="K125" s="62"/>
      <c r="L125" s="65"/>
      <c r="M125" s="2"/>
      <c r="N125" s="2"/>
      <c r="O125" s="61"/>
      <c r="P125" s="3"/>
      <c r="Q125" s="63"/>
      <c r="R125" s="93"/>
      <c r="S125" s="55"/>
      <c r="T125" s="64"/>
      <c r="U125" s="1"/>
      <c r="V125" s="1"/>
    </row>
    <row r="126" spans="1:22" ht="24.95" customHeight="1" x14ac:dyDescent="0.2">
      <c r="A126" s="1"/>
      <c r="B126" s="39">
        <f t="shared" si="0"/>
        <v>22</v>
      </c>
      <c r="C126" s="30">
        <v>16146</v>
      </c>
      <c r="D126" s="180" t="s">
        <v>316</v>
      </c>
      <c r="E126" s="207" t="s">
        <v>0</v>
      </c>
      <c r="F126" s="177"/>
      <c r="G126" s="65"/>
      <c r="H126" s="2"/>
      <c r="I126" s="2"/>
      <c r="J126" s="61"/>
      <c r="K126" s="62"/>
      <c r="L126" s="65"/>
      <c r="M126" s="2"/>
      <c r="N126" s="2"/>
      <c r="O126" s="61"/>
      <c r="P126" s="3"/>
      <c r="Q126" s="63"/>
      <c r="R126" s="93"/>
      <c r="S126" s="55"/>
      <c r="T126" s="64"/>
      <c r="U126" s="1"/>
      <c r="V126" s="1"/>
    </row>
    <row r="127" spans="1:22" ht="24.95" customHeight="1" x14ac:dyDescent="0.2">
      <c r="A127" s="1"/>
      <c r="B127" s="39">
        <f t="shared" si="0"/>
        <v>23</v>
      </c>
      <c r="C127" s="30">
        <v>16217</v>
      </c>
      <c r="D127" s="180" t="s">
        <v>368</v>
      </c>
      <c r="E127" s="207" t="s">
        <v>0</v>
      </c>
      <c r="F127" s="177"/>
      <c r="G127" s="65"/>
      <c r="H127" s="2"/>
      <c r="I127" s="2"/>
      <c r="J127" s="61"/>
      <c r="K127" s="62"/>
      <c r="L127" s="65"/>
      <c r="M127" s="2"/>
      <c r="N127" s="2"/>
      <c r="O127" s="61"/>
      <c r="P127" s="3"/>
      <c r="Q127" s="63"/>
      <c r="R127" s="36"/>
      <c r="S127" s="60"/>
      <c r="T127" s="64"/>
      <c r="U127" s="1"/>
      <c r="V127" s="1"/>
    </row>
    <row r="128" spans="1:22" ht="24.95" customHeight="1" x14ac:dyDescent="0.2">
      <c r="A128" s="1"/>
      <c r="B128" s="39">
        <f t="shared" si="0"/>
        <v>24</v>
      </c>
      <c r="C128" s="30">
        <v>16252</v>
      </c>
      <c r="D128" s="180" t="s">
        <v>400</v>
      </c>
      <c r="E128" s="207" t="s">
        <v>0</v>
      </c>
      <c r="F128" s="177"/>
      <c r="G128" s="60"/>
      <c r="H128" s="2"/>
      <c r="I128" s="2"/>
      <c r="J128" s="61"/>
      <c r="K128" s="62"/>
      <c r="L128" s="60"/>
      <c r="M128" s="2"/>
      <c r="N128" s="2"/>
      <c r="O128" s="61"/>
      <c r="P128" s="3"/>
      <c r="Q128" s="63"/>
      <c r="R128" s="36"/>
      <c r="S128" s="60"/>
      <c r="T128" s="64"/>
      <c r="U128" s="1"/>
      <c r="V128" s="1"/>
    </row>
    <row r="129" spans="1:22" ht="24.95" customHeight="1" x14ac:dyDescent="0.2">
      <c r="A129" s="1"/>
      <c r="B129" s="39">
        <f t="shared" si="0"/>
        <v>25</v>
      </c>
      <c r="C129" s="30">
        <v>16110</v>
      </c>
      <c r="D129" s="180" t="s">
        <v>283</v>
      </c>
      <c r="E129" s="207" t="s">
        <v>0</v>
      </c>
      <c r="F129" s="177"/>
      <c r="G129" s="65"/>
      <c r="H129" s="2"/>
      <c r="I129" s="2"/>
      <c r="J129" s="61"/>
      <c r="K129" s="62"/>
      <c r="L129" s="65"/>
      <c r="M129" s="2"/>
      <c r="N129" s="2"/>
      <c r="O129" s="61"/>
      <c r="P129" s="3"/>
      <c r="Q129" s="63"/>
      <c r="R129" s="36"/>
      <c r="S129" s="60"/>
      <c r="T129" s="64"/>
      <c r="U129" s="1"/>
      <c r="V129" s="1"/>
    </row>
    <row r="130" spans="1:22" ht="24.95" customHeight="1" x14ac:dyDescent="0.2">
      <c r="A130" s="1"/>
      <c r="B130" s="39">
        <f t="shared" si="0"/>
        <v>26</v>
      </c>
      <c r="C130" s="30">
        <v>16184</v>
      </c>
      <c r="D130" s="180" t="s">
        <v>343</v>
      </c>
      <c r="E130" s="207" t="s">
        <v>0</v>
      </c>
      <c r="F130" s="177"/>
      <c r="G130" s="66"/>
      <c r="H130" s="67"/>
      <c r="I130" s="67"/>
      <c r="J130" s="68"/>
      <c r="K130" s="62"/>
      <c r="L130" s="66"/>
      <c r="M130" s="67"/>
      <c r="N130" s="67"/>
      <c r="O130" s="68"/>
      <c r="P130" s="40"/>
      <c r="Q130" s="69"/>
      <c r="R130" s="178"/>
      <c r="S130" s="90"/>
      <c r="T130" s="70"/>
      <c r="U130" s="1"/>
      <c r="V130" s="1"/>
    </row>
    <row r="131" spans="1:22" ht="24.95" customHeight="1" x14ac:dyDescent="0.2">
      <c r="A131" s="1"/>
      <c r="B131" s="39">
        <f t="shared" si="0"/>
        <v>27</v>
      </c>
      <c r="C131" s="30"/>
      <c r="D131" s="180"/>
      <c r="E131" s="207" t="s">
        <v>0</v>
      </c>
      <c r="F131" s="177"/>
      <c r="G131" s="66"/>
      <c r="H131" s="67"/>
      <c r="I131" s="67"/>
      <c r="J131" s="68"/>
      <c r="K131" s="62"/>
      <c r="L131" s="66"/>
      <c r="M131" s="67"/>
      <c r="N131" s="67"/>
      <c r="O131" s="68"/>
      <c r="P131" s="40"/>
      <c r="Q131" s="69"/>
      <c r="R131" s="178"/>
      <c r="S131" s="90"/>
      <c r="T131" s="70"/>
      <c r="U131" s="1"/>
      <c r="V131" s="1"/>
    </row>
    <row r="132" spans="1:22" ht="24.95" customHeight="1" x14ac:dyDescent="0.2">
      <c r="A132" s="1"/>
      <c r="B132" s="39">
        <f t="shared" si="0"/>
        <v>28</v>
      </c>
      <c r="C132" s="30"/>
      <c r="D132" s="180"/>
      <c r="E132" s="207" t="s">
        <v>0</v>
      </c>
      <c r="F132" s="177"/>
      <c r="G132" s="66"/>
      <c r="H132" s="67"/>
      <c r="I132" s="67"/>
      <c r="J132" s="68"/>
      <c r="K132" s="62"/>
      <c r="L132" s="66"/>
      <c r="M132" s="67"/>
      <c r="N132" s="67"/>
      <c r="O132" s="68"/>
      <c r="P132" s="40"/>
      <c r="Q132" s="69"/>
      <c r="R132" s="178"/>
      <c r="S132" s="90"/>
      <c r="T132" s="70"/>
      <c r="U132" s="1"/>
      <c r="V132" s="1"/>
    </row>
    <row r="133" spans="1:22" ht="24.95" customHeight="1" x14ac:dyDescent="0.2">
      <c r="A133" s="1"/>
      <c r="B133" s="39">
        <f t="shared" si="0"/>
        <v>29</v>
      </c>
      <c r="C133" s="30"/>
      <c r="D133" s="180"/>
      <c r="E133" s="207" t="s">
        <v>0</v>
      </c>
      <c r="F133" s="177"/>
      <c r="G133" s="66"/>
      <c r="H133" s="67"/>
      <c r="I133" s="67"/>
      <c r="J133" s="68"/>
      <c r="K133" s="62"/>
      <c r="L133" s="66"/>
      <c r="M133" s="67"/>
      <c r="N133" s="67"/>
      <c r="O133" s="68"/>
      <c r="P133" s="40"/>
      <c r="Q133" s="69"/>
      <c r="R133" s="178"/>
      <c r="S133" s="90"/>
      <c r="T133" s="70"/>
      <c r="U133" s="1"/>
      <c r="V133" s="1"/>
    </row>
    <row r="134" spans="1:22" ht="24.95" customHeight="1" x14ac:dyDescent="0.2">
      <c r="A134" s="1"/>
      <c r="B134" s="39">
        <f t="shared" si="0"/>
        <v>30</v>
      </c>
      <c r="C134" s="30"/>
      <c r="D134" s="180"/>
      <c r="E134" s="207" t="s">
        <v>0</v>
      </c>
      <c r="F134" s="177"/>
      <c r="G134" s="66"/>
      <c r="H134" s="67"/>
      <c r="I134" s="67"/>
      <c r="J134" s="68"/>
      <c r="K134" s="62"/>
      <c r="L134" s="66"/>
      <c r="M134" s="67"/>
      <c r="N134" s="67"/>
      <c r="O134" s="68"/>
      <c r="P134" s="40"/>
      <c r="Q134" s="69"/>
      <c r="R134" s="178"/>
      <c r="S134" s="90"/>
      <c r="T134" s="70"/>
      <c r="U134" s="1"/>
      <c r="V134" s="1"/>
    </row>
    <row r="135" spans="1:22" ht="24.95" customHeight="1" x14ac:dyDescent="0.2">
      <c r="A135" s="1"/>
      <c r="B135" s="39">
        <f t="shared" si="0"/>
        <v>31</v>
      </c>
      <c r="C135" s="30"/>
      <c r="D135" s="180"/>
      <c r="E135" s="207" t="s">
        <v>0</v>
      </c>
      <c r="F135" s="177"/>
      <c r="G135" s="66"/>
      <c r="H135" s="67"/>
      <c r="I135" s="67"/>
      <c r="J135" s="68"/>
      <c r="K135" s="62"/>
      <c r="L135" s="66"/>
      <c r="M135" s="67"/>
      <c r="N135" s="67"/>
      <c r="O135" s="68"/>
      <c r="P135" s="40"/>
      <c r="Q135" s="69"/>
      <c r="R135" s="178"/>
      <c r="S135" s="90"/>
      <c r="T135" s="70"/>
      <c r="U135" s="1"/>
      <c r="V135" s="1"/>
    </row>
    <row r="136" spans="1:22" ht="24.95" customHeight="1" x14ac:dyDescent="0.2">
      <c r="A136" s="1"/>
      <c r="B136" s="39">
        <f t="shared" si="0"/>
        <v>32</v>
      </c>
      <c r="C136" s="30"/>
      <c r="D136" s="180"/>
      <c r="E136" s="207" t="s">
        <v>0</v>
      </c>
      <c r="F136" s="177"/>
      <c r="G136" s="66"/>
      <c r="H136" s="67"/>
      <c r="I136" s="67"/>
      <c r="J136" s="68"/>
      <c r="K136" s="62"/>
      <c r="L136" s="66"/>
      <c r="M136" s="67"/>
      <c r="N136" s="67"/>
      <c r="O136" s="68"/>
      <c r="P136" s="40"/>
      <c r="Q136" s="69"/>
      <c r="R136" s="178"/>
      <c r="S136" s="90"/>
      <c r="T136" s="70"/>
      <c r="U136" s="1"/>
      <c r="V136" s="1"/>
    </row>
    <row r="137" spans="1:22" ht="24.95" customHeight="1" x14ac:dyDescent="0.2">
      <c r="A137" s="1"/>
      <c r="B137" s="39">
        <f t="shared" si="0"/>
        <v>33</v>
      </c>
      <c r="C137" s="30"/>
      <c r="D137" s="180"/>
      <c r="E137" s="207" t="s">
        <v>0</v>
      </c>
      <c r="F137" s="177"/>
      <c r="G137" s="66"/>
      <c r="H137" s="67"/>
      <c r="I137" s="67"/>
      <c r="J137" s="68"/>
      <c r="K137" s="62"/>
      <c r="L137" s="66"/>
      <c r="M137" s="67"/>
      <c r="N137" s="67"/>
      <c r="O137" s="68"/>
      <c r="P137" s="40"/>
      <c r="Q137" s="69"/>
      <c r="R137" s="178"/>
      <c r="S137" s="90"/>
      <c r="T137" s="70"/>
      <c r="U137" s="1"/>
      <c r="V137" s="1"/>
    </row>
    <row r="138" spans="1:22" ht="24.95" customHeight="1" x14ac:dyDescent="0.2">
      <c r="A138" s="1"/>
      <c r="B138" s="39">
        <f t="shared" si="0"/>
        <v>34</v>
      </c>
      <c r="C138" s="30"/>
      <c r="D138" s="180"/>
      <c r="E138" s="207" t="s">
        <v>0</v>
      </c>
      <c r="F138" s="177"/>
      <c r="G138" s="66"/>
      <c r="H138" s="67"/>
      <c r="I138" s="67"/>
      <c r="J138" s="68"/>
      <c r="K138" s="62"/>
      <c r="L138" s="66"/>
      <c r="M138" s="67"/>
      <c r="N138" s="67"/>
      <c r="O138" s="68"/>
      <c r="P138" s="40"/>
      <c r="Q138" s="69"/>
      <c r="R138" s="178"/>
      <c r="S138" s="90"/>
      <c r="T138" s="70"/>
      <c r="U138" s="1"/>
      <c r="V138" s="1"/>
    </row>
    <row r="139" spans="1:22" ht="24.95" customHeight="1" x14ac:dyDescent="0.2">
      <c r="A139" s="1"/>
      <c r="B139" s="39">
        <f t="shared" si="0"/>
        <v>35</v>
      </c>
      <c r="C139" s="30"/>
      <c r="D139" s="180"/>
      <c r="E139" s="207" t="s">
        <v>0</v>
      </c>
      <c r="F139" s="177"/>
      <c r="G139" s="66"/>
      <c r="H139" s="67"/>
      <c r="I139" s="67"/>
      <c r="J139" s="68"/>
      <c r="K139" s="62"/>
      <c r="L139" s="66"/>
      <c r="M139" s="67"/>
      <c r="N139" s="67"/>
      <c r="O139" s="68"/>
      <c r="P139" s="40"/>
      <c r="Q139" s="69"/>
      <c r="R139" s="178"/>
      <c r="S139" s="90"/>
      <c r="T139" s="70"/>
      <c r="U139" s="1"/>
      <c r="V139" s="1"/>
    </row>
    <row r="140" spans="1:22" ht="24.95" customHeight="1" x14ac:dyDescent="0.2">
      <c r="A140" s="1"/>
      <c r="B140" s="39">
        <f t="shared" si="0"/>
        <v>36</v>
      </c>
      <c r="C140" s="30"/>
      <c r="D140" s="180"/>
      <c r="E140" s="207" t="s">
        <v>0</v>
      </c>
      <c r="F140" s="177"/>
      <c r="G140" s="66"/>
      <c r="H140" s="67"/>
      <c r="I140" s="67"/>
      <c r="J140" s="68"/>
      <c r="K140" s="62"/>
      <c r="L140" s="66"/>
      <c r="M140" s="67"/>
      <c r="N140" s="67"/>
      <c r="O140" s="68"/>
      <c r="P140" s="40"/>
      <c r="Q140" s="69"/>
      <c r="R140" s="178"/>
      <c r="S140" s="90"/>
      <c r="T140" s="70"/>
      <c r="U140" s="1"/>
      <c r="V140" s="1"/>
    </row>
    <row r="141" spans="1:22" ht="24.95" customHeight="1" x14ac:dyDescent="0.2">
      <c r="A141" s="1"/>
      <c r="B141" s="39">
        <f t="shared" si="0"/>
        <v>37</v>
      </c>
      <c r="C141" s="30"/>
      <c r="D141" s="180"/>
      <c r="E141" s="207" t="s">
        <v>0</v>
      </c>
      <c r="F141" s="177"/>
      <c r="G141" s="66"/>
      <c r="H141" s="67"/>
      <c r="I141" s="67"/>
      <c r="J141" s="68"/>
      <c r="K141" s="62"/>
      <c r="L141" s="66"/>
      <c r="M141" s="67"/>
      <c r="N141" s="67"/>
      <c r="O141" s="68"/>
      <c r="P141" s="40"/>
      <c r="Q141" s="69"/>
      <c r="R141" s="178"/>
      <c r="S141" s="90"/>
      <c r="T141" s="70"/>
      <c r="U141" s="1"/>
      <c r="V141" s="1"/>
    </row>
    <row r="142" spans="1:22" ht="24.95" customHeight="1" x14ac:dyDescent="0.2">
      <c r="A142" s="1"/>
      <c r="B142" s="39">
        <f t="shared" si="0"/>
        <v>38</v>
      </c>
      <c r="C142" s="30"/>
      <c r="D142" s="180"/>
      <c r="E142" s="207" t="s">
        <v>0</v>
      </c>
      <c r="F142" s="177"/>
      <c r="G142" s="66"/>
      <c r="H142" s="67"/>
      <c r="I142" s="67"/>
      <c r="J142" s="68"/>
      <c r="K142" s="62"/>
      <c r="L142" s="66"/>
      <c r="M142" s="67"/>
      <c r="N142" s="67"/>
      <c r="O142" s="68"/>
      <c r="P142" s="40"/>
      <c r="Q142" s="69"/>
      <c r="R142" s="178"/>
      <c r="S142" s="90"/>
      <c r="T142" s="70"/>
      <c r="U142" s="1"/>
      <c r="V142" s="1"/>
    </row>
    <row r="143" spans="1:22" ht="24.95" customHeight="1" x14ac:dyDescent="0.2">
      <c r="A143" s="1"/>
      <c r="B143" s="39">
        <f t="shared" si="0"/>
        <v>39</v>
      </c>
      <c r="C143" s="30"/>
      <c r="D143" s="100"/>
      <c r="E143" s="214" t="s">
        <v>0</v>
      </c>
      <c r="F143" s="215"/>
      <c r="G143" s="65"/>
      <c r="H143" s="2"/>
      <c r="I143" s="2"/>
      <c r="J143" s="61"/>
      <c r="K143" s="62"/>
      <c r="L143" s="65"/>
      <c r="M143" s="2"/>
      <c r="N143" s="2"/>
      <c r="O143" s="61"/>
      <c r="P143" s="3"/>
      <c r="Q143" s="63"/>
      <c r="R143" s="36"/>
      <c r="S143" s="60"/>
      <c r="T143" s="64"/>
      <c r="U143" s="1"/>
      <c r="V143" s="1"/>
    </row>
    <row r="144" spans="1:22" ht="24.95" customHeight="1" thickBot="1" x14ac:dyDescent="0.25">
      <c r="A144" s="1"/>
      <c r="B144" s="52">
        <v>40</v>
      </c>
      <c r="C144" s="53"/>
      <c r="D144" s="217"/>
      <c r="E144" s="174"/>
      <c r="F144" s="73"/>
      <c r="G144" s="74"/>
      <c r="H144" s="75"/>
      <c r="I144" s="75"/>
      <c r="J144" s="76"/>
      <c r="K144" s="77"/>
      <c r="L144" s="74"/>
      <c r="M144" s="75"/>
      <c r="N144" s="75"/>
      <c r="O144" s="76"/>
      <c r="P144" s="75"/>
      <c r="Q144" s="78"/>
      <c r="R144" s="78"/>
      <c r="S144" s="78"/>
      <c r="T144" s="76"/>
      <c r="U144" s="1"/>
      <c r="V144" s="1"/>
    </row>
    <row r="145" spans="1:22" ht="18.95" customHeight="1" x14ac:dyDescent="0.2">
      <c r="V145" s="1"/>
    </row>
    <row r="146" spans="1:22" ht="18.95" customHeight="1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8.95" customHeight="1" x14ac:dyDescent="0.2">
      <c r="A147" s="1"/>
      <c r="B147" s="255"/>
      <c r="C147" s="256"/>
      <c r="D147" s="259" t="s">
        <v>3</v>
      </c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1"/>
      <c r="U147" s="1"/>
      <c r="V147" s="1"/>
    </row>
    <row r="148" spans="1:22" ht="18.95" customHeight="1" x14ac:dyDescent="0.2">
      <c r="A148" s="1"/>
      <c r="B148" s="257"/>
      <c r="C148" s="258"/>
      <c r="D148" s="262" t="s">
        <v>4</v>
      </c>
      <c r="E148" s="263"/>
      <c r="F148" s="263"/>
      <c r="G148" s="263"/>
      <c r="H148" s="263"/>
      <c r="I148" s="263"/>
      <c r="J148" s="263"/>
      <c r="K148" s="263"/>
      <c r="L148" s="263"/>
      <c r="M148" s="263"/>
      <c r="N148" s="263"/>
      <c r="O148" s="263"/>
      <c r="P148" s="263"/>
      <c r="Q148" s="263"/>
      <c r="R148" s="263"/>
      <c r="S148" s="263"/>
      <c r="T148" s="264"/>
      <c r="U148" s="1"/>
      <c r="V148" s="1"/>
    </row>
    <row r="149" spans="1:22" ht="18.95" customHeight="1" thickBot="1" x14ac:dyDescent="0.25">
      <c r="A149" s="1"/>
      <c r="B149" s="257"/>
      <c r="C149" s="258"/>
      <c r="D149" s="265" t="s">
        <v>547</v>
      </c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/>
      <c r="T149" s="267"/>
      <c r="U149" s="1"/>
      <c r="V149" s="1"/>
    </row>
    <row r="150" spans="1:22" ht="18.95" customHeight="1" thickBot="1" x14ac:dyDescent="0.25">
      <c r="A150" s="1"/>
      <c r="B150" s="268"/>
      <c r="C150" s="269"/>
      <c r="D150" s="25" t="s">
        <v>553</v>
      </c>
      <c r="E150" s="26"/>
      <c r="F150" s="27" t="s">
        <v>813</v>
      </c>
      <c r="G150" s="27"/>
      <c r="H150" s="27"/>
      <c r="I150" s="28"/>
      <c r="J150" s="28"/>
      <c r="K150" s="27"/>
      <c r="L150" s="27"/>
      <c r="M150" s="27"/>
      <c r="N150" s="27"/>
      <c r="O150" s="27"/>
      <c r="P150" s="27"/>
      <c r="Q150" s="27"/>
      <c r="R150" s="27"/>
      <c r="S150" s="27"/>
      <c r="T150" s="123"/>
      <c r="U150" s="1"/>
      <c r="V150" s="1"/>
    </row>
    <row r="151" spans="1:22" ht="18.95" customHeight="1" thickBot="1" x14ac:dyDescent="0.25">
      <c r="A151" s="1"/>
      <c r="B151" s="270" t="s">
        <v>6</v>
      </c>
      <c r="C151" s="270"/>
      <c r="D151" s="270" t="s">
        <v>7</v>
      </c>
      <c r="E151" s="273" t="s">
        <v>12</v>
      </c>
      <c r="F151" s="270"/>
      <c r="G151" s="270"/>
      <c r="H151" s="270"/>
      <c r="I151" s="270"/>
      <c r="J151" s="270"/>
      <c r="K151" s="270"/>
      <c r="L151" s="270"/>
      <c r="M151" s="270"/>
      <c r="N151" s="270"/>
      <c r="O151" s="270"/>
      <c r="P151" s="270"/>
      <c r="Q151" s="270"/>
      <c r="R151" s="270"/>
      <c r="S151" s="270"/>
      <c r="T151" s="270"/>
      <c r="U151" s="1"/>
      <c r="V151" s="1"/>
    </row>
    <row r="152" spans="1:22" ht="18.95" customHeight="1" thickBot="1" x14ac:dyDescent="0.25">
      <c r="A152" s="1"/>
      <c r="B152" s="29" t="s">
        <v>10</v>
      </c>
      <c r="C152" s="29" t="s">
        <v>9</v>
      </c>
      <c r="D152" s="270"/>
      <c r="E152" s="274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1"/>
      <c r="V152" s="1"/>
    </row>
    <row r="153" spans="1:22" ht="24.95" customHeight="1" x14ac:dyDescent="0.2">
      <c r="A153" s="1"/>
      <c r="B153" s="38">
        <v>1</v>
      </c>
      <c r="C153" s="32">
        <v>16187</v>
      </c>
      <c r="D153" s="164" t="s">
        <v>347</v>
      </c>
      <c r="E153" s="208" t="s">
        <v>0</v>
      </c>
      <c r="F153" s="183"/>
      <c r="G153" s="55"/>
      <c r="H153" s="5"/>
      <c r="I153" s="5"/>
      <c r="J153" s="56"/>
      <c r="K153" s="57"/>
      <c r="L153" s="55"/>
      <c r="M153" s="5"/>
      <c r="N153" s="5"/>
      <c r="O153" s="56"/>
      <c r="P153" s="4"/>
      <c r="Q153" s="58"/>
      <c r="R153" s="93"/>
      <c r="S153" s="55"/>
      <c r="T153" s="59"/>
      <c r="U153" s="1"/>
      <c r="V153" s="1"/>
    </row>
    <row r="154" spans="1:22" ht="24.95" customHeight="1" x14ac:dyDescent="0.2">
      <c r="A154" s="1"/>
      <c r="B154" s="39">
        <v>2</v>
      </c>
      <c r="C154" s="30">
        <v>16226</v>
      </c>
      <c r="D154" s="49" t="s">
        <v>377</v>
      </c>
      <c r="E154" s="209" t="s">
        <v>0</v>
      </c>
      <c r="F154" s="184"/>
      <c r="G154" s="60"/>
      <c r="H154" s="2"/>
      <c r="I154" s="2"/>
      <c r="J154" s="61"/>
      <c r="K154" s="62"/>
      <c r="L154" s="60"/>
      <c r="M154" s="2"/>
      <c r="N154" s="2"/>
      <c r="O154" s="61"/>
      <c r="P154" s="3"/>
      <c r="Q154" s="63"/>
      <c r="R154" s="36"/>
      <c r="S154" s="60"/>
      <c r="T154" s="64"/>
      <c r="U154" s="1"/>
      <c r="V154" s="1"/>
    </row>
    <row r="155" spans="1:22" ht="24.95" customHeight="1" x14ac:dyDescent="0.2">
      <c r="A155" s="1"/>
      <c r="B155" s="39">
        <f t="shared" ref="B155:B191" si="1">B154+1</f>
        <v>3</v>
      </c>
      <c r="C155" s="30">
        <v>16119</v>
      </c>
      <c r="D155" s="49" t="s">
        <v>293</v>
      </c>
      <c r="E155" s="209" t="s">
        <v>0</v>
      </c>
      <c r="F155" s="184"/>
      <c r="G155" s="60"/>
      <c r="H155" s="2"/>
      <c r="I155" s="2"/>
      <c r="J155" s="61"/>
      <c r="K155" s="62"/>
      <c r="L155" s="60"/>
      <c r="M155" s="2"/>
      <c r="N155" s="2"/>
      <c r="O155" s="61"/>
      <c r="P155" s="3"/>
      <c r="Q155" s="63"/>
      <c r="R155" s="36"/>
      <c r="S155" s="60"/>
      <c r="T155" s="64"/>
      <c r="U155" s="1"/>
      <c r="V155" s="1"/>
    </row>
    <row r="156" spans="1:22" ht="24.95" customHeight="1" x14ac:dyDescent="0.2">
      <c r="A156" s="1"/>
      <c r="B156" s="39">
        <f t="shared" si="1"/>
        <v>4</v>
      </c>
      <c r="C156" s="30">
        <v>16126</v>
      </c>
      <c r="D156" s="49" t="s">
        <v>299</v>
      </c>
      <c r="E156" s="209" t="s">
        <v>0</v>
      </c>
      <c r="F156" s="184"/>
      <c r="G156" s="60"/>
      <c r="H156" s="2"/>
      <c r="I156" s="2"/>
      <c r="J156" s="61"/>
      <c r="K156" s="62"/>
      <c r="L156" s="60"/>
      <c r="M156" s="2" t="s">
        <v>532</v>
      </c>
      <c r="N156" s="2"/>
      <c r="O156" s="61"/>
      <c r="P156" s="3"/>
      <c r="Q156" s="63"/>
      <c r="R156" s="36"/>
      <c r="S156" s="60"/>
      <c r="T156" s="64"/>
      <c r="U156" s="1"/>
      <c r="V156" s="1"/>
    </row>
    <row r="157" spans="1:22" ht="24.95" customHeight="1" x14ac:dyDescent="0.2">
      <c r="A157" s="1"/>
      <c r="B157" s="39">
        <f t="shared" si="1"/>
        <v>5</v>
      </c>
      <c r="C157" s="30">
        <v>16196</v>
      </c>
      <c r="D157" s="49" t="s">
        <v>354</v>
      </c>
      <c r="E157" s="209" t="s">
        <v>0</v>
      </c>
      <c r="F157" s="184"/>
      <c r="G157" s="60"/>
      <c r="H157" s="2"/>
      <c r="I157" s="2"/>
      <c r="J157" s="61"/>
      <c r="K157" s="62"/>
      <c r="L157" s="60"/>
      <c r="M157" s="2"/>
      <c r="N157" s="2"/>
      <c r="O157" s="61"/>
      <c r="P157" s="3"/>
      <c r="Q157" s="63"/>
      <c r="R157" s="36"/>
      <c r="S157" s="60"/>
      <c r="T157" s="64"/>
      <c r="U157" s="1"/>
      <c r="V157" s="1"/>
    </row>
    <row r="158" spans="1:22" ht="24.95" customHeight="1" x14ac:dyDescent="0.2">
      <c r="A158" s="1"/>
      <c r="B158" s="39">
        <f t="shared" si="1"/>
        <v>6</v>
      </c>
      <c r="C158" s="30">
        <v>16380</v>
      </c>
      <c r="D158" s="49" t="s">
        <v>530</v>
      </c>
      <c r="E158" s="209" t="s">
        <v>0</v>
      </c>
      <c r="F158" s="184"/>
      <c r="G158" s="60"/>
      <c r="H158" s="2"/>
      <c r="I158" s="2"/>
      <c r="J158" s="61"/>
      <c r="K158" s="62"/>
      <c r="L158" s="60"/>
      <c r="M158" s="2"/>
      <c r="N158" s="2"/>
      <c r="O158" s="61"/>
      <c r="P158" s="3"/>
      <c r="Q158" s="63"/>
      <c r="R158" s="36"/>
      <c r="S158" s="60"/>
      <c r="T158" s="64"/>
      <c r="U158" s="1"/>
      <c r="V158" s="1"/>
    </row>
    <row r="159" spans="1:22" ht="24.95" customHeight="1" x14ac:dyDescent="0.2">
      <c r="A159" s="1"/>
      <c r="B159" s="39">
        <f t="shared" si="1"/>
        <v>7</v>
      </c>
      <c r="C159" s="30">
        <v>16231</v>
      </c>
      <c r="D159" s="49" t="s">
        <v>381</v>
      </c>
      <c r="E159" s="209" t="s">
        <v>0</v>
      </c>
      <c r="F159" s="184"/>
      <c r="G159" s="60"/>
      <c r="H159" s="2"/>
      <c r="I159" s="2"/>
      <c r="J159" s="61"/>
      <c r="K159" s="62"/>
      <c r="L159" s="60"/>
      <c r="M159" s="2"/>
      <c r="N159" s="2"/>
      <c r="O159" s="61"/>
      <c r="P159" s="3"/>
      <c r="Q159" s="63"/>
      <c r="R159" s="36"/>
      <c r="S159" s="60"/>
      <c r="T159" s="64"/>
      <c r="U159" s="1"/>
      <c r="V159" s="1"/>
    </row>
    <row r="160" spans="1:22" ht="24.95" customHeight="1" x14ac:dyDescent="0.2">
      <c r="A160" s="1"/>
      <c r="B160" s="39">
        <f t="shared" si="1"/>
        <v>8</v>
      </c>
      <c r="C160" s="30">
        <v>16161</v>
      </c>
      <c r="D160" s="49" t="s">
        <v>330</v>
      </c>
      <c r="E160" s="209" t="s">
        <v>0</v>
      </c>
      <c r="F160" s="184"/>
      <c r="G160" s="60"/>
      <c r="H160" s="2"/>
      <c r="I160" s="2"/>
      <c r="J160" s="61"/>
      <c r="K160" s="62"/>
      <c r="L160" s="60"/>
      <c r="M160" s="2"/>
      <c r="N160" s="2"/>
      <c r="O160" s="61"/>
      <c r="P160" s="3"/>
      <c r="Q160" s="63"/>
      <c r="R160" s="36"/>
      <c r="S160" s="60"/>
      <c r="T160" s="64"/>
      <c r="U160" s="1"/>
      <c r="V160" s="1"/>
    </row>
    <row r="161" spans="1:22" ht="24.95" customHeight="1" x14ac:dyDescent="0.2">
      <c r="A161" s="1"/>
      <c r="B161" s="39">
        <f t="shared" si="1"/>
        <v>9</v>
      </c>
      <c r="C161" s="30">
        <v>16162</v>
      </c>
      <c r="D161" s="49" t="s">
        <v>331</v>
      </c>
      <c r="E161" s="209" t="s">
        <v>0</v>
      </c>
      <c r="F161" s="184"/>
      <c r="G161" s="60"/>
      <c r="H161" s="2"/>
      <c r="I161" s="2"/>
      <c r="J161" s="61"/>
      <c r="K161" s="62"/>
      <c r="L161" s="60"/>
      <c r="M161" s="2"/>
      <c r="N161" s="2"/>
      <c r="O161" s="61"/>
      <c r="P161" s="3"/>
      <c r="Q161" s="63"/>
      <c r="R161" s="36"/>
      <c r="S161" s="60"/>
      <c r="T161" s="64"/>
      <c r="U161" s="1"/>
      <c r="V161" s="1"/>
    </row>
    <row r="162" spans="1:22" ht="24.95" customHeight="1" x14ac:dyDescent="0.2">
      <c r="A162" s="1"/>
      <c r="B162" s="39">
        <f t="shared" si="1"/>
        <v>10</v>
      </c>
      <c r="C162" s="30">
        <v>16093</v>
      </c>
      <c r="D162" s="49" t="s">
        <v>266</v>
      </c>
      <c r="E162" s="209" t="s">
        <v>0</v>
      </c>
      <c r="F162" s="184"/>
      <c r="G162" s="60"/>
      <c r="H162" s="2"/>
      <c r="I162" s="2"/>
      <c r="J162" s="61"/>
      <c r="K162" s="62"/>
      <c r="L162" s="60"/>
      <c r="M162" s="2"/>
      <c r="N162" s="2"/>
      <c r="O162" s="61"/>
      <c r="P162" s="3"/>
      <c r="Q162" s="63"/>
      <c r="R162" s="36"/>
      <c r="S162" s="60"/>
      <c r="T162" s="64"/>
      <c r="U162" s="1"/>
      <c r="V162" s="1"/>
    </row>
    <row r="163" spans="1:22" ht="24.95" customHeight="1" x14ac:dyDescent="0.2">
      <c r="A163" s="1"/>
      <c r="B163" s="39">
        <f t="shared" si="1"/>
        <v>11</v>
      </c>
      <c r="C163" s="30">
        <v>16233</v>
      </c>
      <c r="D163" s="49" t="s">
        <v>383</v>
      </c>
      <c r="E163" s="209" t="s">
        <v>0</v>
      </c>
      <c r="F163" s="184"/>
      <c r="G163" s="60"/>
      <c r="H163" s="2"/>
      <c r="I163" s="2"/>
      <c r="J163" s="61"/>
      <c r="K163" s="62"/>
      <c r="L163" s="60"/>
      <c r="M163" s="2"/>
      <c r="N163" s="2"/>
      <c r="O163" s="61"/>
      <c r="P163" s="3"/>
      <c r="Q163" s="63"/>
      <c r="R163" s="36"/>
      <c r="S163" s="60"/>
      <c r="T163" s="64"/>
      <c r="U163" s="1"/>
      <c r="V163" s="1"/>
    </row>
    <row r="164" spans="1:22" ht="24.95" customHeight="1" x14ac:dyDescent="0.2">
      <c r="A164" s="1"/>
      <c r="B164" s="39">
        <f t="shared" si="1"/>
        <v>12</v>
      </c>
      <c r="C164" s="30">
        <v>16131</v>
      </c>
      <c r="D164" s="49" t="s">
        <v>322</v>
      </c>
      <c r="E164" s="209" t="s">
        <v>0</v>
      </c>
      <c r="F164" s="184"/>
      <c r="G164" s="60"/>
      <c r="H164" s="2"/>
      <c r="I164" s="2"/>
      <c r="J164" s="61"/>
      <c r="K164" s="62"/>
      <c r="L164" s="60"/>
      <c r="M164" s="2"/>
      <c r="N164" s="2"/>
      <c r="O164" s="61"/>
      <c r="P164" s="3"/>
      <c r="Q164" s="63"/>
      <c r="R164" s="93"/>
      <c r="S164" s="55"/>
      <c r="T164" s="64"/>
      <c r="U164" s="1"/>
      <c r="V164" s="1"/>
    </row>
    <row r="165" spans="1:22" ht="24.95" customHeight="1" x14ac:dyDescent="0.2">
      <c r="A165" s="1"/>
      <c r="B165" s="39">
        <f t="shared" si="1"/>
        <v>13</v>
      </c>
      <c r="C165" s="30">
        <v>16234</v>
      </c>
      <c r="D165" s="49" t="s">
        <v>384</v>
      </c>
      <c r="E165" s="209" t="s">
        <v>0</v>
      </c>
      <c r="F165" s="184"/>
      <c r="G165" s="60"/>
      <c r="H165" s="2"/>
      <c r="I165" s="2"/>
      <c r="J165" s="61"/>
      <c r="K165" s="62"/>
      <c r="L165" s="60"/>
      <c r="M165" s="2"/>
      <c r="N165" s="2"/>
      <c r="O165" s="61"/>
      <c r="P165" s="3"/>
      <c r="Q165" s="63"/>
      <c r="R165" s="36"/>
      <c r="S165" s="60"/>
      <c r="T165" s="64"/>
      <c r="U165" s="1"/>
      <c r="V165" s="1"/>
    </row>
    <row r="166" spans="1:22" ht="24.95" customHeight="1" x14ac:dyDescent="0.2">
      <c r="A166" s="1"/>
      <c r="B166" s="39">
        <f t="shared" si="1"/>
        <v>14</v>
      </c>
      <c r="C166" s="30">
        <v>16134</v>
      </c>
      <c r="D166" s="49" t="s">
        <v>306</v>
      </c>
      <c r="E166" s="209" t="s">
        <v>0</v>
      </c>
      <c r="F166" s="184"/>
      <c r="G166" s="60"/>
      <c r="H166" s="2"/>
      <c r="I166" s="2"/>
      <c r="J166" s="61"/>
      <c r="K166" s="62"/>
      <c r="L166" s="60"/>
      <c r="M166" s="2"/>
      <c r="N166" s="2"/>
      <c r="O166" s="61"/>
      <c r="P166" s="3"/>
      <c r="Q166" s="63"/>
      <c r="R166" s="36"/>
      <c r="S166" s="60"/>
      <c r="T166" s="64"/>
      <c r="U166" s="1"/>
      <c r="V166" s="1"/>
    </row>
    <row r="167" spans="1:22" ht="24.95" customHeight="1" x14ac:dyDescent="0.2">
      <c r="A167" s="1"/>
      <c r="B167" s="39">
        <f t="shared" si="1"/>
        <v>15</v>
      </c>
      <c r="C167" s="30">
        <v>16097</v>
      </c>
      <c r="D167" s="49" t="s">
        <v>270</v>
      </c>
      <c r="E167" s="209" t="s">
        <v>0</v>
      </c>
      <c r="F167" s="184"/>
      <c r="G167" s="60"/>
      <c r="H167" s="2"/>
      <c r="I167" s="2"/>
      <c r="J167" s="61"/>
      <c r="K167" s="62"/>
      <c r="L167" s="60"/>
      <c r="M167" s="2"/>
      <c r="N167" s="2"/>
      <c r="O167" s="61"/>
      <c r="P167" s="3"/>
      <c r="Q167" s="63"/>
      <c r="R167" s="36"/>
      <c r="S167" s="60"/>
      <c r="T167" s="64"/>
      <c r="U167" s="1"/>
      <c r="V167" s="1"/>
    </row>
    <row r="168" spans="1:22" ht="24.95" customHeight="1" x14ac:dyDescent="0.2">
      <c r="A168" s="1"/>
      <c r="B168" s="39">
        <f t="shared" si="1"/>
        <v>16</v>
      </c>
      <c r="C168" s="30">
        <v>16204</v>
      </c>
      <c r="D168" s="49" t="s">
        <v>358</v>
      </c>
      <c r="E168" s="209" t="s">
        <v>0</v>
      </c>
      <c r="F168" s="184"/>
      <c r="G168" s="60"/>
      <c r="H168" s="2"/>
      <c r="I168" s="2"/>
      <c r="J168" s="61"/>
      <c r="K168" s="62"/>
      <c r="L168" s="60"/>
      <c r="M168" s="2"/>
      <c r="N168" s="2"/>
      <c r="O168" s="61"/>
      <c r="P168" s="3"/>
      <c r="Q168" s="63"/>
      <c r="R168" s="36"/>
      <c r="S168" s="60"/>
      <c r="T168" s="64"/>
      <c r="U168" s="1"/>
      <c r="V168" s="1"/>
    </row>
    <row r="169" spans="1:22" ht="24.95" customHeight="1" x14ac:dyDescent="0.2">
      <c r="A169" s="1"/>
      <c r="B169" s="39">
        <f t="shared" si="1"/>
        <v>17</v>
      </c>
      <c r="C169" s="30">
        <v>16136</v>
      </c>
      <c r="D169" s="49" t="s">
        <v>320</v>
      </c>
      <c r="E169" s="209" t="s">
        <v>0</v>
      </c>
      <c r="F169" s="184"/>
      <c r="G169" s="60"/>
      <c r="H169" s="2"/>
      <c r="I169" s="2"/>
      <c r="J169" s="61"/>
      <c r="K169" s="62"/>
      <c r="L169" s="60"/>
      <c r="M169" s="2"/>
      <c r="N169" s="2"/>
      <c r="O169" s="61"/>
      <c r="P169" s="3"/>
      <c r="Q169" s="63"/>
      <c r="R169" s="36"/>
      <c r="S169" s="60"/>
      <c r="T169" s="64"/>
      <c r="U169" s="1"/>
      <c r="V169" s="1"/>
    </row>
    <row r="170" spans="1:22" ht="24.95" customHeight="1" x14ac:dyDescent="0.2">
      <c r="A170" s="1"/>
      <c r="B170" s="39">
        <f t="shared" si="1"/>
        <v>18</v>
      </c>
      <c r="C170" s="30">
        <v>16100</v>
      </c>
      <c r="D170" s="49" t="s">
        <v>273</v>
      </c>
      <c r="E170" s="209" t="s">
        <v>0</v>
      </c>
      <c r="F170" s="184"/>
      <c r="G170" s="60"/>
      <c r="H170" s="2"/>
      <c r="I170" s="2"/>
      <c r="J170" s="61"/>
      <c r="K170" s="62"/>
      <c r="L170" s="60"/>
      <c r="M170" s="2"/>
      <c r="N170" s="2"/>
      <c r="O170" s="61"/>
      <c r="P170" s="3"/>
      <c r="Q170" s="63"/>
      <c r="R170" s="36"/>
      <c r="S170" s="60"/>
      <c r="T170" s="64"/>
      <c r="U170" s="1"/>
      <c r="V170" s="1"/>
    </row>
    <row r="171" spans="1:22" ht="24.95" customHeight="1" x14ac:dyDescent="0.2">
      <c r="A171" s="1"/>
      <c r="B171" s="39">
        <f t="shared" si="1"/>
        <v>19</v>
      </c>
      <c r="C171" s="30">
        <v>16206</v>
      </c>
      <c r="D171" s="49" t="s">
        <v>372</v>
      </c>
      <c r="E171" s="209" t="s">
        <v>0</v>
      </c>
      <c r="F171" s="184"/>
      <c r="G171" s="65"/>
      <c r="H171" s="2"/>
      <c r="I171" s="2"/>
      <c r="J171" s="61"/>
      <c r="K171" s="62"/>
      <c r="L171" s="65"/>
      <c r="M171" s="2"/>
      <c r="N171" s="2"/>
      <c r="O171" s="61"/>
      <c r="P171" s="3"/>
      <c r="Q171" s="63"/>
      <c r="R171" s="93"/>
      <c r="S171" s="55"/>
      <c r="T171" s="64"/>
      <c r="U171" s="1"/>
      <c r="V171" s="1"/>
    </row>
    <row r="172" spans="1:22" ht="24.95" customHeight="1" x14ac:dyDescent="0.2">
      <c r="A172" s="1"/>
      <c r="B172" s="39">
        <f t="shared" si="1"/>
        <v>20</v>
      </c>
      <c r="C172" s="30">
        <v>16138</v>
      </c>
      <c r="D172" s="49" t="s">
        <v>308</v>
      </c>
      <c r="E172" s="209" t="s">
        <v>0</v>
      </c>
      <c r="F172" s="184"/>
      <c r="G172" s="65"/>
      <c r="H172" s="2"/>
      <c r="I172" s="2"/>
      <c r="J172" s="61"/>
      <c r="K172" s="62"/>
      <c r="L172" s="65"/>
      <c r="M172" s="2"/>
      <c r="N172" s="2"/>
      <c r="O172" s="61"/>
      <c r="P172" s="3"/>
      <c r="Q172" s="63"/>
      <c r="R172" s="93"/>
      <c r="S172" s="55"/>
      <c r="T172" s="64"/>
      <c r="U172" s="1"/>
      <c r="V172" s="1"/>
    </row>
    <row r="173" spans="1:22" ht="24.95" customHeight="1" x14ac:dyDescent="0.2">
      <c r="A173" s="1"/>
      <c r="B173" s="39">
        <f t="shared" si="1"/>
        <v>21</v>
      </c>
      <c r="C173" s="30">
        <v>16102</v>
      </c>
      <c r="D173" s="49" t="s">
        <v>275</v>
      </c>
      <c r="E173" s="209" t="s">
        <v>0</v>
      </c>
      <c r="F173" s="184"/>
      <c r="G173" s="65"/>
      <c r="H173" s="2"/>
      <c r="I173" s="2"/>
      <c r="J173" s="61"/>
      <c r="K173" s="62"/>
      <c r="L173" s="65"/>
      <c r="M173" s="2"/>
      <c r="N173" s="2"/>
      <c r="O173" s="61"/>
      <c r="P173" s="3"/>
      <c r="Q173" s="63"/>
      <c r="R173" s="36"/>
      <c r="S173" s="60"/>
      <c r="T173" s="64"/>
      <c r="U173" s="1"/>
      <c r="V173" s="1"/>
    </row>
    <row r="174" spans="1:22" ht="24.95" customHeight="1" x14ac:dyDescent="0.2">
      <c r="A174" s="1"/>
      <c r="B174" s="39">
        <f t="shared" si="1"/>
        <v>22</v>
      </c>
      <c r="C174" s="30">
        <v>16173</v>
      </c>
      <c r="D174" s="49" t="s">
        <v>337</v>
      </c>
      <c r="E174" s="209" t="s">
        <v>0</v>
      </c>
      <c r="F174" s="184"/>
      <c r="G174" s="60"/>
      <c r="H174" s="2"/>
      <c r="I174" s="2"/>
      <c r="J174" s="61"/>
      <c r="K174" s="62"/>
      <c r="L174" s="60"/>
      <c r="M174" s="2"/>
      <c r="N174" s="2"/>
      <c r="O174" s="61"/>
      <c r="P174" s="3"/>
      <c r="Q174" s="63"/>
      <c r="R174" s="36"/>
      <c r="S174" s="60"/>
      <c r="T174" s="64"/>
      <c r="U174" s="1"/>
      <c r="V174" s="1"/>
    </row>
    <row r="175" spans="1:22" ht="24.95" customHeight="1" x14ac:dyDescent="0.2">
      <c r="A175" s="1"/>
      <c r="B175" s="39">
        <f t="shared" si="1"/>
        <v>23</v>
      </c>
      <c r="C175" s="30">
        <v>16211</v>
      </c>
      <c r="D175" s="49" t="s">
        <v>362</v>
      </c>
      <c r="E175" s="209" t="s">
        <v>0</v>
      </c>
      <c r="F175" s="184"/>
      <c r="G175" s="65"/>
      <c r="H175" s="2"/>
      <c r="I175" s="2"/>
      <c r="J175" s="61"/>
      <c r="K175" s="62"/>
      <c r="L175" s="65"/>
      <c r="M175" s="2"/>
      <c r="N175" s="2"/>
      <c r="O175" s="61"/>
      <c r="P175" s="3"/>
      <c r="Q175" s="63"/>
      <c r="R175" s="36"/>
      <c r="S175" s="60"/>
      <c r="T175" s="64"/>
      <c r="U175" s="1"/>
      <c r="V175" s="1"/>
    </row>
    <row r="176" spans="1:22" ht="24.95" customHeight="1" x14ac:dyDescent="0.2">
      <c r="A176" s="1"/>
      <c r="B176" s="39">
        <f t="shared" si="1"/>
        <v>24</v>
      </c>
      <c r="C176" s="30">
        <v>16177</v>
      </c>
      <c r="D176" s="49" t="s">
        <v>346</v>
      </c>
      <c r="E176" s="209" t="s">
        <v>0</v>
      </c>
      <c r="F176" s="184"/>
      <c r="G176" s="66"/>
      <c r="H176" s="67"/>
      <c r="I176" s="67"/>
      <c r="J176" s="68"/>
      <c r="K176" s="62"/>
      <c r="L176" s="66"/>
      <c r="M176" s="67"/>
      <c r="N176" s="67"/>
      <c r="O176" s="68"/>
      <c r="P176" s="40"/>
      <c r="Q176" s="69"/>
      <c r="R176" s="178"/>
      <c r="S176" s="90"/>
      <c r="T176" s="70"/>
      <c r="U176" s="1"/>
      <c r="V176" s="1"/>
    </row>
    <row r="177" spans="1:22" ht="24.95" customHeight="1" x14ac:dyDescent="0.2">
      <c r="A177" s="1"/>
      <c r="B177" s="39">
        <f t="shared" si="1"/>
        <v>25</v>
      </c>
      <c r="C177" s="30">
        <v>16214</v>
      </c>
      <c r="D177" s="49" t="s">
        <v>365</v>
      </c>
      <c r="E177" s="209" t="s">
        <v>0</v>
      </c>
      <c r="F177" s="184"/>
      <c r="G177" s="66"/>
      <c r="H177" s="67"/>
      <c r="I177" s="67"/>
      <c r="J177" s="68"/>
      <c r="K177" s="62"/>
      <c r="L177" s="66"/>
      <c r="M177" s="67"/>
      <c r="N177" s="67"/>
      <c r="O177" s="68"/>
      <c r="P177" s="40"/>
      <c r="Q177" s="69"/>
      <c r="R177" s="178"/>
      <c r="S177" s="90"/>
      <c r="T177" s="70"/>
      <c r="U177" s="1"/>
      <c r="V177" s="1"/>
    </row>
    <row r="178" spans="1:22" ht="24.95" customHeight="1" x14ac:dyDescent="0.2">
      <c r="A178" s="1"/>
      <c r="B178" s="39">
        <f t="shared" si="1"/>
        <v>26</v>
      </c>
      <c r="C178" s="30">
        <v>16247</v>
      </c>
      <c r="D178" s="49" t="s">
        <v>397</v>
      </c>
      <c r="E178" s="209" t="s">
        <v>0</v>
      </c>
      <c r="F178" s="184"/>
      <c r="G178" s="66"/>
      <c r="H178" s="67"/>
      <c r="I178" s="67"/>
      <c r="J178" s="68"/>
      <c r="K178" s="62"/>
      <c r="L178" s="66"/>
      <c r="M178" s="67"/>
      <c r="N178" s="67"/>
      <c r="O178" s="68"/>
      <c r="P178" s="40"/>
      <c r="Q178" s="69"/>
      <c r="R178" s="178"/>
      <c r="S178" s="90"/>
      <c r="T178" s="70"/>
      <c r="U178" s="1"/>
      <c r="V178" s="1"/>
    </row>
    <row r="179" spans="1:22" ht="24.95" customHeight="1" x14ac:dyDescent="0.2">
      <c r="A179" s="1"/>
      <c r="B179" s="39">
        <f t="shared" si="1"/>
        <v>27</v>
      </c>
      <c r="C179" s="30">
        <v>16181</v>
      </c>
      <c r="D179" s="49" t="s">
        <v>345</v>
      </c>
      <c r="E179" s="209" t="s">
        <v>0</v>
      </c>
      <c r="F179" s="184"/>
      <c r="G179" s="66"/>
      <c r="H179" s="67"/>
      <c r="I179" s="67"/>
      <c r="J179" s="68"/>
      <c r="K179" s="62"/>
      <c r="L179" s="66"/>
      <c r="M179" s="67"/>
      <c r="N179" s="67"/>
      <c r="O179" s="68"/>
      <c r="P179" s="40"/>
      <c r="Q179" s="69"/>
      <c r="R179" s="178"/>
      <c r="S179" s="90"/>
      <c r="T179" s="70"/>
      <c r="U179" s="1"/>
      <c r="V179" s="1"/>
    </row>
    <row r="180" spans="1:22" ht="24.95" customHeight="1" x14ac:dyDescent="0.2">
      <c r="A180" s="1"/>
      <c r="B180" s="39">
        <f t="shared" si="1"/>
        <v>28</v>
      </c>
      <c r="C180" s="30">
        <v>16147</v>
      </c>
      <c r="D180" s="49" t="s">
        <v>321</v>
      </c>
      <c r="E180" s="209" t="s">
        <v>0</v>
      </c>
      <c r="F180" s="184"/>
      <c r="G180" s="66"/>
      <c r="H180" s="67"/>
      <c r="I180" s="67"/>
      <c r="J180" s="68"/>
      <c r="K180" s="62"/>
      <c r="L180" s="66"/>
      <c r="M180" s="67"/>
      <c r="N180" s="67"/>
      <c r="O180" s="68"/>
      <c r="P180" s="40"/>
      <c r="Q180" s="69"/>
      <c r="R180" s="178"/>
      <c r="S180" s="90"/>
      <c r="T180" s="70"/>
      <c r="U180" s="1"/>
      <c r="V180" s="1"/>
    </row>
    <row r="181" spans="1:22" ht="24.95" customHeight="1" x14ac:dyDescent="0.2">
      <c r="A181" s="1"/>
      <c r="B181" s="39">
        <f t="shared" si="1"/>
        <v>29</v>
      </c>
      <c r="C181" s="30">
        <v>16148</v>
      </c>
      <c r="D181" s="49" t="s">
        <v>317</v>
      </c>
      <c r="E181" s="209" t="s">
        <v>0</v>
      </c>
      <c r="F181" s="184"/>
      <c r="G181" s="66"/>
      <c r="H181" s="67"/>
      <c r="I181" s="67"/>
      <c r="J181" s="68"/>
      <c r="K181" s="62"/>
      <c r="L181" s="66"/>
      <c r="M181" s="67"/>
      <c r="N181" s="67"/>
      <c r="O181" s="68"/>
      <c r="P181" s="40"/>
      <c r="Q181" s="69"/>
      <c r="R181" s="178"/>
      <c r="S181" s="90"/>
      <c r="T181" s="70"/>
      <c r="U181" s="1"/>
      <c r="V181" s="1"/>
    </row>
    <row r="182" spans="1:22" ht="24.95" customHeight="1" x14ac:dyDescent="0.2">
      <c r="A182" s="1"/>
      <c r="B182" s="39">
        <f t="shared" si="1"/>
        <v>30</v>
      </c>
      <c r="C182" s="30">
        <v>16182</v>
      </c>
      <c r="D182" s="49" t="s">
        <v>342</v>
      </c>
      <c r="E182" s="209" t="s">
        <v>0</v>
      </c>
      <c r="F182" s="184"/>
      <c r="G182" s="66"/>
      <c r="H182" s="67"/>
      <c r="I182" s="67"/>
      <c r="J182" s="68"/>
      <c r="K182" s="62"/>
      <c r="L182" s="66"/>
      <c r="M182" s="67"/>
      <c r="N182" s="67"/>
      <c r="O182" s="68"/>
      <c r="P182" s="40"/>
      <c r="Q182" s="69"/>
      <c r="R182" s="178"/>
      <c r="S182" s="90"/>
      <c r="T182" s="70"/>
      <c r="U182" s="1"/>
      <c r="V182" s="1"/>
    </row>
    <row r="183" spans="1:22" ht="24.95" customHeight="1" x14ac:dyDescent="0.2">
      <c r="A183" s="1"/>
      <c r="B183" s="39">
        <f t="shared" si="1"/>
        <v>31</v>
      </c>
      <c r="C183" s="30">
        <v>16150</v>
      </c>
      <c r="D183" s="49" t="s">
        <v>319</v>
      </c>
      <c r="E183" s="209" t="s">
        <v>0</v>
      </c>
      <c r="F183" s="184"/>
      <c r="G183" s="66"/>
      <c r="H183" s="67"/>
      <c r="I183" s="67"/>
      <c r="J183" s="68"/>
      <c r="K183" s="62"/>
      <c r="L183" s="66"/>
      <c r="M183" s="67"/>
      <c r="N183" s="67"/>
      <c r="O183" s="68"/>
      <c r="P183" s="40"/>
      <c r="Q183" s="69"/>
      <c r="R183" s="178"/>
      <c r="S183" s="90"/>
      <c r="T183" s="70"/>
      <c r="U183" s="1"/>
      <c r="V183" s="1"/>
    </row>
    <row r="184" spans="1:22" ht="24.95" customHeight="1" x14ac:dyDescent="0.2">
      <c r="A184" s="1"/>
      <c r="B184" s="39">
        <f t="shared" si="1"/>
        <v>32</v>
      </c>
      <c r="C184" s="30">
        <v>16186</v>
      </c>
      <c r="D184" s="49" t="s">
        <v>344</v>
      </c>
      <c r="E184" s="209" t="s">
        <v>0</v>
      </c>
      <c r="F184" s="184"/>
      <c r="G184" s="66"/>
      <c r="H184" s="67"/>
      <c r="I184" s="67"/>
      <c r="J184" s="68"/>
      <c r="K184" s="71"/>
      <c r="L184" s="66"/>
      <c r="M184" s="67"/>
      <c r="N184" s="67"/>
      <c r="O184" s="68"/>
      <c r="P184" s="40"/>
      <c r="Q184" s="69"/>
      <c r="R184" s="178"/>
      <c r="S184" s="90"/>
      <c r="T184" s="70"/>
      <c r="U184" s="1"/>
      <c r="V184" s="1"/>
    </row>
    <row r="185" spans="1:22" ht="24.95" customHeight="1" x14ac:dyDescent="0.2">
      <c r="A185" s="1"/>
      <c r="B185" s="39">
        <f t="shared" si="1"/>
        <v>33</v>
      </c>
      <c r="C185" s="30">
        <v>16114</v>
      </c>
      <c r="D185" s="49" t="s">
        <v>288</v>
      </c>
      <c r="E185" s="209" t="s">
        <v>0</v>
      </c>
      <c r="F185" s="184"/>
      <c r="G185" s="66"/>
      <c r="H185" s="67"/>
      <c r="I185" s="67"/>
      <c r="J185" s="68"/>
      <c r="K185" s="71"/>
      <c r="L185" s="66"/>
      <c r="M185" s="67"/>
      <c r="N185" s="67"/>
      <c r="O185" s="68"/>
      <c r="P185" s="40"/>
      <c r="Q185" s="69"/>
      <c r="R185" s="178"/>
      <c r="S185" s="90"/>
      <c r="T185" s="70"/>
      <c r="U185" s="1"/>
      <c r="V185" s="1"/>
    </row>
    <row r="186" spans="1:22" ht="24.95" customHeight="1" x14ac:dyDescent="0.2">
      <c r="A186" s="1"/>
      <c r="B186" s="39">
        <f t="shared" si="1"/>
        <v>34</v>
      </c>
      <c r="C186" s="30"/>
      <c r="D186" s="49"/>
      <c r="E186" s="209" t="s">
        <v>0</v>
      </c>
      <c r="F186" s="184"/>
      <c r="G186" s="66"/>
      <c r="H186" s="67"/>
      <c r="I186" s="67"/>
      <c r="J186" s="68"/>
      <c r="K186" s="71"/>
      <c r="L186" s="66"/>
      <c r="M186" s="67"/>
      <c r="N186" s="67"/>
      <c r="O186" s="68"/>
      <c r="P186" s="40"/>
      <c r="Q186" s="69"/>
      <c r="R186" s="178"/>
      <c r="S186" s="90"/>
      <c r="T186" s="70"/>
      <c r="U186" s="1"/>
      <c r="V186" s="1"/>
    </row>
    <row r="187" spans="1:22" ht="24.95" customHeight="1" x14ac:dyDescent="0.2">
      <c r="A187" s="1"/>
      <c r="B187" s="39">
        <f t="shared" si="1"/>
        <v>35</v>
      </c>
      <c r="C187" s="30"/>
      <c r="D187" s="49"/>
      <c r="E187" s="209" t="s">
        <v>0</v>
      </c>
      <c r="F187" s="184"/>
      <c r="G187" s="66"/>
      <c r="H187" s="67"/>
      <c r="I187" s="67"/>
      <c r="J187" s="68"/>
      <c r="K187" s="71"/>
      <c r="L187" s="66" t="s">
        <v>15</v>
      </c>
      <c r="M187" s="67"/>
      <c r="N187" s="67"/>
      <c r="O187" s="68"/>
      <c r="P187" s="40"/>
      <c r="Q187" s="69"/>
      <c r="R187" s="178"/>
      <c r="S187" s="90"/>
      <c r="T187" s="70"/>
      <c r="U187" s="1"/>
      <c r="V187" s="1"/>
    </row>
    <row r="188" spans="1:22" ht="24.95" customHeight="1" x14ac:dyDescent="0.2">
      <c r="A188" s="1"/>
      <c r="B188" s="39">
        <f t="shared" si="1"/>
        <v>36</v>
      </c>
      <c r="C188" s="30"/>
      <c r="D188" s="49"/>
      <c r="E188" s="209" t="s">
        <v>0</v>
      </c>
      <c r="F188" s="184"/>
      <c r="G188" s="66"/>
      <c r="H188" s="67"/>
      <c r="I188" s="67"/>
      <c r="J188" s="68"/>
      <c r="K188" s="71"/>
      <c r="L188" s="66"/>
      <c r="M188" s="67"/>
      <c r="N188" s="67"/>
      <c r="O188" s="68"/>
      <c r="P188" s="40"/>
      <c r="Q188" s="69"/>
      <c r="R188" s="178"/>
      <c r="S188" s="90"/>
      <c r="T188" s="70"/>
      <c r="U188" s="1"/>
      <c r="V188" s="1"/>
    </row>
    <row r="189" spans="1:22" ht="24.95" customHeight="1" x14ac:dyDescent="0.2">
      <c r="A189" s="1"/>
      <c r="B189" s="39">
        <f t="shared" si="1"/>
        <v>37</v>
      </c>
      <c r="C189" s="30"/>
      <c r="D189" s="49"/>
      <c r="E189" s="209" t="s">
        <v>0</v>
      </c>
      <c r="F189" s="184"/>
      <c r="G189" s="66"/>
      <c r="H189" s="67"/>
      <c r="I189" s="67"/>
      <c r="J189" s="68"/>
      <c r="K189" s="71"/>
      <c r="L189" s="66"/>
      <c r="M189" s="67"/>
      <c r="N189" s="67"/>
      <c r="O189" s="68"/>
      <c r="P189" s="40"/>
      <c r="Q189" s="69"/>
      <c r="R189" s="178"/>
      <c r="S189" s="90"/>
      <c r="T189" s="70"/>
      <c r="U189" s="1"/>
      <c r="V189" s="1"/>
    </row>
    <row r="190" spans="1:22" ht="24.95" customHeight="1" x14ac:dyDescent="0.2">
      <c r="A190" s="1"/>
      <c r="B190" s="39">
        <f t="shared" si="1"/>
        <v>38</v>
      </c>
      <c r="C190" s="30"/>
      <c r="D190" s="49"/>
      <c r="E190" s="209" t="s">
        <v>0</v>
      </c>
      <c r="F190" s="184"/>
      <c r="G190" s="66"/>
      <c r="H190" s="67"/>
      <c r="I190" s="2"/>
      <c r="J190" s="61"/>
      <c r="K190" s="62"/>
      <c r="L190" s="65"/>
      <c r="M190" s="2"/>
      <c r="N190" s="2"/>
      <c r="O190" s="61"/>
      <c r="P190" s="3"/>
      <c r="Q190" s="63"/>
      <c r="R190" s="36"/>
      <c r="S190" s="60"/>
      <c r="T190" s="64"/>
      <c r="U190" s="1"/>
      <c r="V190" s="1"/>
    </row>
    <row r="191" spans="1:22" ht="24.95" customHeight="1" x14ac:dyDescent="0.2">
      <c r="A191" s="1"/>
      <c r="B191" s="39">
        <f t="shared" si="1"/>
        <v>39</v>
      </c>
      <c r="C191" s="30"/>
      <c r="D191" s="180"/>
      <c r="E191" s="209" t="s">
        <v>0</v>
      </c>
      <c r="F191" s="184"/>
      <c r="G191" s="66"/>
      <c r="H191" s="67"/>
      <c r="I191" s="2"/>
      <c r="J191" s="61"/>
      <c r="K191" s="62"/>
      <c r="L191" s="65"/>
      <c r="M191" s="2"/>
      <c r="N191" s="2"/>
      <c r="O191" s="61"/>
      <c r="P191" s="3"/>
      <c r="Q191" s="63"/>
      <c r="R191" s="36"/>
      <c r="S191" s="60"/>
      <c r="T191" s="64"/>
      <c r="U191" s="1"/>
      <c r="V191" s="1"/>
    </row>
    <row r="192" spans="1:22" ht="24.95" customHeight="1" thickBot="1" x14ac:dyDescent="0.25">
      <c r="A192" s="1"/>
      <c r="B192" s="53">
        <v>40</v>
      </c>
      <c r="C192" s="53"/>
      <c r="D192" s="213"/>
      <c r="E192" s="185" t="s">
        <v>0</v>
      </c>
      <c r="F192" s="185"/>
      <c r="G192" s="186"/>
      <c r="H192" s="187"/>
      <c r="I192" s="75"/>
      <c r="J192" s="76"/>
      <c r="K192" s="77"/>
      <c r="L192" s="74"/>
      <c r="M192" s="75"/>
      <c r="N192" s="75"/>
      <c r="O192" s="76"/>
      <c r="P192" s="75"/>
      <c r="Q192" s="78"/>
      <c r="R192" s="78"/>
      <c r="S192" s="78"/>
      <c r="T192" s="76"/>
      <c r="U192" s="1"/>
      <c r="V192" s="1"/>
    </row>
    <row r="193" spans="1:22" ht="18.95" customHeight="1" x14ac:dyDescent="0.2">
      <c r="A193" s="1"/>
      <c r="B193" s="37"/>
      <c r="C193" s="37"/>
      <c r="D193" s="1"/>
      <c r="E193" s="3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8.95" customHeight="1" thickBot="1" x14ac:dyDescent="0.25">
      <c r="V194" s="1"/>
    </row>
    <row r="195" spans="1:22" ht="18.95" customHeight="1" x14ac:dyDescent="0.2">
      <c r="A195" s="1"/>
      <c r="B195" s="255"/>
      <c r="C195" s="256"/>
      <c r="D195" s="259" t="s">
        <v>3</v>
      </c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1"/>
      <c r="U195" s="1"/>
      <c r="V195" s="1"/>
    </row>
    <row r="196" spans="1:22" ht="18.95" customHeight="1" x14ac:dyDescent="0.2">
      <c r="A196" s="1"/>
      <c r="B196" s="257"/>
      <c r="C196" s="258"/>
      <c r="D196" s="262" t="s">
        <v>4</v>
      </c>
      <c r="E196" s="263"/>
      <c r="F196" s="263"/>
      <c r="G196" s="263"/>
      <c r="H196" s="263"/>
      <c r="I196" s="263"/>
      <c r="J196" s="263"/>
      <c r="K196" s="263"/>
      <c r="L196" s="263"/>
      <c r="M196" s="263"/>
      <c r="N196" s="263"/>
      <c r="O196" s="263"/>
      <c r="P196" s="263"/>
      <c r="Q196" s="263"/>
      <c r="R196" s="263"/>
      <c r="S196" s="263"/>
      <c r="T196" s="264"/>
      <c r="U196" s="1"/>
      <c r="V196" s="1"/>
    </row>
    <row r="197" spans="1:22" ht="18.95" customHeight="1" thickBot="1" x14ac:dyDescent="0.25">
      <c r="A197" s="1"/>
      <c r="B197" s="257"/>
      <c r="C197" s="258"/>
      <c r="D197" s="265" t="s">
        <v>547</v>
      </c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7"/>
      <c r="U197" s="1"/>
      <c r="V197" s="1"/>
    </row>
    <row r="198" spans="1:22" ht="18.95" customHeight="1" thickBot="1" x14ac:dyDescent="0.25">
      <c r="A198" s="1"/>
      <c r="B198" s="270"/>
      <c r="C198" s="270"/>
      <c r="D198" s="54" t="s">
        <v>552</v>
      </c>
      <c r="E198" s="29"/>
      <c r="F198" s="54" t="s">
        <v>814</v>
      </c>
      <c r="G198" s="54"/>
      <c r="H198" s="54"/>
      <c r="I198" s="105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24"/>
      <c r="U198" s="1"/>
      <c r="V198" s="1"/>
    </row>
    <row r="199" spans="1:22" ht="18.95" customHeight="1" thickBot="1" x14ac:dyDescent="0.25">
      <c r="A199" s="1"/>
      <c r="B199" s="270" t="s">
        <v>6</v>
      </c>
      <c r="C199" s="270"/>
      <c r="D199" s="270" t="s">
        <v>7</v>
      </c>
      <c r="E199" s="273" t="s">
        <v>12</v>
      </c>
      <c r="F199" s="270"/>
      <c r="G199" s="270"/>
      <c r="H199" s="270"/>
      <c r="I199" s="270"/>
      <c r="J199" s="270"/>
      <c r="K199" s="270"/>
      <c r="L199" s="270"/>
      <c r="M199" s="270"/>
      <c r="N199" s="270"/>
      <c r="O199" s="270"/>
      <c r="P199" s="270"/>
      <c r="Q199" s="270"/>
      <c r="R199" s="270"/>
      <c r="S199" s="270"/>
      <c r="T199" s="270"/>
      <c r="U199" s="1"/>
      <c r="V199" s="1"/>
    </row>
    <row r="200" spans="1:22" ht="18.95" customHeight="1" thickBot="1" x14ac:dyDescent="0.25">
      <c r="A200" s="1"/>
      <c r="B200" s="29" t="s">
        <v>10</v>
      </c>
      <c r="C200" s="29" t="s">
        <v>9</v>
      </c>
      <c r="D200" s="270"/>
      <c r="E200" s="274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1"/>
      <c r="V200" s="1"/>
    </row>
    <row r="201" spans="1:22" ht="24.95" customHeight="1" x14ac:dyDescent="0.2">
      <c r="A201" s="1"/>
      <c r="B201" s="85">
        <v>1</v>
      </c>
      <c r="C201" s="32">
        <v>16078</v>
      </c>
      <c r="D201" s="165" t="s">
        <v>287</v>
      </c>
      <c r="E201" s="31" t="s">
        <v>0</v>
      </c>
      <c r="F201" s="57"/>
      <c r="G201" s="55"/>
      <c r="H201" s="5"/>
      <c r="I201" s="5"/>
      <c r="J201" s="56"/>
      <c r="K201" s="57"/>
      <c r="L201" s="55"/>
      <c r="M201" s="5"/>
      <c r="N201" s="5"/>
      <c r="O201" s="56"/>
      <c r="P201" s="4"/>
      <c r="Q201" s="58"/>
      <c r="R201" s="93"/>
      <c r="S201" s="55"/>
      <c r="T201" s="59"/>
      <c r="U201" s="1"/>
      <c r="V201" s="1"/>
    </row>
    <row r="202" spans="1:22" ht="24.95" customHeight="1" x14ac:dyDescent="0.2">
      <c r="A202" s="1"/>
      <c r="B202" s="39">
        <f t="shared" ref="B202:B239" si="2">B201+1</f>
        <v>2</v>
      </c>
      <c r="C202" s="30">
        <v>16225</v>
      </c>
      <c r="D202" s="44" t="s">
        <v>376</v>
      </c>
      <c r="E202" s="30" t="s">
        <v>0</v>
      </c>
      <c r="F202" s="62"/>
      <c r="G202" s="60"/>
      <c r="H202" s="2"/>
      <c r="I202" s="2"/>
      <c r="J202" s="61"/>
      <c r="K202" s="62"/>
      <c r="L202" s="60"/>
      <c r="M202" s="2"/>
      <c r="N202" s="2"/>
      <c r="O202" s="61"/>
      <c r="P202" s="3"/>
      <c r="Q202" s="63"/>
      <c r="R202" s="36"/>
      <c r="S202" s="60"/>
      <c r="T202" s="64"/>
      <c r="U202" s="1"/>
      <c r="V202" s="1"/>
    </row>
    <row r="203" spans="1:22" ht="24.95" customHeight="1" x14ac:dyDescent="0.2">
      <c r="A203" s="1"/>
      <c r="B203" s="39">
        <f t="shared" si="2"/>
        <v>3</v>
      </c>
      <c r="C203" s="30">
        <v>16227</v>
      </c>
      <c r="D203" s="44" t="s">
        <v>378</v>
      </c>
      <c r="E203" s="30" t="s">
        <v>0</v>
      </c>
      <c r="F203" s="62"/>
      <c r="G203" s="60"/>
      <c r="H203" s="2"/>
      <c r="I203" s="2"/>
      <c r="J203" s="61"/>
      <c r="K203" s="62"/>
      <c r="L203" s="60"/>
      <c r="M203" s="2"/>
      <c r="N203" s="2"/>
      <c r="O203" s="61"/>
      <c r="P203" s="3"/>
      <c r="Q203" s="63"/>
      <c r="R203" s="36"/>
      <c r="S203" s="60"/>
      <c r="T203" s="64"/>
      <c r="U203" s="1"/>
      <c r="V203" s="1"/>
    </row>
    <row r="204" spans="1:22" ht="24.95" customHeight="1" x14ac:dyDescent="0.2">
      <c r="A204" s="1"/>
      <c r="B204" s="39">
        <f t="shared" si="2"/>
        <v>4</v>
      </c>
      <c r="C204" s="224">
        <v>16083</v>
      </c>
      <c r="D204" s="225" t="s">
        <v>260</v>
      </c>
      <c r="E204" s="30" t="s">
        <v>0</v>
      </c>
      <c r="F204" s="235"/>
      <c r="G204" s="236"/>
      <c r="H204" s="237"/>
      <c r="I204" s="237"/>
      <c r="J204" s="238"/>
      <c r="K204" s="235"/>
      <c r="L204" s="236"/>
      <c r="M204" s="237"/>
      <c r="N204" s="237"/>
      <c r="O204" s="238"/>
      <c r="P204" s="239"/>
      <c r="Q204" s="240"/>
      <c r="R204" s="241"/>
      <c r="S204" s="236"/>
      <c r="T204" s="242"/>
      <c r="U204" s="1"/>
      <c r="V204" s="1"/>
    </row>
    <row r="205" spans="1:22" ht="24.95" customHeight="1" x14ac:dyDescent="0.2">
      <c r="A205" s="1"/>
      <c r="B205" s="39">
        <f t="shared" si="2"/>
        <v>5</v>
      </c>
      <c r="C205" s="30">
        <v>16190</v>
      </c>
      <c r="D205" s="44" t="s">
        <v>350</v>
      </c>
      <c r="E205" s="30" t="s">
        <v>0</v>
      </c>
      <c r="F205" s="62"/>
      <c r="G205" s="60"/>
      <c r="H205" s="2"/>
      <c r="I205" s="2"/>
      <c r="J205" s="61"/>
      <c r="K205" s="62"/>
      <c r="L205" s="60"/>
      <c r="M205" s="2"/>
      <c r="N205" s="2"/>
      <c r="O205" s="61"/>
      <c r="P205" s="3"/>
      <c r="Q205" s="63"/>
      <c r="R205" s="36"/>
      <c r="S205" s="60"/>
      <c r="T205" s="64"/>
      <c r="U205" s="1"/>
      <c r="V205" s="1"/>
    </row>
    <row r="206" spans="1:22" ht="24.95" customHeight="1" x14ac:dyDescent="0.2">
      <c r="A206" s="1"/>
      <c r="B206" s="39">
        <f t="shared" si="2"/>
        <v>6</v>
      </c>
      <c r="C206" s="30">
        <v>16228</v>
      </c>
      <c r="D206" s="44" t="s">
        <v>403</v>
      </c>
      <c r="E206" s="30" t="s">
        <v>0</v>
      </c>
      <c r="F206" s="62"/>
      <c r="G206" s="60"/>
      <c r="H206" s="2"/>
      <c r="I206" s="2"/>
      <c r="J206" s="61"/>
      <c r="K206" s="62"/>
      <c r="L206" s="60"/>
      <c r="M206" s="2"/>
      <c r="N206" s="2"/>
      <c r="O206" s="61"/>
      <c r="P206" s="3"/>
      <c r="Q206" s="63"/>
      <c r="R206" s="36"/>
      <c r="S206" s="60"/>
      <c r="T206" s="64"/>
      <c r="U206" s="1"/>
      <c r="V206" s="1"/>
    </row>
    <row r="207" spans="1:22" ht="24.95" customHeight="1" x14ac:dyDescent="0.2">
      <c r="A207" s="1"/>
      <c r="B207" s="39">
        <f t="shared" si="2"/>
        <v>7</v>
      </c>
      <c r="C207" s="30">
        <v>16121</v>
      </c>
      <c r="D207" s="44" t="s">
        <v>295</v>
      </c>
      <c r="E207" s="30" t="s">
        <v>0</v>
      </c>
      <c r="F207" s="62"/>
      <c r="G207" s="60"/>
      <c r="H207" s="2"/>
      <c r="I207" s="2"/>
      <c r="J207" s="61"/>
      <c r="K207" s="62"/>
      <c r="L207" s="60"/>
      <c r="M207" s="2"/>
      <c r="N207" s="2"/>
      <c r="O207" s="61"/>
      <c r="P207" s="3"/>
      <c r="Q207" s="63"/>
      <c r="R207" s="36"/>
      <c r="S207" s="60"/>
      <c r="T207" s="64"/>
      <c r="U207" s="1"/>
      <c r="V207" s="1"/>
    </row>
    <row r="208" spans="1:22" ht="24.95" customHeight="1" x14ac:dyDescent="0.2">
      <c r="A208" s="1"/>
      <c r="B208" s="39">
        <f t="shared" si="2"/>
        <v>8</v>
      </c>
      <c r="C208" s="30">
        <v>16124</v>
      </c>
      <c r="D208" s="44" t="s">
        <v>297</v>
      </c>
      <c r="E208" s="30" t="s">
        <v>0</v>
      </c>
      <c r="F208" s="62"/>
      <c r="G208" s="60"/>
      <c r="H208" s="2"/>
      <c r="I208" s="2"/>
      <c r="J208" s="61"/>
      <c r="K208" s="62"/>
      <c r="L208" s="60"/>
      <c r="M208" s="2"/>
      <c r="N208" s="2"/>
      <c r="O208" s="61"/>
      <c r="P208" s="3"/>
      <c r="Q208" s="63"/>
      <c r="R208" s="36"/>
      <c r="S208" s="60"/>
      <c r="T208" s="64"/>
      <c r="U208" s="1"/>
      <c r="V208" s="1"/>
    </row>
    <row r="209" spans="1:31" ht="24.95" customHeight="1" x14ac:dyDescent="0.2">
      <c r="A209" s="1"/>
      <c r="B209" s="39">
        <f t="shared" si="2"/>
        <v>9</v>
      </c>
      <c r="C209" s="30">
        <v>16127</v>
      </c>
      <c r="D209" s="44" t="s">
        <v>300</v>
      </c>
      <c r="E209" s="30" t="s">
        <v>0</v>
      </c>
      <c r="F209" s="62"/>
      <c r="G209" s="60"/>
      <c r="H209" s="2"/>
      <c r="I209" s="2"/>
      <c r="J209" s="61"/>
      <c r="K209" s="62"/>
      <c r="L209" s="60"/>
      <c r="M209" s="2"/>
      <c r="N209" s="2"/>
      <c r="O209" s="61"/>
      <c r="P209" s="3"/>
      <c r="Q209" s="63"/>
      <c r="R209" s="36"/>
      <c r="S209" s="60"/>
      <c r="T209" s="64"/>
      <c r="U209" s="1"/>
      <c r="V209" s="1"/>
    </row>
    <row r="210" spans="1:31" ht="24.95" customHeight="1" x14ac:dyDescent="0.2">
      <c r="A210" s="1"/>
      <c r="B210" s="39">
        <f t="shared" si="2"/>
        <v>10</v>
      </c>
      <c r="C210" s="30">
        <v>16230</v>
      </c>
      <c r="D210" s="44" t="s">
        <v>380</v>
      </c>
      <c r="E210" s="30" t="s">
        <v>0</v>
      </c>
      <c r="F210" s="62"/>
      <c r="G210" s="60"/>
      <c r="H210" s="2"/>
      <c r="I210" s="2"/>
      <c r="J210" s="61"/>
      <c r="K210" s="62"/>
      <c r="L210" s="60"/>
      <c r="M210" s="2"/>
      <c r="N210" s="2"/>
      <c r="O210" s="61"/>
      <c r="P210" s="3"/>
      <c r="Q210" s="63"/>
      <c r="R210" s="36"/>
      <c r="S210" s="60"/>
      <c r="T210" s="64"/>
      <c r="U210" s="1"/>
      <c r="V210" s="1"/>
    </row>
    <row r="211" spans="1:31" ht="24.95" customHeight="1" x14ac:dyDescent="0.2">
      <c r="A211" s="1"/>
      <c r="B211" s="39">
        <f t="shared" si="2"/>
        <v>11</v>
      </c>
      <c r="C211" s="30">
        <v>16130</v>
      </c>
      <c r="D211" s="44" t="s">
        <v>303</v>
      </c>
      <c r="E211" s="30" t="s">
        <v>0</v>
      </c>
      <c r="F211" s="235"/>
      <c r="G211" s="236"/>
      <c r="H211" s="237"/>
      <c r="I211" s="237"/>
      <c r="J211" s="238"/>
      <c r="K211" s="235"/>
      <c r="L211" s="236"/>
      <c r="M211" s="237"/>
      <c r="N211" s="237"/>
      <c r="O211" s="238"/>
      <c r="P211" s="239"/>
      <c r="Q211" s="240"/>
      <c r="R211" s="241"/>
      <c r="S211" s="236"/>
      <c r="T211" s="242"/>
      <c r="U211" s="1"/>
      <c r="V211" s="1"/>
    </row>
    <row r="212" spans="1:31" ht="24.95" customHeight="1" x14ac:dyDescent="0.2">
      <c r="A212" s="1"/>
      <c r="B212" s="39">
        <f t="shared" si="2"/>
        <v>12</v>
      </c>
      <c r="C212" s="224">
        <v>16381</v>
      </c>
      <c r="D212" s="225" t="s">
        <v>543</v>
      </c>
      <c r="E212" s="30" t="s">
        <v>0</v>
      </c>
      <c r="F212" s="235"/>
      <c r="G212" s="236"/>
      <c r="H212" s="237"/>
      <c r="I212" s="237"/>
      <c r="J212" s="238"/>
      <c r="K212" s="235"/>
      <c r="L212" s="236"/>
      <c r="M212" s="237"/>
      <c r="N212" s="237"/>
      <c r="O212" s="238"/>
      <c r="P212" s="239"/>
      <c r="Q212" s="240"/>
      <c r="R212" s="244"/>
      <c r="S212" s="245"/>
      <c r="T212" s="242"/>
      <c r="U212" s="1"/>
      <c r="V212" s="1"/>
    </row>
    <row r="213" spans="1:31" ht="24.95" customHeight="1" x14ac:dyDescent="0.2">
      <c r="A213" s="1"/>
      <c r="B213" s="39">
        <f t="shared" si="2"/>
        <v>13</v>
      </c>
      <c r="C213" s="224">
        <v>16232</v>
      </c>
      <c r="D213" s="225" t="s">
        <v>382</v>
      </c>
      <c r="E213" s="30" t="s">
        <v>0</v>
      </c>
      <c r="F213" s="62"/>
      <c r="G213" s="60"/>
      <c r="H213" s="2"/>
      <c r="I213" s="2"/>
      <c r="J213" s="61"/>
      <c r="K213" s="62"/>
      <c r="L213" s="60"/>
      <c r="M213" s="2"/>
      <c r="N213" s="2"/>
      <c r="O213" s="61"/>
      <c r="P213" s="3"/>
      <c r="Q213" s="63"/>
      <c r="R213" s="36"/>
      <c r="S213" s="60"/>
      <c r="T213" s="64"/>
      <c r="U213" s="1"/>
      <c r="V213" s="1"/>
    </row>
    <row r="214" spans="1:31" ht="24.95" customHeight="1" x14ac:dyDescent="0.2">
      <c r="A214" s="1"/>
      <c r="B214" s="39">
        <f t="shared" si="2"/>
        <v>14</v>
      </c>
      <c r="C214" s="30">
        <v>16094</v>
      </c>
      <c r="D214" s="44" t="s">
        <v>267</v>
      </c>
      <c r="E214" s="30" t="s">
        <v>0</v>
      </c>
      <c r="F214" s="62"/>
      <c r="G214" s="60"/>
      <c r="H214" s="2"/>
      <c r="I214" s="2"/>
      <c r="J214" s="61"/>
      <c r="K214" s="62"/>
      <c r="L214" s="60"/>
      <c r="M214" s="2"/>
      <c r="N214" s="2"/>
      <c r="O214" s="61"/>
      <c r="P214" s="3"/>
      <c r="Q214" s="63"/>
      <c r="R214" s="36"/>
      <c r="S214" s="60"/>
      <c r="T214" s="64"/>
      <c r="U214" s="1"/>
      <c r="V214" s="1"/>
    </row>
    <row r="215" spans="1:31" ht="24.95" customHeight="1" x14ac:dyDescent="0.2">
      <c r="A215" s="1"/>
      <c r="B215" s="39">
        <f t="shared" si="2"/>
        <v>15</v>
      </c>
      <c r="C215" s="30">
        <v>16095</v>
      </c>
      <c r="D215" s="44" t="s">
        <v>268</v>
      </c>
      <c r="E215" s="30" t="s">
        <v>0</v>
      </c>
      <c r="F215" s="62"/>
      <c r="G215" s="60"/>
      <c r="H215" s="2"/>
      <c r="I215" s="2"/>
      <c r="J215" s="61"/>
      <c r="K215" s="62"/>
      <c r="L215" s="60"/>
      <c r="M215" s="2"/>
      <c r="N215" s="2"/>
      <c r="O215" s="61"/>
      <c r="P215" s="3"/>
      <c r="Q215" s="63"/>
      <c r="R215" s="36"/>
      <c r="S215" s="60"/>
      <c r="T215" s="64"/>
      <c r="U215" s="1"/>
      <c r="V215" s="1"/>
    </row>
    <row r="216" spans="1:31" ht="24.95" customHeight="1" x14ac:dyDescent="0.2">
      <c r="A216" s="1"/>
      <c r="B216" s="39">
        <f t="shared" si="2"/>
        <v>16</v>
      </c>
      <c r="C216" s="30">
        <v>16101</v>
      </c>
      <c r="D216" s="44" t="s">
        <v>274</v>
      </c>
      <c r="E216" s="30" t="s">
        <v>0</v>
      </c>
      <c r="F216" s="62"/>
      <c r="G216" s="60"/>
      <c r="H216" s="2"/>
      <c r="I216" s="2"/>
      <c r="J216" s="61"/>
      <c r="K216" s="62"/>
      <c r="L216" s="60"/>
      <c r="M216" s="2"/>
      <c r="N216" s="2"/>
      <c r="O216" s="61"/>
      <c r="P216" s="3"/>
      <c r="Q216" s="63"/>
      <c r="R216" s="36"/>
      <c r="S216" s="60"/>
      <c r="T216" s="64"/>
      <c r="U216" s="1"/>
      <c r="V216" s="1"/>
    </row>
    <row r="217" spans="1:31" ht="24.95" customHeight="1" x14ac:dyDescent="0.2">
      <c r="A217" s="1"/>
      <c r="B217" s="39">
        <f t="shared" si="2"/>
        <v>17</v>
      </c>
      <c r="C217" s="30">
        <v>16139</v>
      </c>
      <c r="D217" s="44" t="s">
        <v>309</v>
      </c>
      <c r="E217" s="30" t="s">
        <v>0</v>
      </c>
      <c r="F217" s="62"/>
      <c r="G217" s="60"/>
      <c r="H217" s="2"/>
      <c r="I217" s="2"/>
      <c r="J217" s="61"/>
      <c r="K217" s="62"/>
      <c r="L217" s="60"/>
      <c r="M217" s="2"/>
      <c r="N217" s="2"/>
      <c r="O217" s="61"/>
      <c r="P217" s="3"/>
      <c r="Q217" s="63"/>
      <c r="R217" s="36"/>
      <c r="S217" s="60"/>
      <c r="T217" s="64"/>
      <c r="U217" s="1"/>
      <c r="V217" s="1"/>
    </row>
    <row r="218" spans="1:31" ht="24.95" customHeight="1" x14ac:dyDescent="0.2">
      <c r="A218" s="1"/>
      <c r="B218" s="39">
        <f t="shared" si="2"/>
        <v>18</v>
      </c>
      <c r="C218" s="30">
        <v>16103</v>
      </c>
      <c r="D218" s="44" t="s">
        <v>276</v>
      </c>
      <c r="E218" s="30" t="s">
        <v>0</v>
      </c>
      <c r="F218" s="62"/>
      <c r="G218" s="60"/>
      <c r="H218" s="2"/>
      <c r="I218" s="2"/>
      <c r="J218" s="61"/>
      <c r="K218" s="62"/>
      <c r="L218" s="60"/>
      <c r="M218" s="2"/>
      <c r="N218" s="2"/>
      <c r="O218" s="61"/>
      <c r="P218" s="3"/>
      <c r="Q218" s="63"/>
      <c r="R218" s="36"/>
      <c r="S218" s="60"/>
      <c r="T218" s="64"/>
      <c r="U218" s="1"/>
      <c r="V218" s="1"/>
    </row>
    <row r="219" spans="1:31" ht="24.95" customHeight="1" x14ac:dyDescent="0.2">
      <c r="A219" s="1"/>
      <c r="B219" s="39">
        <f t="shared" si="2"/>
        <v>19</v>
      </c>
      <c r="C219" s="30">
        <v>16242</v>
      </c>
      <c r="D219" s="44" t="s">
        <v>392</v>
      </c>
      <c r="E219" s="30" t="s">
        <v>0</v>
      </c>
      <c r="F219" s="62"/>
      <c r="G219" s="65"/>
      <c r="H219" s="2"/>
      <c r="I219" s="2"/>
      <c r="J219" s="61"/>
      <c r="K219" s="62"/>
      <c r="L219" s="65"/>
      <c r="M219" s="2"/>
      <c r="N219" s="2"/>
      <c r="O219" s="61"/>
      <c r="P219" s="3"/>
      <c r="Q219" s="63"/>
      <c r="R219" s="93"/>
      <c r="S219" s="55"/>
      <c r="T219" s="64"/>
      <c r="U219" s="1"/>
      <c r="V219" s="1"/>
    </row>
    <row r="220" spans="1:31" ht="24.95" customHeight="1" x14ac:dyDescent="0.2">
      <c r="A220" s="1"/>
      <c r="B220" s="39">
        <f t="shared" si="2"/>
        <v>20</v>
      </c>
      <c r="C220" s="30">
        <v>16209</v>
      </c>
      <c r="D220" s="44" t="s">
        <v>361</v>
      </c>
      <c r="E220" s="30" t="s">
        <v>0</v>
      </c>
      <c r="F220" s="62"/>
      <c r="G220" s="65"/>
      <c r="H220" s="2"/>
      <c r="I220" s="2"/>
      <c r="J220" s="61"/>
      <c r="K220" s="62"/>
      <c r="L220" s="65"/>
      <c r="M220" s="2"/>
      <c r="N220" s="2"/>
      <c r="O220" s="61"/>
      <c r="P220" s="3"/>
      <c r="Q220" s="63"/>
      <c r="R220" s="93"/>
      <c r="S220" s="55"/>
      <c r="T220" s="64"/>
      <c r="U220" s="1"/>
      <c r="V220" s="1"/>
    </row>
    <row r="221" spans="1:31" ht="24.95" customHeight="1" x14ac:dyDescent="0.2">
      <c r="A221" s="1"/>
      <c r="B221" s="39">
        <f t="shared" si="2"/>
        <v>21</v>
      </c>
      <c r="C221" s="30">
        <v>16105</v>
      </c>
      <c r="D221" s="44" t="s">
        <v>278</v>
      </c>
      <c r="E221" s="30" t="s">
        <v>0</v>
      </c>
      <c r="F221" s="62"/>
      <c r="G221" s="65"/>
      <c r="H221" s="2"/>
      <c r="I221" s="2"/>
      <c r="J221" s="61"/>
      <c r="K221" s="62"/>
      <c r="L221" s="65"/>
      <c r="M221" s="2"/>
      <c r="N221" s="2"/>
      <c r="O221" s="61"/>
      <c r="P221" s="3"/>
      <c r="Q221" s="63"/>
      <c r="R221" s="36"/>
      <c r="S221" s="60"/>
      <c r="T221" s="64"/>
      <c r="U221" s="1"/>
      <c r="V221" s="1"/>
    </row>
    <row r="222" spans="1:31" ht="24.95" customHeight="1" x14ac:dyDescent="0.2">
      <c r="A222" s="1"/>
      <c r="B222" s="39">
        <f t="shared" si="2"/>
        <v>22</v>
      </c>
      <c r="C222" s="30">
        <v>16107</v>
      </c>
      <c r="D222" s="44" t="s">
        <v>280</v>
      </c>
      <c r="E222" s="30" t="s">
        <v>0</v>
      </c>
      <c r="F222" s="62"/>
      <c r="G222" s="65"/>
      <c r="H222" s="2"/>
      <c r="I222" s="2"/>
      <c r="J222" s="61"/>
      <c r="K222" s="62"/>
      <c r="L222" s="65"/>
      <c r="M222" s="2"/>
      <c r="N222" s="2"/>
      <c r="O222" s="61"/>
      <c r="P222" s="3"/>
      <c r="Q222" s="63"/>
      <c r="R222" s="36"/>
      <c r="S222" s="60"/>
      <c r="T222" s="64"/>
      <c r="U222" s="1"/>
      <c r="V222" s="1"/>
    </row>
    <row r="223" spans="1:31" ht="24.95" customHeight="1" x14ac:dyDescent="0.2">
      <c r="A223" s="1"/>
      <c r="B223" s="39">
        <f t="shared" si="2"/>
        <v>23</v>
      </c>
      <c r="C223" s="30">
        <v>16179</v>
      </c>
      <c r="D223" s="44" t="s">
        <v>341</v>
      </c>
      <c r="E223" s="30" t="s">
        <v>0</v>
      </c>
      <c r="F223" s="62"/>
      <c r="G223" s="66"/>
      <c r="H223" s="67"/>
      <c r="I223" s="67"/>
      <c r="J223" s="68"/>
      <c r="K223" s="62"/>
      <c r="L223" s="66"/>
      <c r="M223" s="67"/>
      <c r="N223" s="67"/>
      <c r="O223" s="68"/>
      <c r="P223" s="40"/>
      <c r="Q223" s="69"/>
      <c r="R223" s="178"/>
      <c r="S223" s="90"/>
      <c r="T223" s="70"/>
      <c r="U223" s="1"/>
      <c r="V223" s="1"/>
      <c r="AE223" s="50" t="s">
        <v>16</v>
      </c>
    </row>
    <row r="224" spans="1:31" ht="24.95" customHeight="1" x14ac:dyDescent="0.2">
      <c r="A224" s="1"/>
      <c r="B224" s="39">
        <f t="shared" si="2"/>
        <v>24</v>
      </c>
      <c r="C224" s="30">
        <v>16144</v>
      </c>
      <c r="D224" s="44" t="s">
        <v>314</v>
      </c>
      <c r="E224" s="30" t="s">
        <v>0</v>
      </c>
      <c r="F224" s="62"/>
      <c r="G224" s="66"/>
      <c r="H224" s="67"/>
      <c r="I224" s="67"/>
      <c r="J224" s="68"/>
      <c r="K224" s="62"/>
      <c r="L224" s="66"/>
      <c r="M224" s="67"/>
      <c r="N224" s="67"/>
      <c r="O224" s="68"/>
      <c r="P224" s="40"/>
      <c r="Q224" s="69"/>
      <c r="R224" s="178"/>
      <c r="S224" s="90"/>
      <c r="T224" s="70"/>
      <c r="U224" s="1"/>
      <c r="V224" s="1"/>
    </row>
    <row r="225" spans="1:22" ht="24.95" customHeight="1" x14ac:dyDescent="0.2">
      <c r="A225" s="1"/>
      <c r="B225" s="39">
        <f t="shared" si="2"/>
        <v>25</v>
      </c>
      <c r="C225" s="30">
        <v>16216</v>
      </c>
      <c r="D225" s="44" t="s">
        <v>367</v>
      </c>
      <c r="E225" s="30" t="s">
        <v>0</v>
      </c>
      <c r="F225" s="62"/>
      <c r="G225" s="66"/>
      <c r="H225" s="67"/>
      <c r="I225" s="67"/>
      <c r="J225" s="68"/>
      <c r="K225" s="62"/>
      <c r="L225" s="66"/>
      <c r="M225" s="67"/>
      <c r="N225" s="67"/>
      <c r="O225" s="68"/>
      <c r="P225" s="40"/>
      <c r="Q225" s="69"/>
      <c r="R225" s="178"/>
      <c r="S225" s="90"/>
      <c r="T225" s="70"/>
      <c r="U225" s="1"/>
      <c r="V225" s="1"/>
    </row>
    <row r="226" spans="1:22" ht="24.95" customHeight="1" x14ac:dyDescent="0.2">
      <c r="A226" s="1"/>
      <c r="B226" s="39">
        <f t="shared" si="2"/>
        <v>26</v>
      </c>
      <c r="C226" s="30">
        <v>16180</v>
      </c>
      <c r="D226" s="44" t="s">
        <v>538</v>
      </c>
      <c r="E226" s="30" t="s">
        <v>0</v>
      </c>
      <c r="F226" s="62"/>
      <c r="G226" s="66"/>
      <c r="H226" s="67"/>
      <c r="I226" s="67"/>
      <c r="J226" s="68"/>
      <c r="K226" s="62"/>
      <c r="L226" s="66"/>
      <c r="M226" s="67"/>
      <c r="N226" s="67"/>
      <c r="O226" s="68"/>
      <c r="P226" s="40"/>
      <c r="Q226" s="69"/>
      <c r="R226" s="178"/>
      <c r="S226" s="90"/>
      <c r="T226" s="70"/>
      <c r="U226" s="1"/>
      <c r="V226" s="1"/>
    </row>
    <row r="227" spans="1:22" ht="24.95" customHeight="1" x14ac:dyDescent="0.2">
      <c r="A227" s="1"/>
      <c r="B227" s="39">
        <f t="shared" si="2"/>
        <v>27</v>
      </c>
      <c r="C227" s="30">
        <v>16245</v>
      </c>
      <c r="D227" s="44" t="s">
        <v>395</v>
      </c>
      <c r="E227" s="30" t="s">
        <v>0</v>
      </c>
      <c r="F227" s="62"/>
      <c r="G227" s="66"/>
      <c r="H227" s="67"/>
      <c r="I227" s="67"/>
      <c r="J227" s="68"/>
      <c r="K227" s="62"/>
      <c r="L227" s="66"/>
      <c r="M227" s="67"/>
      <c r="N227" s="67"/>
      <c r="O227" s="68"/>
      <c r="P227" s="40"/>
      <c r="Q227" s="69"/>
      <c r="R227" s="178"/>
      <c r="S227" s="90"/>
      <c r="T227" s="70"/>
      <c r="U227" s="1"/>
      <c r="V227" s="1"/>
    </row>
    <row r="228" spans="1:22" ht="24.95" customHeight="1" x14ac:dyDescent="0.2">
      <c r="A228" s="1"/>
      <c r="B228" s="39">
        <f t="shared" si="2"/>
        <v>28</v>
      </c>
      <c r="C228" s="224">
        <v>16248</v>
      </c>
      <c r="D228" s="225" t="s">
        <v>398</v>
      </c>
      <c r="E228" s="30" t="s">
        <v>0</v>
      </c>
      <c r="F228" s="62"/>
      <c r="G228" s="66"/>
      <c r="H228" s="67"/>
      <c r="I228" s="67"/>
      <c r="J228" s="68"/>
      <c r="K228" s="62"/>
      <c r="L228" s="66"/>
      <c r="M228" s="67"/>
      <c r="N228" s="67"/>
      <c r="O228" s="68"/>
      <c r="P228" s="40"/>
      <c r="Q228" s="69"/>
      <c r="R228" s="178"/>
      <c r="S228" s="90"/>
      <c r="T228" s="70"/>
      <c r="U228" s="1"/>
      <c r="V228" s="1"/>
    </row>
    <row r="229" spans="1:22" ht="24.95" customHeight="1" x14ac:dyDescent="0.2">
      <c r="A229" s="1"/>
      <c r="B229" s="39">
        <f t="shared" si="2"/>
        <v>29</v>
      </c>
      <c r="C229" s="30">
        <v>16249</v>
      </c>
      <c r="D229" s="44" t="s">
        <v>399</v>
      </c>
      <c r="E229" s="30" t="s">
        <v>0</v>
      </c>
      <c r="F229" s="62"/>
      <c r="G229" s="66"/>
      <c r="H229" s="67"/>
      <c r="I229" s="67"/>
      <c r="J229" s="68"/>
      <c r="K229" s="62"/>
      <c r="L229" s="66"/>
      <c r="M229" s="67"/>
      <c r="N229" s="67"/>
      <c r="O229" s="68"/>
      <c r="P229" s="40"/>
      <c r="Q229" s="69"/>
      <c r="R229" s="178"/>
      <c r="S229" s="90"/>
      <c r="T229" s="70"/>
      <c r="U229" s="1"/>
      <c r="V229" s="1"/>
    </row>
    <row r="230" spans="1:22" ht="24.95" customHeight="1" x14ac:dyDescent="0.2">
      <c r="A230" s="1"/>
      <c r="B230" s="39">
        <f t="shared" si="2"/>
        <v>30</v>
      </c>
      <c r="C230" s="30">
        <v>16256</v>
      </c>
      <c r="D230" s="44" t="s">
        <v>539</v>
      </c>
      <c r="E230" s="30" t="s">
        <v>0</v>
      </c>
      <c r="F230" s="235"/>
      <c r="G230" s="227"/>
      <c r="H230" s="228"/>
      <c r="I230" s="228"/>
      <c r="J230" s="229"/>
      <c r="K230" s="235"/>
      <c r="L230" s="227"/>
      <c r="M230" s="228"/>
      <c r="N230" s="228"/>
      <c r="O230" s="229"/>
      <c r="P230" s="230"/>
      <c r="Q230" s="231"/>
      <c r="R230" s="232"/>
      <c r="S230" s="233"/>
      <c r="T230" s="234"/>
      <c r="U230" s="1"/>
      <c r="V230" s="1"/>
    </row>
    <row r="231" spans="1:22" ht="24.95" customHeight="1" x14ac:dyDescent="0.2">
      <c r="A231" s="1"/>
      <c r="B231" s="39">
        <f t="shared" si="2"/>
        <v>31</v>
      </c>
      <c r="C231" s="30">
        <v>16220</v>
      </c>
      <c r="D231" s="44" t="s">
        <v>370</v>
      </c>
      <c r="E231" s="30" t="s">
        <v>0</v>
      </c>
      <c r="F231" s="226"/>
      <c r="G231" s="227"/>
      <c r="H231" s="228"/>
      <c r="I231" s="228"/>
      <c r="J231" s="229"/>
      <c r="K231" s="226"/>
      <c r="L231" s="227"/>
      <c r="M231" s="228"/>
      <c r="N231" s="228"/>
      <c r="O231" s="229"/>
      <c r="P231" s="230"/>
      <c r="Q231" s="231"/>
      <c r="R231" s="232"/>
      <c r="S231" s="233"/>
      <c r="T231" s="234"/>
      <c r="U231" s="1"/>
      <c r="V231" s="1"/>
    </row>
    <row r="232" spans="1:22" ht="24.95" customHeight="1" x14ac:dyDescent="0.2">
      <c r="A232" s="1"/>
      <c r="B232" s="39">
        <f t="shared" si="2"/>
        <v>32</v>
      </c>
      <c r="C232" s="224">
        <v>16113</v>
      </c>
      <c r="D232" s="225" t="s">
        <v>285</v>
      </c>
      <c r="E232" s="30" t="s">
        <v>0</v>
      </c>
      <c r="F232" s="71"/>
      <c r="G232" s="66"/>
      <c r="H232" s="67"/>
      <c r="I232" s="67"/>
      <c r="J232" s="68"/>
      <c r="K232" s="71"/>
      <c r="L232" s="66"/>
      <c r="M232" s="67"/>
      <c r="N232" s="67"/>
      <c r="O232" s="68"/>
      <c r="P232" s="40"/>
      <c r="Q232" s="69"/>
      <c r="R232" s="178"/>
      <c r="S232" s="90"/>
      <c r="T232" s="70"/>
      <c r="U232" s="1"/>
      <c r="V232" s="1"/>
    </row>
    <row r="233" spans="1:22" ht="24.95" customHeight="1" x14ac:dyDescent="0.2">
      <c r="A233" s="1"/>
      <c r="B233" s="39">
        <f t="shared" si="2"/>
        <v>33</v>
      </c>
      <c r="C233" s="30">
        <v>16221</v>
      </c>
      <c r="D233" s="44" t="s">
        <v>371</v>
      </c>
      <c r="E233" s="30" t="s">
        <v>0</v>
      </c>
      <c r="F233" s="62"/>
      <c r="G233" s="65"/>
      <c r="H233" s="2"/>
      <c r="I233" s="2"/>
      <c r="J233" s="61"/>
      <c r="K233" s="62"/>
      <c r="L233" s="65"/>
      <c r="M233" s="2"/>
      <c r="N233" s="2"/>
      <c r="O233" s="61"/>
      <c r="P233" s="3"/>
      <c r="Q233" s="63"/>
      <c r="R233" s="36"/>
      <c r="S233" s="60"/>
      <c r="T233" s="64"/>
      <c r="U233" s="1"/>
      <c r="V233" s="1"/>
    </row>
    <row r="234" spans="1:22" ht="24.95" customHeight="1" x14ac:dyDescent="0.2">
      <c r="A234" s="1"/>
      <c r="B234" s="39">
        <f t="shared" si="2"/>
        <v>34</v>
      </c>
      <c r="C234" s="35">
        <v>16222</v>
      </c>
      <c r="D234" s="166" t="s">
        <v>373</v>
      </c>
      <c r="E234" s="30" t="s">
        <v>0</v>
      </c>
      <c r="F234" s="62"/>
      <c r="G234" s="65"/>
      <c r="H234" s="2"/>
      <c r="I234" s="2"/>
      <c r="J234" s="61"/>
      <c r="K234" s="62"/>
      <c r="L234" s="65"/>
      <c r="M234" s="2"/>
      <c r="N234" s="2"/>
      <c r="O234" s="61"/>
      <c r="P234" s="3"/>
      <c r="Q234" s="63"/>
      <c r="R234" s="36"/>
      <c r="S234" s="60"/>
      <c r="T234" s="64"/>
      <c r="U234" s="1"/>
      <c r="V234" s="1"/>
    </row>
    <row r="235" spans="1:22" ht="24.95" customHeight="1" x14ac:dyDescent="0.2">
      <c r="A235" s="1"/>
      <c r="B235" s="39">
        <f t="shared" si="2"/>
        <v>35</v>
      </c>
      <c r="C235" s="35"/>
      <c r="D235" s="166"/>
      <c r="E235" s="30" t="s">
        <v>0</v>
      </c>
      <c r="F235" s="62"/>
      <c r="G235" s="65"/>
      <c r="H235" s="2"/>
      <c r="I235" s="2"/>
      <c r="J235" s="61"/>
      <c r="K235" s="62"/>
      <c r="L235" s="65"/>
      <c r="M235" s="2"/>
      <c r="N235" s="2"/>
      <c r="O235" s="61"/>
      <c r="P235" s="3"/>
      <c r="Q235" s="63"/>
      <c r="R235" s="36"/>
      <c r="S235" s="60"/>
      <c r="T235" s="64"/>
      <c r="U235" s="1"/>
      <c r="V235" s="1"/>
    </row>
    <row r="236" spans="1:22" ht="24.95" customHeight="1" x14ac:dyDescent="0.2">
      <c r="A236" s="1"/>
      <c r="B236" s="39">
        <f t="shared" si="2"/>
        <v>36</v>
      </c>
      <c r="C236" s="35"/>
      <c r="D236" s="166"/>
      <c r="E236" s="30" t="s">
        <v>0</v>
      </c>
      <c r="F236" s="62"/>
      <c r="G236" s="65"/>
      <c r="H236" s="2"/>
      <c r="I236" s="2"/>
      <c r="J236" s="61"/>
      <c r="K236" s="62"/>
      <c r="L236" s="65"/>
      <c r="M236" s="2"/>
      <c r="N236" s="2"/>
      <c r="O236" s="61"/>
      <c r="P236" s="3"/>
      <c r="Q236" s="63"/>
      <c r="R236" s="36"/>
      <c r="S236" s="60"/>
      <c r="T236" s="64"/>
      <c r="U236" s="1"/>
      <c r="V236" s="1"/>
    </row>
    <row r="237" spans="1:22" ht="24.95" customHeight="1" x14ac:dyDescent="0.2">
      <c r="A237" s="1"/>
      <c r="B237" s="39">
        <f t="shared" si="2"/>
        <v>37</v>
      </c>
      <c r="C237" s="35"/>
      <c r="D237" s="166"/>
      <c r="E237" s="30" t="s">
        <v>0</v>
      </c>
      <c r="F237" s="62"/>
      <c r="G237" s="65"/>
      <c r="H237" s="2"/>
      <c r="I237" s="2"/>
      <c r="J237" s="61"/>
      <c r="K237" s="62"/>
      <c r="L237" s="65"/>
      <c r="M237" s="2"/>
      <c r="N237" s="2"/>
      <c r="O237" s="61"/>
      <c r="P237" s="3"/>
      <c r="Q237" s="63"/>
      <c r="R237" s="36"/>
      <c r="S237" s="60"/>
      <c r="T237" s="64"/>
      <c r="U237" s="1"/>
      <c r="V237" s="1"/>
    </row>
    <row r="238" spans="1:22" ht="24.95" customHeight="1" x14ac:dyDescent="0.2">
      <c r="A238" s="1"/>
      <c r="B238" s="39">
        <f t="shared" si="2"/>
        <v>38</v>
      </c>
      <c r="C238" s="35"/>
      <c r="D238" s="166"/>
      <c r="E238" s="30" t="s">
        <v>0</v>
      </c>
      <c r="F238" s="62"/>
      <c r="G238" s="65"/>
      <c r="H238" s="2"/>
      <c r="I238" s="2"/>
      <c r="J238" s="61"/>
      <c r="K238" s="62"/>
      <c r="L238" s="65"/>
      <c r="M238" s="2"/>
      <c r="N238" s="2"/>
      <c r="O238" s="61"/>
      <c r="P238" s="3"/>
      <c r="Q238" s="63"/>
      <c r="R238" s="36"/>
      <c r="S238" s="60"/>
      <c r="T238" s="64"/>
      <c r="U238" s="1"/>
      <c r="V238" s="1"/>
    </row>
    <row r="239" spans="1:22" ht="24.95" customHeight="1" x14ac:dyDescent="0.2">
      <c r="A239" s="1"/>
      <c r="B239" s="39">
        <f t="shared" si="2"/>
        <v>39</v>
      </c>
      <c r="C239" s="35"/>
      <c r="D239" s="166"/>
      <c r="E239" s="30"/>
      <c r="F239" s="62"/>
      <c r="G239" s="65"/>
      <c r="H239" s="2"/>
      <c r="I239" s="2"/>
      <c r="J239" s="61"/>
      <c r="K239" s="62"/>
      <c r="L239" s="65"/>
      <c r="M239" s="2"/>
      <c r="N239" s="2"/>
      <c r="O239" s="61"/>
      <c r="P239" s="3"/>
      <c r="Q239" s="63"/>
      <c r="R239" s="36"/>
      <c r="S239" s="60"/>
      <c r="T239" s="64"/>
      <c r="U239" s="1"/>
      <c r="V239" s="1"/>
    </row>
    <row r="240" spans="1:22" ht="24.95" customHeight="1" thickBot="1" x14ac:dyDescent="0.25">
      <c r="A240" s="1"/>
      <c r="B240" s="86"/>
      <c r="C240" s="41"/>
      <c r="D240" s="87"/>
      <c r="E240" s="174"/>
      <c r="F240" s="77"/>
      <c r="G240" s="74"/>
      <c r="H240" s="75"/>
      <c r="I240" s="75"/>
      <c r="J240" s="76"/>
      <c r="K240" s="77"/>
      <c r="L240" s="74"/>
      <c r="M240" s="75"/>
      <c r="N240" s="75"/>
      <c r="O240" s="76"/>
      <c r="P240" s="75"/>
      <c r="Q240" s="78"/>
      <c r="R240" s="78"/>
      <c r="S240" s="78"/>
      <c r="T240" s="76"/>
      <c r="U240" s="1"/>
      <c r="V240" s="1"/>
    </row>
    <row r="241" spans="1:22" ht="18.95" customHeight="1" x14ac:dyDescent="0.2">
      <c r="A241" s="1"/>
      <c r="B241" s="37"/>
      <c r="C241" s="37"/>
      <c r="D241" s="1"/>
      <c r="E241" s="3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8.95" customHeight="1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8.95" customHeight="1" x14ac:dyDescent="0.2">
      <c r="A243" s="1"/>
      <c r="B243" s="255"/>
      <c r="C243" s="256"/>
      <c r="D243" s="259" t="s">
        <v>3</v>
      </c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1"/>
      <c r="U243" s="1"/>
      <c r="V243" s="1"/>
    </row>
    <row r="244" spans="1:22" ht="18.95" customHeight="1" x14ac:dyDescent="0.2">
      <c r="A244" s="1"/>
      <c r="B244" s="257"/>
      <c r="C244" s="258"/>
      <c r="D244" s="262" t="s">
        <v>4</v>
      </c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4"/>
      <c r="U244" s="1"/>
      <c r="V244" s="1"/>
    </row>
    <row r="245" spans="1:22" ht="18.95" customHeight="1" thickBot="1" x14ac:dyDescent="0.25">
      <c r="A245" s="1"/>
      <c r="B245" s="257"/>
      <c r="C245" s="258"/>
      <c r="D245" s="265" t="s">
        <v>547</v>
      </c>
      <c r="E245" s="266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7"/>
      <c r="U245" s="1"/>
      <c r="V245" s="1"/>
    </row>
    <row r="246" spans="1:22" ht="18.95" customHeight="1" thickBot="1" x14ac:dyDescent="0.25">
      <c r="A246" s="1"/>
      <c r="B246" s="268"/>
      <c r="C246" s="269"/>
      <c r="D246" s="25" t="s">
        <v>551</v>
      </c>
      <c r="E246" s="26"/>
      <c r="F246" s="27" t="s">
        <v>815</v>
      </c>
      <c r="G246" s="27"/>
      <c r="H246" s="27"/>
      <c r="I246" s="28"/>
      <c r="J246" s="28"/>
      <c r="K246" s="27"/>
      <c r="L246" s="27"/>
      <c r="M246" s="27"/>
      <c r="N246" s="27"/>
      <c r="O246" s="27"/>
      <c r="P246" s="27"/>
      <c r="Q246" s="27"/>
      <c r="R246" s="27"/>
      <c r="S246" s="27"/>
      <c r="T246" s="123"/>
      <c r="U246" s="1"/>
      <c r="V246" s="1"/>
    </row>
    <row r="247" spans="1:22" ht="18.95" customHeight="1" thickBot="1" x14ac:dyDescent="0.25">
      <c r="A247" s="1"/>
      <c r="B247" s="271" t="s">
        <v>6</v>
      </c>
      <c r="C247" s="272"/>
      <c r="D247" s="270" t="s">
        <v>7</v>
      </c>
      <c r="E247" s="273" t="s">
        <v>12</v>
      </c>
      <c r="F247" s="268"/>
      <c r="G247" s="277"/>
      <c r="H247" s="277"/>
      <c r="I247" s="277"/>
      <c r="J247" s="269"/>
      <c r="K247" s="268"/>
      <c r="L247" s="277"/>
      <c r="M247" s="277"/>
      <c r="N247" s="277"/>
      <c r="O247" s="269"/>
      <c r="P247" s="272"/>
      <c r="Q247" s="277"/>
      <c r="R247" s="277"/>
      <c r="S247" s="277"/>
      <c r="T247" s="269"/>
      <c r="U247" s="1"/>
      <c r="V247" s="1"/>
    </row>
    <row r="248" spans="1:22" ht="18.95" customHeight="1" thickBot="1" x14ac:dyDescent="0.25">
      <c r="A248" s="1"/>
      <c r="B248" s="42" t="s">
        <v>10</v>
      </c>
      <c r="C248" s="42" t="s">
        <v>9</v>
      </c>
      <c r="D248" s="270"/>
      <c r="E248" s="274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1"/>
      <c r="V248" s="1"/>
    </row>
    <row r="249" spans="1:22" ht="24.95" customHeight="1" x14ac:dyDescent="0.2">
      <c r="A249" s="1"/>
      <c r="B249" s="85">
        <v>1</v>
      </c>
      <c r="C249" s="32">
        <v>16320</v>
      </c>
      <c r="D249" s="44" t="s">
        <v>458</v>
      </c>
      <c r="E249" s="30" t="s">
        <v>1</v>
      </c>
      <c r="F249" s="62"/>
      <c r="G249" s="79"/>
      <c r="H249" s="80"/>
      <c r="I249" s="2"/>
      <c r="J249" s="61"/>
      <c r="K249" s="62"/>
      <c r="L249" s="79"/>
      <c r="M249" s="80"/>
      <c r="N249" s="2"/>
      <c r="O249" s="61"/>
      <c r="P249" s="81"/>
      <c r="Q249" s="82"/>
      <c r="R249" s="36"/>
      <c r="S249" s="60"/>
      <c r="T249" s="83"/>
      <c r="U249" s="1"/>
      <c r="V249" s="1"/>
    </row>
    <row r="250" spans="1:22" ht="24.95" customHeight="1" x14ac:dyDescent="0.2">
      <c r="A250" s="1"/>
      <c r="B250" s="39">
        <f t="shared" ref="B250:B285" si="3">B249+1</f>
        <v>2</v>
      </c>
      <c r="C250" s="30">
        <v>16290</v>
      </c>
      <c r="D250" s="44" t="s">
        <v>430</v>
      </c>
      <c r="E250" s="30" t="s">
        <v>1</v>
      </c>
      <c r="F250" s="62"/>
      <c r="G250" s="60"/>
      <c r="H250" s="2"/>
      <c r="I250" s="2"/>
      <c r="J250" s="61"/>
      <c r="K250" s="62"/>
      <c r="L250" s="60"/>
      <c r="M250" s="2"/>
      <c r="N250" s="2"/>
      <c r="O250" s="61"/>
      <c r="P250" s="3"/>
      <c r="Q250" s="63"/>
      <c r="R250" s="36"/>
      <c r="S250" s="60"/>
      <c r="T250" s="64"/>
      <c r="U250" s="1"/>
      <c r="V250" s="1"/>
    </row>
    <row r="251" spans="1:22" ht="24.95" customHeight="1" x14ac:dyDescent="0.2">
      <c r="A251" s="1"/>
      <c r="B251" s="39">
        <f t="shared" si="3"/>
        <v>3</v>
      </c>
      <c r="C251" s="30">
        <v>16291</v>
      </c>
      <c r="D251" s="44" t="s">
        <v>431</v>
      </c>
      <c r="E251" s="30" t="s">
        <v>1</v>
      </c>
      <c r="F251" s="62"/>
      <c r="G251" s="60"/>
      <c r="H251" s="2"/>
      <c r="I251" s="2"/>
      <c r="J251" s="61"/>
      <c r="K251" s="62"/>
      <c r="L251" s="60"/>
      <c r="M251" s="2"/>
      <c r="N251" s="2"/>
      <c r="O251" s="61"/>
      <c r="P251" s="3"/>
      <c r="Q251" s="63"/>
      <c r="R251" s="36"/>
      <c r="S251" s="60"/>
      <c r="T251" s="64"/>
      <c r="U251" s="1"/>
      <c r="V251" s="1"/>
    </row>
    <row r="252" spans="1:22" ht="24.95" customHeight="1" x14ac:dyDescent="0.2">
      <c r="A252" s="1"/>
      <c r="B252" s="39">
        <f t="shared" si="3"/>
        <v>4</v>
      </c>
      <c r="C252" s="30">
        <v>16322</v>
      </c>
      <c r="D252" s="44" t="s">
        <v>460</v>
      </c>
      <c r="E252" s="30" t="s">
        <v>1</v>
      </c>
      <c r="F252" s="62"/>
      <c r="G252" s="60"/>
      <c r="H252" s="2"/>
      <c r="I252" s="2"/>
      <c r="J252" s="61"/>
      <c r="K252" s="62"/>
      <c r="L252" s="60"/>
      <c r="M252" s="2"/>
      <c r="N252" s="2"/>
      <c r="O252" s="61"/>
      <c r="P252" s="3"/>
      <c r="Q252" s="63"/>
      <c r="R252" s="36"/>
      <c r="S252" s="60"/>
      <c r="T252" s="64"/>
      <c r="U252" s="1"/>
      <c r="V252" s="1"/>
    </row>
    <row r="253" spans="1:22" ht="24.95" customHeight="1" x14ac:dyDescent="0.2">
      <c r="A253" s="1"/>
      <c r="B253" s="39">
        <f t="shared" si="3"/>
        <v>5</v>
      </c>
      <c r="C253" s="30">
        <v>16323</v>
      </c>
      <c r="D253" s="44" t="s">
        <v>461</v>
      </c>
      <c r="E253" s="30" t="s">
        <v>1</v>
      </c>
      <c r="F253" s="62"/>
      <c r="G253" s="60"/>
      <c r="H253" s="2"/>
      <c r="I253" s="2"/>
      <c r="J253" s="61"/>
      <c r="K253" s="62"/>
      <c r="L253" s="60"/>
      <c r="M253" s="2"/>
      <c r="N253" s="2"/>
      <c r="O253" s="61"/>
      <c r="P253" s="3"/>
      <c r="Q253" s="63"/>
      <c r="R253" s="36"/>
      <c r="S253" s="60"/>
      <c r="T253" s="64"/>
      <c r="U253" s="1"/>
      <c r="V253" s="1"/>
    </row>
    <row r="254" spans="1:22" ht="24.95" customHeight="1" x14ac:dyDescent="0.2">
      <c r="A254" s="1"/>
      <c r="B254" s="39">
        <f t="shared" si="3"/>
        <v>6</v>
      </c>
      <c r="C254" s="30">
        <v>16353</v>
      </c>
      <c r="D254" s="44" t="s">
        <v>510</v>
      </c>
      <c r="E254" s="30" t="s">
        <v>1</v>
      </c>
      <c r="F254" s="62"/>
      <c r="G254" s="60"/>
      <c r="H254" s="2"/>
      <c r="I254" s="2"/>
      <c r="J254" s="61"/>
      <c r="K254" s="62"/>
      <c r="L254" s="60"/>
      <c r="M254" s="2"/>
      <c r="N254" s="2"/>
      <c r="O254" s="61"/>
      <c r="P254" s="3"/>
      <c r="Q254" s="63"/>
      <c r="R254" s="36"/>
      <c r="S254" s="60"/>
      <c r="T254" s="64"/>
      <c r="U254" s="1"/>
      <c r="V254" s="1"/>
    </row>
    <row r="255" spans="1:22" ht="24.95" customHeight="1" x14ac:dyDescent="0.2">
      <c r="A255" s="1"/>
      <c r="B255" s="39">
        <f t="shared" si="3"/>
        <v>7</v>
      </c>
      <c r="C255" s="30">
        <v>16325</v>
      </c>
      <c r="D255" s="44" t="s">
        <v>463</v>
      </c>
      <c r="E255" s="30" t="s">
        <v>1</v>
      </c>
      <c r="F255" s="62"/>
      <c r="G255" s="60"/>
      <c r="H255" s="2"/>
      <c r="I255" s="2"/>
      <c r="J255" s="61"/>
      <c r="K255" s="62"/>
      <c r="L255" s="60"/>
      <c r="M255" s="2"/>
      <c r="N255" s="2"/>
      <c r="O255" s="61"/>
      <c r="P255" s="3"/>
      <c r="Q255" s="63"/>
      <c r="R255" s="36"/>
      <c r="S255" s="60"/>
      <c r="T255" s="64"/>
      <c r="U255" s="1"/>
      <c r="V255" s="1"/>
    </row>
    <row r="256" spans="1:22" ht="24.95" customHeight="1" x14ac:dyDescent="0.2">
      <c r="A256" s="1"/>
      <c r="B256" s="39">
        <f t="shared" si="3"/>
        <v>8</v>
      </c>
      <c r="C256" s="30">
        <v>16326</v>
      </c>
      <c r="D256" s="44" t="s">
        <v>464</v>
      </c>
      <c r="E256" s="30" t="s">
        <v>1</v>
      </c>
      <c r="F256" s="62"/>
      <c r="G256" s="60"/>
      <c r="H256" s="2"/>
      <c r="I256" s="2"/>
      <c r="J256" s="61"/>
      <c r="K256" s="62"/>
      <c r="L256" s="60"/>
      <c r="M256" s="2"/>
      <c r="N256" s="2"/>
      <c r="O256" s="61"/>
      <c r="P256" s="3"/>
      <c r="Q256" s="63"/>
      <c r="R256" s="36"/>
      <c r="S256" s="60"/>
      <c r="T256" s="64"/>
      <c r="U256" s="1"/>
      <c r="V256" s="1"/>
    </row>
    <row r="257" spans="1:22" ht="24.95" customHeight="1" x14ac:dyDescent="0.2">
      <c r="A257" s="1"/>
      <c r="B257" s="39">
        <f t="shared" si="3"/>
        <v>9</v>
      </c>
      <c r="C257" s="30">
        <v>16264</v>
      </c>
      <c r="D257" s="44" t="s">
        <v>407</v>
      </c>
      <c r="E257" s="30" t="s">
        <v>1</v>
      </c>
      <c r="F257" s="62"/>
      <c r="G257" s="60"/>
      <c r="H257" s="2"/>
      <c r="I257" s="2"/>
      <c r="J257" s="61"/>
      <c r="K257" s="62"/>
      <c r="L257" s="60"/>
      <c r="M257" s="2"/>
      <c r="N257" s="2"/>
      <c r="O257" s="61"/>
      <c r="P257" s="3"/>
      <c r="Q257" s="63"/>
      <c r="R257" s="36"/>
      <c r="S257" s="60"/>
      <c r="T257" s="64"/>
      <c r="U257" s="1"/>
      <c r="V257" s="1"/>
    </row>
    <row r="258" spans="1:22" ht="24.95" customHeight="1" x14ac:dyDescent="0.2">
      <c r="A258" s="1"/>
      <c r="B258" s="39">
        <f t="shared" si="3"/>
        <v>10</v>
      </c>
      <c r="C258" s="30">
        <v>16327</v>
      </c>
      <c r="D258" s="44" t="s">
        <v>465</v>
      </c>
      <c r="E258" s="30" t="s">
        <v>1</v>
      </c>
      <c r="F258" s="62"/>
      <c r="G258" s="60"/>
      <c r="H258" s="2"/>
      <c r="I258" s="2"/>
      <c r="J258" s="61"/>
      <c r="K258" s="62"/>
      <c r="L258" s="60"/>
      <c r="M258" s="2"/>
      <c r="N258" s="2"/>
      <c r="O258" s="61"/>
      <c r="P258" s="3"/>
      <c r="Q258" s="63"/>
      <c r="R258" s="93"/>
      <c r="S258" s="55"/>
      <c r="T258" s="64"/>
      <c r="U258" s="1"/>
      <c r="V258" s="1"/>
    </row>
    <row r="259" spans="1:22" ht="24.95" customHeight="1" x14ac:dyDescent="0.2">
      <c r="A259" s="1"/>
      <c r="B259" s="39">
        <f t="shared" si="3"/>
        <v>11</v>
      </c>
      <c r="C259" s="30">
        <v>16329</v>
      </c>
      <c r="D259" s="44" t="s">
        <v>466</v>
      </c>
      <c r="E259" s="30" t="s">
        <v>1</v>
      </c>
      <c r="F259" s="62"/>
      <c r="G259" s="60"/>
      <c r="H259" s="2"/>
      <c r="I259" s="2"/>
      <c r="J259" s="61"/>
      <c r="K259" s="62"/>
      <c r="L259" s="60"/>
      <c r="M259" s="2"/>
      <c r="N259" s="2"/>
      <c r="O259" s="61"/>
      <c r="P259" s="3"/>
      <c r="Q259" s="63"/>
      <c r="R259" s="36"/>
      <c r="S259" s="60"/>
      <c r="T259" s="64"/>
      <c r="U259" s="1"/>
      <c r="V259" s="1"/>
    </row>
    <row r="260" spans="1:22" ht="24.95" customHeight="1" x14ac:dyDescent="0.2">
      <c r="A260" s="1"/>
      <c r="B260" s="39">
        <f t="shared" si="3"/>
        <v>12</v>
      </c>
      <c r="C260" s="30">
        <v>16331</v>
      </c>
      <c r="D260" s="44" t="s">
        <v>484</v>
      </c>
      <c r="E260" s="30" t="s">
        <v>1</v>
      </c>
      <c r="F260" s="62"/>
      <c r="G260" s="60"/>
      <c r="H260" s="2"/>
      <c r="I260" s="2"/>
      <c r="J260" s="61"/>
      <c r="K260" s="62"/>
      <c r="L260" s="60"/>
      <c r="M260" s="2"/>
      <c r="N260" s="2"/>
      <c r="O260" s="61"/>
      <c r="P260" s="3"/>
      <c r="Q260" s="63"/>
      <c r="R260" s="36"/>
      <c r="S260" s="60"/>
      <c r="T260" s="64"/>
      <c r="U260" s="1"/>
      <c r="V260" s="1"/>
    </row>
    <row r="261" spans="1:22" ht="24.95" customHeight="1" x14ac:dyDescent="0.2">
      <c r="A261" s="1"/>
      <c r="B261" s="39">
        <f t="shared" si="3"/>
        <v>13</v>
      </c>
      <c r="C261" s="30">
        <v>16359</v>
      </c>
      <c r="D261" s="44" t="s">
        <v>490</v>
      </c>
      <c r="E261" s="224" t="s">
        <v>1</v>
      </c>
      <c r="F261" s="235"/>
      <c r="G261" s="236"/>
      <c r="H261" s="237"/>
      <c r="I261" s="237"/>
      <c r="J261" s="238"/>
      <c r="K261" s="235"/>
      <c r="L261" s="236"/>
      <c r="M261" s="237"/>
      <c r="N261" s="237"/>
      <c r="O261" s="238"/>
      <c r="P261" s="239"/>
      <c r="Q261" s="240"/>
      <c r="R261" s="241"/>
      <c r="S261" s="236"/>
      <c r="T261" s="242"/>
      <c r="U261" s="1"/>
      <c r="V261" s="1"/>
    </row>
    <row r="262" spans="1:22" ht="24.95" customHeight="1" x14ac:dyDescent="0.2">
      <c r="A262" s="1"/>
      <c r="B262" s="39">
        <f t="shared" si="3"/>
        <v>14</v>
      </c>
      <c r="C262" s="30">
        <v>16303</v>
      </c>
      <c r="D262" s="44" t="s">
        <v>457</v>
      </c>
      <c r="E262" s="224" t="s">
        <v>1</v>
      </c>
      <c r="F262" s="235"/>
      <c r="G262" s="236"/>
      <c r="H262" s="237"/>
      <c r="I262" s="237"/>
      <c r="J262" s="238"/>
      <c r="K262" s="235"/>
      <c r="L262" s="236"/>
      <c r="M262" s="237"/>
      <c r="N262" s="237"/>
      <c r="O262" s="238"/>
      <c r="P262" s="239"/>
      <c r="Q262" s="240"/>
      <c r="R262" s="241"/>
      <c r="S262" s="236"/>
      <c r="T262" s="242"/>
      <c r="U262" s="1"/>
      <c r="V262" s="1"/>
    </row>
    <row r="263" spans="1:22" ht="24.95" customHeight="1" x14ac:dyDescent="0.2">
      <c r="A263" s="1"/>
      <c r="B263" s="39">
        <f t="shared" si="3"/>
        <v>15</v>
      </c>
      <c r="C263" s="224">
        <v>16308</v>
      </c>
      <c r="D263" s="225" t="s">
        <v>445</v>
      </c>
      <c r="E263" s="30" t="s">
        <v>1</v>
      </c>
      <c r="F263" s="62"/>
      <c r="G263" s="60"/>
      <c r="H263" s="2"/>
      <c r="I263" s="2"/>
      <c r="J263" s="61"/>
      <c r="K263" s="62"/>
      <c r="L263" s="60"/>
      <c r="M263" s="2"/>
      <c r="N263" s="2"/>
      <c r="O263" s="61"/>
      <c r="P263" s="3"/>
      <c r="Q263" s="63"/>
      <c r="R263" s="36"/>
      <c r="S263" s="60"/>
      <c r="T263" s="64"/>
      <c r="U263" s="1"/>
      <c r="V263" s="1"/>
    </row>
    <row r="264" spans="1:22" ht="24.95" customHeight="1" x14ac:dyDescent="0.2">
      <c r="A264" s="1"/>
      <c r="B264" s="39">
        <f t="shared" si="3"/>
        <v>16</v>
      </c>
      <c r="C264" s="224">
        <v>16273</v>
      </c>
      <c r="D264" s="225" t="s">
        <v>415</v>
      </c>
      <c r="E264" s="30" t="s">
        <v>1</v>
      </c>
      <c r="F264" s="62"/>
      <c r="G264" s="60"/>
      <c r="H264" s="2"/>
      <c r="I264" s="2"/>
      <c r="J264" s="61"/>
      <c r="K264" s="62"/>
      <c r="L264" s="60"/>
      <c r="M264" s="2"/>
      <c r="N264" s="2"/>
      <c r="O264" s="61"/>
      <c r="P264" s="3"/>
      <c r="Q264" s="63"/>
      <c r="R264" s="36"/>
      <c r="S264" s="60"/>
      <c r="T264" s="64"/>
      <c r="U264" s="1"/>
      <c r="V264" s="1"/>
    </row>
    <row r="265" spans="1:22" ht="24.95" customHeight="1" x14ac:dyDescent="0.2">
      <c r="A265" s="1"/>
      <c r="B265" s="39">
        <f t="shared" si="3"/>
        <v>17</v>
      </c>
      <c r="C265" s="30">
        <v>16360</v>
      </c>
      <c r="D265" s="44" t="s">
        <v>491</v>
      </c>
      <c r="E265" s="30" t="s">
        <v>1</v>
      </c>
      <c r="F265" s="62"/>
      <c r="G265" s="65"/>
      <c r="H265" s="2"/>
      <c r="I265" s="2"/>
      <c r="J265" s="61"/>
      <c r="K265" s="62"/>
      <c r="L265" s="65"/>
      <c r="M265" s="2"/>
      <c r="N265" s="2"/>
      <c r="O265" s="61"/>
      <c r="P265" s="3"/>
      <c r="Q265" s="63"/>
      <c r="R265" s="93"/>
      <c r="S265" s="55"/>
      <c r="T265" s="64"/>
      <c r="U265" s="1"/>
      <c r="V265" s="1"/>
    </row>
    <row r="266" spans="1:22" ht="24.95" customHeight="1" x14ac:dyDescent="0.2">
      <c r="A266" s="1"/>
      <c r="B266" s="39">
        <f t="shared" si="3"/>
        <v>18</v>
      </c>
      <c r="C266" s="30">
        <v>16361</v>
      </c>
      <c r="D266" s="44" t="s">
        <v>492</v>
      </c>
      <c r="E266" s="30" t="s">
        <v>1</v>
      </c>
      <c r="F266" s="62"/>
      <c r="G266" s="65"/>
      <c r="H266" s="2"/>
      <c r="I266" s="2"/>
      <c r="J266" s="61"/>
      <c r="K266" s="62"/>
      <c r="L266" s="65"/>
      <c r="M266" s="2"/>
      <c r="N266" s="2"/>
      <c r="O266" s="61"/>
      <c r="P266" s="3"/>
      <c r="Q266" s="63"/>
      <c r="R266" s="93"/>
      <c r="S266" s="55"/>
      <c r="T266" s="64"/>
      <c r="U266" s="1"/>
      <c r="V266" s="1"/>
    </row>
    <row r="267" spans="1:22" ht="24.95" customHeight="1" x14ac:dyDescent="0.2">
      <c r="A267" s="1"/>
      <c r="B267" s="39">
        <f t="shared" si="3"/>
        <v>19</v>
      </c>
      <c r="C267" s="30">
        <v>16274</v>
      </c>
      <c r="D267" s="44" t="s">
        <v>416</v>
      </c>
      <c r="E267" s="30" t="s">
        <v>1</v>
      </c>
      <c r="F267" s="62"/>
      <c r="G267" s="65"/>
      <c r="H267" s="2"/>
      <c r="I267" s="2"/>
      <c r="J267" s="61"/>
      <c r="K267" s="62"/>
      <c r="L267" s="65"/>
      <c r="M267" s="2"/>
      <c r="N267" s="2"/>
      <c r="O267" s="61"/>
      <c r="P267" s="3"/>
      <c r="Q267" s="63"/>
      <c r="R267" s="36"/>
      <c r="S267" s="60"/>
      <c r="T267" s="64"/>
      <c r="U267" s="1"/>
      <c r="V267" s="1"/>
    </row>
    <row r="268" spans="1:22" ht="24.95" customHeight="1" x14ac:dyDescent="0.2">
      <c r="A268" s="1"/>
      <c r="B268" s="39">
        <f t="shared" si="3"/>
        <v>20</v>
      </c>
      <c r="C268" s="30">
        <v>16276</v>
      </c>
      <c r="D268" s="44" t="s">
        <v>418</v>
      </c>
      <c r="E268" s="30" t="s">
        <v>1</v>
      </c>
      <c r="F268" s="62"/>
      <c r="G268" s="60"/>
      <c r="H268" s="2"/>
      <c r="I268" s="2"/>
      <c r="J268" s="61"/>
      <c r="K268" s="62"/>
      <c r="L268" s="60"/>
      <c r="M268" s="2"/>
      <c r="N268" s="2"/>
      <c r="O268" s="61"/>
      <c r="P268" s="3"/>
      <c r="Q268" s="63"/>
      <c r="R268" s="36"/>
      <c r="S268" s="60"/>
      <c r="T268" s="64"/>
      <c r="U268" s="1"/>
      <c r="V268" s="1"/>
    </row>
    <row r="269" spans="1:22" ht="24.95" customHeight="1" x14ac:dyDescent="0.2">
      <c r="A269" s="1"/>
      <c r="B269" s="39">
        <f t="shared" si="3"/>
        <v>21</v>
      </c>
      <c r="C269" s="30">
        <v>16362</v>
      </c>
      <c r="D269" s="44" t="s">
        <v>493</v>
      </c>
      <c r="E269" s="30" t="s">
        <v>1</v>
      </c>
      <c r="F269" s="62"/>
      <c r="G269" s="65"/>
      <c r="H269" s="2"/>
      <c r="I269" s="2"/>
      <c r="J269" s="61"/>
      <c r="K269" s="62"/>
      <c r="L269" s="65"/>
      <c r="M269" s="2"/>
      <c r="N269" s="2"/>
      <c r="O269" s="61"/>
      <c r="P269" s="3"/>
      <c r="Q269" s="63"/>
      <c r="R269" s="36"/>
      <c r="S269" s="60"/>
      <c r="T269" s="64"/>
      <c r="U269" s="1"/>
      <c r="V269" s="1"/>
    </row>
    <row r="270" spans="1:22" ht="24.95" customHeight="1" x14ac:dyDescent="0.2">
      <c r="A270" s="1"/>
      <c r="B270" s="39">
        <f t="shared" si="3"/>
        <v>22</v>
      </c>
      <c r="C270" s="30">
        <v>16363</v>
      </c>
      <c r="D270" s="44" t="s">
        <v>494</v>
      </c>
      <c r="E270" s="30" t="s">
        <v>1</v>
      </c>
      <c r="F270" s="62"/>
      <c r="G270" s="66"/>
      <c r="H270" s="67"/>
      <c r="I270" s="67"/>
      <c r="J270" s="68"/>
      <c r="K270" s="62"/>
      <c r="L270" s="66"/>
      <c r="M270" s="67"/>
      <c r="N270" s="67"/>
      <c r="O270" s="68"/>
      <c r="P270" s="40"/>
      <c r="Q270" s="69"/>
      <c r="R270" s="178"/>
      <c r="S270" s="90"/>
      <c r="T270" s="70"/>
      <c r="U270" s="1"/>
      <c r="V270" s="1"/>
    </row>
    <row r="271" spans="1:22" ht="24.95" customHeight="1" x14ac:dyDescent="0.2">
      <c r="A271" s="1"/>
      <c r="B271" s="39">
        <f t="shared" si="3"/>
        <v>23</v>
      </c>
      <c r="C271" s="30">
        <v>16344</v>
      </c>
      <c r="D271" s="44" t="s">
        <v>477</v>
      </c>
      <c r="E271" s="30" t="s">
        <v>1</v>
      </c>
      <c r="F271" s="62"/>
      <c r="G271" s="66"/>
      <c r="H271" s="67"/>
      <c r="I271" s="67"/>
      <c r="J271" s="68"/>
      <c r="K271" s="62"/>
      <c r="L271" s="66"/>
      <c r="M271" s="67"/>
      <c r="N271" s="67"/>
      <c r="O271" s="68"/>
      <c r="P271" s="40"/>
      <c r="Q271" s="69"/>
      <c r="R271" s="178"/>
      <c r="S271" s="90"/>
      <c r="T271" s="70"/>
      <c r="U271" s="1"/>
      <c r="V271" s="1"/>
    </row>
    <row r="272" spans="1:22" ht="24.95" customHeight="1" x14ac:dyDescent="0.2">
      <c r="A272" s="1"/>
      <c r="B272" s="39">
        <f t="shared" si="3"/>
        <v>24</v>
      </c>
      <c r="C272" s="30">
        <v>16367</v>
      </c>
      <c r="D272" s="44" t="s">
        <v>498</v>
      </c>
      <c r="E272" s="30" t="s">
        <v>1</v>
      </c>
      <c r="F272" s="62"/>
      <c r="G272" s="66"/>
      <c r="H272" s="67"/>
      <c r="I272" s="67"/>
      <c r="J272" s="68"/>
      <c r="K272" s="62"/>
      <c r="L272" s="66"/>
      <c r="M272" s="67"/>
      <c r="N272" s="67"/>
      <c r="O272" s="68"/>
      <c r="P272" s="40"/>
      <c r="Q272" s="69"/>
      <c r="R272" s="178"/>
      <c r="S272" s="90"/>
      <c r="T272" s="70"/>
      <c r="U272" s="1"/>
      <c r="V272" s="1"/>
    </row>
    <row r="273" spans="1:22" ht="24.95" customHeight="1" x14ac:dyDescent="0.2">
      <c r="A273" s="1"/>
      <c r="B273" s="39">
        <f t="shared" si="3"/>
        <v>25</v>
      </c>
      <c r="C273" s="30">
        <v>16368</v>
      </c>
      <c r="D273" s="44" t="s">
        <v>499</v>
      </c>
      <c r="E273" s="30" t="s">
        <v>1</v>
      </c>
      <c r="F273" s="62"/>
      <c r="G273" s="66"/>
      <c r="H273" s="67"/>
      <c r="I273" s="67"/>
      <c r="J273" s="68"/>
      <c r="K273" s="62"/>
      <c r="L273" s="66"/>
      <c r="M273" s="67"/>
      <c r="N273" s="67"/>
      <c r="O273" s="68"/>
      <c r="P273" s="40"/>
      <c r="Q273" s="69"/>
      <c r="R273" s="178"/>
      <c r="S273" s="90"/>
      <c r="T273" s="70"/>
      <c r="U273" s="1"/>
      <c r="V273" s="1"/>
    </row>
    <row r="274" spans="1:22" ht="24.95" customHeight="1" x14ac:dyDescent="0.2">
      <c r="A274" s="1"/>
      <c r="B274" s="39">
        <f t="shared" si="3"/>
        <v>26</v>
      </c>
      <c r="C274" s="30">
        <v>16370</v>
      </c>
      <c r="D274" s="44" t="s">
        <v>500</v>
      </c>
      <c r="E274" s="30" t="s">
        <v>1</v>
      </c>
      <c r="F274" s="62"/>
      <c r="G274" s="66"/>
      <c r="H274" s="67"/>
      <c r="I274" s="67"/>
      <c r="J274" s="68"/>
      <c r="K274" s="62"/>
      <c r="L274" s="66"/>
      <c r="M274" s="67"/>
      <c r="N274" s="67"/>
      <c r="O274" s="68"/>
      <c r="P274" s="40"/>
      <c r="Q274" s="69"/>
      <c r="R274" s="178"/>
      <c r="S274" s="90"/>
      <c r="T274" s="70"/>
      <c r="U274" s="1"/>
      <c r="V274" s="1"/>
    </row>
    <row r="275" spans="1:22" ht="24.95" customHeight="1" x14ac:dyDescent="0.2">
      <c r="A275" s="1"/>
      <c r="B275" s="39">
        <f t="shared" si="3"/>
        <v>27</v>
      </c>
      <c r="C275" s="30">
        <v>16315</v>
      </c>
      <c r="D275" s="44" t="s">
        <v>450</v>
      </c>
      <c r="E275" s="30" t="s">
        <v>1</v>
      </c>
      <c r="F275" s="62"/>
      <c r="G275" s="66"/>
      <c r="H275" s="67"/>
      <c r="I275" s="67"/>
      <c r="J275" s="68"/>
      <c r="K275" s="62"/>
      <c r="L275" s="66"/>
      <c r="M275" s="67"/>
      <c r="N275" s="67"/>
      <c r="O275" s="68"/>
      <c r="P275" s="40"/>
      <c r="Q275" s="69"/>
      <c r="R275" s="178"/>
      <c r="S275" s="90"/>
      <c r="T275" s="70"/>
      <c r="U275" s="1"/>
      <c r="V275" s="1"/>
    </row>
    <row r="276" spans="1:22" ht="24.95" customHeight="1" x14ac:dyDescent="0.2">
      <c r="A276" s="1"/>
      <c r="B276" s="39">
        <f t="shared" si="3"/>
        <v>28</v>
      </c>
      <c r="C276" s="30">
        <v>16283</v>
      </c>
      <c r="D276" s="44" t="s">
        <v>422</v>
      </c>
      <c r="E276" s="30" t="s">
        <v>1</v>
      </c>
      <c r="F276" s="71"/>
      <c r="G276" s="66"/>
      <c r="H276" s="67"/>
      <c r="I276" s="67"/>
      <c r="J276" s="68"/>
      <c r="K276" s="71"/>
      <c r="L276" s="66"/>
      <c r="M276" s="67"/>
      <c r="N276" s="67"/>
      <c r="O276" s="68"/>
      <c r="P276" s="40"/>
      <c r="Q276" s="69"/>
      <c r="R276" s="178"/>
      <c r="S276" s="90"/>
      <c r="T276" s="70"/>
      <c r="U276" s="1"/>
      <c r="V276" s="1"/>
    </row>
    <row r="277" spans="1:22" ht="24.95" customHeight="1" x14ac:dyDescent="0.2">
      <c r="A277" s="1"/>
      <c r="B277" s="39">
        <f t="shared" si="3"/>
        <v>29</v>
      </c>
      <c r="C277" s="30">
        <v>16373</v>
      </c>
      <c r="D277" s="44" t="s">
        <v>503</v>
      </c>
      <c r="E277" s="30" t="s">
        <v>1</v>
      </c>
      <c r="F277" s="71"/>
      <c r="G277" s="66"/>
      <c r="H277" s="67"/>
      <c r="I277" s="67"/>
      <c r="J277" s="68"/>
      <c r="K277" s="71"/>
      <c r="L277" s="66"/>
      <c r="M277" s="67"/>
      <c r="N277" s="67"/>
      <c r="O277" s="68"/>
      <c r="P277" s="40"/>
      <c r="Q277" s="69"/>
      <c r="R277" s="178"/>
      <c r="S277" s="90"/>
      <c r="T277" s="70"/>
      <c r="U277" s="1"/>
      <c r="V277" s="1"/>
    </row>
    <row r="278" spans="1:22" ht="24.95" customHeight="1" x14ac:dyDescent="0.2">
      <c r="A278" s="1"/>
      <c r="B278" s="39">
        <f t="shared" si="3"/>
        <v>30</v>
      </c>
      <c r="C278" s="30">
        <v>16319</v>
      </c>
      <c r="D278" s="44" t="s">
        <v>454</v>
      </c>
      <c r="E278" s="30" t="s">
        <v>1</v>
      </c>
      <c r="F278" s="71"/>
      <c r="G278" s="66"/>
      <c r="H278" s="67"/>
      <c r="I278" s="67"/>
      <c r="J278" s="68"/>
      <c r="K278" s="71"/>
      <c r="L278" s="66"/>
      <c r="M278" s="67"/>
      <c r="N278" s="67"/>
      <c r="O278" s="68"/>
      <c r="P278" s="40"/>
      <c r="Q278" s="69"/>
      <c r="R278" s="178"/>
      <c r="S278" s="90"/>
      <c r="T278" s="70"/>
      <c r="U278" s="1"/>
      <c r="V278" s="1"/>
    </row>
    <row r="279" spans="1:22" ht="24.95" customHeight="1" x14ac:dyDescent="0.2">
      <c r="A279" s="1"/>
      <c r="B279" s="39">
        <f t="shared" si="3"/>
        <v>31</v>
      </c>
      <c r="C279" s="30">
        <v>16287</v>
      </c>
      <c r="D279" s="44" t="s">
        <v>425</v>
      </c>
      <c r="E279" s="30" t="s">
        <v>1</v>
      </c>
      <c r="F279" s="71"/>
      <c r="G279" s="66"/>
      <c r="H279" s="67"/>
      <c r="I279" s="67"/>
      <c r="J279" s="68"/>
      <c r="K279" s="71"/>
      <c r="L279" s="66"/>
      <c r="M279" s="67"/>
      <c r="N279" s="67"/>
      <c r="O279" s="68"/>
      <c r="P279" s="40"/>
      <c r="Q279" s="69"/>
      <c r="R279" s="178"/>
      <c r="S279" s="90"/>
      <c r="T279" s="70"/>
      <c r="U279" s="1"/>
      <c r="V279" s="1"/>
    </row>
    <row r="280" spans="1:22" ht="24.95" customHeight="1" x14ac:dyDescent="0.2">
      <c r="A280" s="1"/>
      <c r="B280" s="39">
        <f t="shared" si="3"/>
        <v>32</v>
      </c>
      <c r="C280" s="30">
        <v>16348</v>
      </c>
      <c r="D280" s="44" t="s">
        <v>481</v>
      </c>
      <c r="E280" s="30" t="s">
        <v>1</v>
      </c>
      <c r="F280" s="71"/>
      <c r="G280" s="66"/>
      <c r="H280" s="67"/>
      <c r="I280" s="67"/>
      <c r="J280" s="68"/>
      <c r="K280" s="71"/>
      <c r="L280" s="66"/>
      <c r="M280" s="67"/>
      <c r="N280" s="67"/>
      <c r="O280" s="68"/>
      <c r="P280" s="40"/>
      <c r="Q280" s="69"/>
      <c r="R280" s="178"/>
      <c r="S280" s="90"/>
      <c r="T280" s="70"/>
      <c r="U280" s="1"/>
      <c r="V280" s="1"/>
    </row>
    <row r="281" spans="1:22" ht="24.95" customHeight="1" x14ac:dyDescent="0.2">
      <c r="A281" s="1"/>
      <c r="B281" s="39">
        <f t="shared" si="3"/>
        <v>33</v>
      </c>
      <c r="C281" s="30"/>
      <c r="D281" s="44"/>
      <c r="E281" s="30" t="s">
        <v>1</v>
      </c>
      <c r="F281" s="62"/>
      <c r="G281" s="65"/>
      <c r="H281" s="2"/>
      <c r="I281" s="2"/>
      <c r="J281" s="61"/>
      <c r="K281" s="62"/>
      <c r="L281" s="65"/>
      <c r="M281" s="2"/>
      <c r="N281" s="2"/>
      <c r="O281" s="61"/>
      <c r="P281" s="3"/>
      <c r="Q281" s="63"/>
      <c r="R281" s="36"/>
      <c r="S281" s="60"/>
      <c r="T281" s="64"/>
      <c r="U281" s="1"/>
      <c r="V281" s="1"/>
    </row>
    <row r="282" spans="1:22" ht="24.95" customHeight="1" x14ac:dyDescent="0.2">
      <c r="A282" s="1"/>
      <c r="B282" s="39">
        <f t="shared" si="3"/>
        <v>34</v>
      </c>
      <c r="C282" s="31"/>
      <c r="D282" s="100"/>
      <c r="E282" s="30" t="s">
        <v>1</v>
      </c>
      <c r="F282" s="57"/>
      <c r="G282" s="153"/>
      <c r="H282" s="5"/>
      <c r="I282" s="5"/>
      <c r="J282" s="56"/>
      <c r="K282" s="57"/>
      <c r="L282" s="153"/>
      <c r="M282" s="5"/>
      <c r="N282" s="5"/>
      <c r="O282" s="56"/>
      <c r="P282" s="4"/>
      <c r="Q282" s="58"/>
      <c r="R282" s="190"/>
      <c r="S282" s="191"/>
      <c r="T282" s="59"/>
      <c r="U282" s="1"/>
      <c r="V282" s="1"/>
    </row>
    <row r="283" spans="1:22" ht="24.95" customHeight="1" x14ac:dyDescent="0.2">
      <c r="A283" s="1"/>
      <c r="B283" s="39">
        <f t="shared" si="3"/>
        <v>35</v>
      </c>
      <c r="C283" s="31"/>
      <c r="D283" s="192"/>
      <c r="E283" s="30" t="s">
        <v>1</v>
      </c>
      <c r="F283" s="57"/>
      <c r="G283" s="153"/>
      <c r="H283" s="5"/>
      <c r="I283" s="5"/>
      <c r="J283" s="56"/>
      <c r="K283" s="57"/>
      <c r="L283" s="153"/>
      <c r="M283" s="5"/>
      <c r="N283" s="5"/>
      <c r="O283" s="56"/>
      <c r="P283" s="4"/>
      <c r="Q283" s="58"/>
      <c r="R283" s="190"/>
      <c r="S283" s="191"/>
      <c r="T283" s="59"/>
      <c r="U283" s="1"/>
      <c r="V283" s="1"/>
    </row>
    <row r="284" spans="1:22" ht="24.95" customHeight="1" x14ac:dyDescent="0.2">
      <c r="A284" s="1"/>
      <c r="B284" s="39">
        <f t="shared" si="3"/>
        <v>36</v>
      </c>
      <c r="C284" s="30"/>
      <c r="D284" s="193"/>
      <c r="E284" s="30" t="s">
        <v>1</v>
      </c>
      <c r="F284" s="62"/>
      <c r="G284" s="65"/>
      <c r="H284" s="2"/>
      <c r="I284" s="2"/>
      <c r="J284" s="61"/>
      <c r="K284" s="62"/>
      <c r="L284" s="65"/>
      <c r="M284" s="2"/>
      <c r="N284" s="2"/>
      <c r="O284" s="61"/>
      <c r="P284" s="3"/>
      <c r="Q284" s="63"/>
      <c r="R284" s="188"/>
      <c r="S284" s="189"/>
      <c r="T284" s="64"/>
      <c r="U284" s="1"/>
      <c r="V284" s="1"/>
    </row>
    <row r="285" spans="1:22" ht="24.95" customHeight="1" x14ac:dyDescent="0.2">
      <c r="A285" s="1"/>
      <c r="B285" s="39">
        <f t="shared" si="3"/>
        <v>37</v>
      </c>
      <c r="C285" s="30"/>
      <c r="D285" s="193"/>
      <c r="E285" s="30" t="s">
        <v>1</v>
      </c>
      <c r="F285" s="62"/>
      <c r="G285" s="65"/>
      <c r="H285" s="2"/>
      <c r="I285" s="2"/>
      <c r="J285" s="61"/>
      <c r="K285" s="62"/>
      <c r="L285" s="65"/>
      <c r="M285" s="2"/>
      <c r="N285" s="2"/>
      <c r="O285" s="61"/>
      <c r="P285" s="3"/>
      <c r="Q285" s="63"/>
      <c r="R285" s="188"/>
      <c r="S285" s="189"/>
      <c r="T285" s="64"/>
      <c r="U285" s="1"/>
      <c r="V285" s="1"/>
    </row>
    <row r="286" spans="1:22" ht="24.95" customHeight="1" thickBot="1" x14ac:dyDescent="0.25">
      <c r="A286" s="1"/>
      <c r="B286" s="41"/>
      <c r="C286" s="53"/>
      <c r="D286" s="127"/>
      <c r="E286" s="174"/>
      <c r="F286" s="77"/>
      <c r="G286" s="74"/>
      <c r="H286" s="75"/>
      <c r="I286" s="75"/>
      <c r="J286" s="76"/>
      <c r="K286" s="77"/>
      <c r="L286" s="74"/>
      <c r="M286" s="75"/>
      <c r="N286" s="75"/>
      <c r="O286" s="76"/>
      <c r="P286" s="75"/>
      <c r="Q286" s="78"/>
      <c r="R286" s="78"/>
      <c r="S286" s="78"/>
      <c r="T286" s="76"/>
      <c r="U286" s="1"/>
      <c r="V286" s="1"/>
    </row>
    <row r="287" spans="1:22" ht="18.95" customHeight="1" x14ac:dyDescent="0.2">
      <c r="A287" s="1"/>
      <c r="B287" s="37"/>
      <c r="C287" s="37"/>
      <c r="D287" s="1"/>
      <c r="E287" s="194"/>
      <c r="F287" s="88"/>
      <c r="G287" s="88"/>
      <c r="H287" s="37"/>
      <c r="I287" s="37"/>
      <c r="J287" s="37"/>
      <c r="K287" s="88"/>
      <c r="L287" s="88"/>
      <c r="M287" s="37"/>
      <c r="N287" s="37"/>
      <c r="O287" s="37"/>
      <c r="P287" s="37"/>
      <c r="Q287" s="37"/>
      <c r="R287" s="37"/>
      <c r="S287" s="37"/>
      <c r="T287" s="37"/>
      <c r="U287" s="1"/>
      <c r="V287" s="1"/>
    </row>
    <row r="288" spans="1:22" ht="18.95" customHeight="1" thickBot="1" x14ac:dyDescent="0.25">
      <c r="A288" s="1"/>
      <c r="B288" s="37"/>
      <c r="C288" s="37"/>
      <c r="D288" s="1"/>
      <c r="E288" s="194"/>
      <c r="F288" s="88"/>
      <c r="G288" s="88"/>
      <c r="H288" s="37"/>
      <c r="I288" s="37"/>
      <c r="J288" s="37"/>
      <c r="K288" s="88"/>
      <c r="L288" s="88"/>
      <c r="M288" s="37"/>
      <c r="N288" s="37"/>
      <c r="O288" s="37"/>
      <c r="P288" s="37"/>
      <c r="Q288" s="37"/>
      <c r="R288" s="37"/>
      <c r="S288" s="37"/>
      <c r="T288" s="37"/>
      <c r="U288" s="1"/>
      <c r="V288" s="1"/>
    </row>
    <row r="289" spans="1:22" ht="18.95" customHeight="1" x14ac:dyDescent="0.2">
      <c r="A289" s="1"/>
      <c r="B289" s="255"/>
      <c r="C289" s="256"/>
      <c r="D289" s="259" t="s">
        <v>3</v>
      </c>
      <c r="E289" s="260"/>
      <c r="F289" s="260"/>
      <c r="G289" s="260"/>
      <c r="H289" s="260"/>
      <c r="I289" s="260"/>
      <c r="J289" s="260"/>
      <c r="K289" s="260"/>
      <c r="L289" s="260"/>
      <c r="M289" s="260"/>
      <c r="N289" s="260"/>
      <c r="O289" s="260"/>
      <c r="P289" s="260"/>
      <c r="Q289" s="260"/>
      <c r="R289" s="260"/>
      <c r="S289" s="260"/>
      <c r="T289" s="261"/>
      <c r="U289" s="1"/>
      <c r="V289" s="1"/>
    </row>
    <row r="290" spans="1:22" ht="18.95" customHeight="1" x14ac:dyDescent="0.2">
      <c r="A290" s="1"/>
      <c r="B290" s="257"/>
      <c r="C290" s="258"/>
      <c r="D290" s="262" t="s">
        <v>4</v>
      </c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4"/>
      <c r="U290" s="1"/>
      <c r="V290" s="1"/>
    </row>
    <row r="291" spans="1:22" ht="18.95" customHeight="1" thickBot="1" x14ac:dyDescent="0.25">
      <c r="A291" s="1"/>
      <c r="B291" s="257"/>
      <c r="C291" s="258"/>
      <c r="D291" s="265" t="s">
        <v>547</v>
      </c>
      <c r="E291" s="266"/>
      <c r="F291" s="266"/>
      <c r="G291" s="266"/>
      <c r="H291" s="266"/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7"/>
      <c r="U291" s="1"/>
      <c r="V291" s="1"/>
    </row>
    <row r="292" spans="1:22" ht="18.95" customHeight="1" thickBot="1" x14ac:dyDescent="0.25">
      <c r="A292" s="1"/>
      <c r="B292" s="268"/>
      <c r="C292" s="269"/>
      <c r="D292" s="25" t="s">
        <v>550</v>
      </c>
      <c r="E292" s="26"/>
      <c r="F292" s="27" t="s">
        <v>816</v>
      </c>
      <c r="G292" s="27"/>
      <c r="H292" s="27"/>
      <c r="I292" s="28"/>
      <c r="J292" s="28"/>
      <c r="K292" s="27"/>
      <c r="L292" s="27"/>
      <c r="M292" s="27"/>
      <c r="N292" s="27"/>
      <c r="O292" s="27"/>
      <c r="P292" s="27"/>
      <c r="Q292" s="27"/>
      <c r="R292" s="27"/>
      <c r="S292" s="27"/>
      <c r="T292" s="123"/>
      <c r="U292" s="1"/>
      <c r="V292" s="1"/>
    </row>
    <row r="293" spans="1:22" ht="18.95" customHeight="1" thickBot="1" x14ac:dyDescent="0.25">
      <c r="A293" s="1"/>
      <c r="B293" s="271" t="s">
        <v>6</v>
      </c>
      <c r="C293" s="278"/>
      <c r="D293" s="277" t="s">
        <v>7</v>
      </c>
      <c r="E293" s="273" t="s">
        <v>12</v>
      </c>
      <c r="F293" s="268"/>
      <c r="G293" s="277"/>
      <c r="H293" s="277"/>
      <c r="I293" s="277"/>
      <c r="J293" s="269"/>
      <c r="K293" s="268"/>
      <c r="L293" s="277"/>
      <c r="M293" s="277"/>
      <c r="N293" s="277"/>
      <c r="O293" s="269"/>
      <c r="P293" s="272"/>
      <c r="Q293" s="277"/>
      <c r="R293" s="277"/>
      <c r="S293" s="277"/>
      <c r="T293" s="269"/>
      <c r="U293" s="1"/>
      <c r="V293" s="1"/>
    </row>
    <row r="294" spans="1:22" ht="18.95" customHeight="1" thickBot="1" x14ac:dyDescent="0.25">
      <c r="A294" s="1"/>
      <c r="B294" s="42" t="s">
        <v>10</v>
      </c>
      <c r="C294" s="29" t="s">
        <v>9</v>
      </c>
      <c r="D294" s="277"/>
      <c r="E294" s="274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1"/>
      <c r="V294" s="1"/>
    </row>
    <row r="295" spans="1:22" ht="24.95" customHeight="1" x14ac:dyDescent="0.2">
      <c r="A295" s="1"/>
      <c r="B295" s="32">
        <v>1</v>
      </c>
      <c r="C295" s="31">
        <v>16350</v>
      </c>
      <c r="D295" s="44" t="s">
        <v>485</v>
      </c>
      <c r="E295" s="30" t="s">
        <v>1</v>
      </c>
      <c r="F295" s="62"/>
      <c r="G295" s="79"/>
      <c r="H295" s="80"/>
      <c r="I295" s="2"/>
      <c r="J295" s="61"/>
      <c r="K295" s="62"/>
      <c r="L295" s="79"/>
      <c r="M295" s="80"/>
      <c r="N295" s="2"/>
      <c r="O295" s="61"/>
      <c r="P295" s="81"/>
      <c r="Q295" s="82"/>
      <c r="R295" s="36"/>
      <c r="S295" s="60"/>
      <c r="T295" s="83"/>
      <c r="U295" s="1"/>
      <c r="V295" s="1"/>
    </row>
    <row r="296" spans="1:22" ht="24.95" customHeight="1" x14ac:dyDescent="0.2">
      <c r="A296" s="1"/>
      <c r="B296" s="30">
        <v>2</v>
      </c>
      <c r="C296" s="224">
        <v>16259</v>
      </c>
      <c r="D296" s="225" t="s">
        <v>404</v>
      </c>
      <c r="E296" s="224" t="s">
        <v>1</v>
      </c>
      <c r="F296" s="235"/>
      <c r="G296" s="236"/>
      <c r="H296" s="237"/>
      <c r="I296" s="237"/>
      <c r="J296" s="238"/>
      <c r="K296" s="235"/>
      <c r="L296" s="236"/>
      <c r="M296" s="237"/>
      <c r="N296" s="237"/>
      <c r="O296" s="238"/>
      <c r="P296" s="239"/>
      <c r="Q296" s="240"/>
      <c r="R296" s="241"/>
      <c r="S296" s="236"/>
      <c r="T296" s="242"/>
      <c r="U296" s="1"/>
      <c r="V296" s="1"/>
    </row>
    <row r="297" spans="1:22" ht="24.95" customHeight="1" x14ac:dyDescent="0.2">
      <c r="A297" s="1"/>
      <c r="B297" s="30">
        <v>3</v>
      </c>
      <c r="C297" s="30">
        <v>16261</v>
      </c>
      <c r="D297" s="44" t="s">
        <v>527</v>
      </c>
      <c r="E297" s="30" t="s">
        <v>1</v>
      </c>
      <c r="F297" s="62"/>
      <c r="G297" s="60"/>
      <c r="H297" s="2"/>
      <c r="I297" s="2"/>
      <c r="J297" s="61"/>
      <c r="K297" s="62"/>
      <c r="L297" s="60"/>
      <c r="M297" s="2"/>
      <c r="N297" s="2"/>
      <c r="O297" s="61"/>
      <c r="P297" s="3"/>
      <c r="Q297" s="63"/>
      <c r="R297" s="36"/>
      <c r="S297" s="60"/>
      <c r="T297" s="64"/>
      <c r="U297" s="1"/>
      <c r="V297" s="1"/>
    </row>
    <row r="298" spans="1:22" ht="24.95" customHeight="1" x14ac:dyDescent="0.2">
      <c r="A298" s="1"/>
      <c r="B298" s="30">
        <v>4</v>
      </c>
      <c r="C298" s="30">
        <v>16262</v>
      </c>
      <c r="D298" s="44" t="s">
        <v>405</v>
      </c>
      <c r="E298" s="30" t="s">
        <v>1</v>
      </c>
      <c r="F298" s="62"/>
      <c r="G298" s="60"/>
      <c r="H298" s="2"/>
      <c r="I298" s="2"/>
      <c r="J298" s="61"/>
      <c r="K298" s="62"/>
      <c r="L298" s="60"/>
      <c r="M298" s="2"/>
      <c r="N298" s="2"/>
      <c r="O298" s="61"/>
      <c r="P298" s="3"/>
      <c r="Q298" s="63"/>
      <c r="R298" s="36"/>
      <c r="S298" s="60"/>
      <c r="T298" s="64"/>
      <c r="U298" s="1"/>
      <c r="V298" s="1"/>
    </row>
    <row r="299" spans="1:22" ht="24.95" customHeight="1" x14ac:dyDescent="0.2">
      <c r="A299" s="1"/>
      <c r="B299" s="30">
        <v>5</v>
      </c>
      <c r="C299" s="30">
        <v>16263</v>
      </c>
      <c r="D299" s="44" t="s">
        <v>406</v>
      </c>
      <c r="E299" s="30" t="s">
        <v>1</v>
      </c>
      <c r="F299" s="62"/>
      <c r="G299" s="60"/>
      <c r="H299" s="2"/>
      <c r="I299" s="2"/>
      <c r="J299" s="61"/>
      <c r="K299" s="62"/>
      <c r="L299" s="60"/>
      <c r="M299" s="2"/>
      <c r="N299" s="2"/>
      <c r="O299" s="61"/>
      <c r="P299" s="3"/>
      <c r="Q299" s="63"/>
      <c r="R299" s="36"/>
      <c r="S299" s="60"/>
      <c r="T299" s="64"/>
      <c r="U299" s="1"/>
      <c r="V299" s="1"/>
    </row>
    <row r="300" spans="1:22" ht="24.95" customHeight="1" x14ac:dyDescent="0.2">
      <c r="A300" s="1"/>
      <c r="B300" s="30">
        <v>6</v>
      </c>
      <c r="C300" s="30">
        <v>16293</v>
      </c>
      <c r="D300" s="44" t="s">
        <v>433</v>
      </c>
      <c r="E300" s="30" t="s">
        <v>1</v>
      </c>
      <c r="F300" s="62"/>
      <c r="G300" s="60"/>
      <c r="H300" s="2"/>
      <c r="I300" s="2"/>
      <c r="J300" s="61"/>
      <c r="K300" s="62"/>
      <c r="L300" s="60"/>
      <c r="M300" s="2"/>
      <c r="N300" s="2"/>
      <c r="O300" s="61"/>
      <c r="P300" s="3"/>
      <c r="Q300" s="63"/>
      <c r="R300" s="36"/>
      <c r="S300" s="60"/>
      <c r="T300" s="64"/>
      <c r="U300" s="1"/>
      <c r="V300" s="1"/>
    </row>
    <row r="301" spans="1:22" ht="24.95" customHeight="1" x14ac:dyDescent="0.2">
      <c r="A301" s="1"/>
      <c r="B301" s="30">
        <v>7</v>
      </c>
      <c r="C301" s="224">
        <v>16294</v>
      </c>
      <c r="D301" s="225" t="s">
        <v>434</v>
      </c>
      <c r="E301" s="224" t="s">
        <v>1</v>
      </c>
      <c r="F301" s="235"/>
      <c r="G301" s="236"/>
      <c r="H301" s="237"/>
      <c r="I301" s="237"/>
      <c r="J301" s="238"/>
      <c r="K301" s="235"/>
      <c r="L301" s="236"/>
      <c r="M301" s="237"/>
      <c r="N301" s="237"/>
      <c r="O301" s="238"/>
      <c r="P301" s="239"/>
      <c r="Q301" s="240"/>
      <c r="R301" s="241"/>
      <c r="S301" s="236"/>
      <c r="T301" s="242"/>
      <c r="U301" s="1"/>
      <c r="V301" s="1"/>
    </row>
    <row r="302" spans="1:22" ht="24.95" customHeight="1" x14ac:dyDescent="0.2">
      <c r="A302" s="1"/>
      <c r="B302" s="30">
        <v>8</v>
      </c>
      <c r="C302" s="224">
        <v>16355</v>
      </c>
      <c r="D302" s="225" t="s">
        <v>486</v>
      </c>
      <c r="E302" s="224" t="s">
        <v>1</v>
      </c>
      <c r="F302" s="235"/>
      <c r="G302" s="236"/>
      <c r="H302" s="237"/>
      <c r="I302" s="237"/>
      <c r="J302" s="238"/>
      <c r="K302" s="235"/>
      <c r="L302" s="236"/>
      <c r="M302" s="237"/>
      <c r="N302" s="237"/>
      <c r="O302" s="238"/>
      <c r="P302" s="239"/>
      <c r="Q302" s="240"/>
      <c r="R302" s="241"/>
      <c r="S302" s="236"/>
      <c r="T302" s="242"/>
      <c r="U302" s="1"/>
      <c r="V302" s="1"/>
    </row>
    <row r="303" spans="1:22" ht="24.95" customHeight="1" x14ac:dyDescent="0.2">
      <c r="A303" s="1"/>
      <c r="B303" s="30">
        <v>9</v>
      </c>
      <c r="C303" s="224">
        <v>16295</v>
      </c>
      <c r="D303" s="225" t="s">
        <v>435</v>
      </c>
      <c r="E303" s="224" t="s">
        <v>1</v>
      </c>
      <c r="F303" s="235"/>
      <c r="G303" s="236"/>
      <c r="H303" s="237"/>
      <c r="I303" s="237"/>
      <c r="J303" s="238"/>
      <c r="K303" s="235"/>
      <c r="L303" s="236"/>
      <c r="M303" s="237"/>
      <c r="N303" s="237"/>
      <c r="O303" s="238"/>
      <c r="P303" s="239"/>
      <c r="Q303" s="240"/>
      <c r="R303" s="241"/>
      <c r="S303" s="236"/>
      <c r="T303" s="242"/>
      <c r="U303" s="1"/>
      <c r="V303" s="1"/>
    </row>
    <row r="304" spans="1:22" ht="24.95" customHeight="1" x14ac:dyDescent="0.2">
      <c r="A304" s="1"/>
      <c r="B304" s="30">
        <v>10</v>
      </c>
      <c r="C304" s="224">
        <v>16297</v>
      </c>
      <c r="D304" s="225" t="s">
        <v>437</v>
      </c>
      <c r="E304" s="224" t="s">
        <v>1</v>
      </c>
      <c r="F304" s="235"/>
      <c r="G304" s="236"/>
      <c r="H304" s="237"/>
      <c r="I304" s="237"/>
      <c r="J304" s="238"/>
      <c r="K304" s="235"/>
      <c r="L304" s="236"/>
      <c r="M304" s="237"/>
      <c r="N304" s="237"/>
      <c r="O304" s="238"/>
      <c r="P304" s="239"/>
      <c r="Q304" s="240"/>
      <c r="R304" s="241"/>
      <c r="S304" s="236"/>
      <c r="T304" s="242"/>
      <c r="U304" s="1"/>
      <c r="V304" s="1"/>
    </row>
    <row r="305" spans="1:22" ht="24.95" customHeight="1" x14ac:dyDescent="0.2">
      <c r="A305" s="1"/>
      <c r="B305" s="30">
        <v>11</v>
      </c>
      <c r="C305" s="224">
        <v>16298</v>
      </c>
      <c r="D305" s="225" t="s">
        <v>438</v>
      </c>
      <c r="E305" s="224" t="s">
        <v>1</v>
      </c>
      <c r="F305" s="235"/>
      <c r="G305" s="236"/>
      <c r="H305" s="237"/>
      <c r="I305" s="237"/>
      <c r="J305" s="238"/>
      <c r="K305" s="235"/>
      <c r="L305" s="236"/>
      <c r="M305" s="237"/>
      <c r="N305" s="237"/>
      <c r="O305" s="238"/>
      <c r="P305" s="239"/>
      <c r="Q305" s="240"/>
      <c r="R305" s="244"/>
      <c r="S305" s="245"/>
      <c r="T305" s="242"/>
      <c r="U305" s="1"/>
      <c r="V305" s="1"/>
    </row>
    <row r="306" spans="1:22" ht="24.95" customHeight="1" x14ac:dyDescent="0.2">
      <c r="A306" s="1"/>
      <c r="B306" s="30">
        <v>12</v>
      </c>
      <c r="C306" s="224">
        <v>16330</v>
      </c>
      <c r="D306" s="225" t="s">
        <v>467</v>
      </c>
      <c r="E306" s="224" t="s">
        <v>1</v>
      </c>
      <c r="F306" s="235"/>
      <c r="G306" s="236"/>
      <c r="H306" s="237"/>
      <c r="I306" s="237"/>
      <c r="J306" s="238"/>
      <c r="K306" s="235"/>
      <c r="L306" s="236"/>
      <c r="M306" s="237"/>
      <c r="N306" s="237"/>
      <c r="O306" s="238"/>
      <c r="P306" s="239"/>
      <c r="Q306" s="240"/>
      <c r="R306" s="241"/>
      <c r="S306" s="236"/>
      <c r="T306" s="242"/>
      <c r="U306" s="1"/>
      <c r="V306" s="1"/>
    </row>
    <row r="307" spans="1:22" ht="24.95" customHeight="1" x14ac:dyDescent="0.2">
      <c r="A307" s="1"/>
      <c r="B307" s="30">
        <v>13</v>
      </c>
      <c r="C307" s="30">
        <v>16334</v>
      </c>
      <c r="D307" s="44" t="s">
        <v>469</v>
      </c>
      <c r="E307" s="30" t="s">
        <v>1</v>
      </c>
      <c r="F307" s="62"/>
      <c r="G307" s="60"/>
      <c r="H307" s="2"/>
      <c r="I307" s="2"/>
      <c r="J307" s="61"/>
      <c r="K307" s="62"/>
      <c r="L307" s="60"/>
      <c r="M307" s="2"/>
      <c r="N307" s="2"/>
      <c r="O307" s="61"/>
      <c r="P307" s="3"/>
      <c r="Q307" s="63"/>
      <c r="R307" s="36"/>
      <c r="S307" s="60"/>
      <c r="T307" s="64"/>
      <c r="U307" s="1"/>
      <c r="V307" s="1"/>
    </row>
    <row r="308" spans="1:22" ht="24.95" customHeight="1" x14ac:dyDescent="0.2">
      <c r="A308" s="1"/>
      <c r="B308" s="30">
        <v>14</v>
      </c>
      <c r="C308" s="30">
        <v>16337</v>
      </c>
      <c r="D308" s="44" t="s">
        <v>472</v>
      </c>
      <c r="E308" s="30" t="s">
        <v>1</v>
      </c>
      <c r="F308" s="62"/>
      <c r="G308" s="60"/>
      <c r="H308" s="2"/>
      <c r="I308" s="2"/>
      <c r="J308" s="61"/>
      <c r="K308" s="62"/>
      <c r="L308" s="60"/>
      <c r="M308" s="2"/>
      <c r="N308" s="2"/>
      <c r="O308" s="61"/>
      <c r="P308" s="3"/>
      <c r="Q308" s="63"/>
      <c r="R308" s="36"/>
      <c r="S308" s="60"/>
      <c r="T308" s="64"/>
      <c r="U308" s="1"/>
      <c r="V308" s="1"/>
    </row>
    <row r="309" spans="1:22" ht="24.95" customHeight="1" x14ac:dyDescent="0.2">
      <c r="A309" s="1"/>
      <c r="B309" s="30">
        <v>15</v>
      </c>
      <c r="C309" s="30">
        <v>16338</v>
      </c>
      <c r="D309" s="44" t="s">
        <v>473</v>
      </c>
      <c r="E309" s="30" t="s">
        <v>1</v>
      </c>
      <c r="F309" s="62"/>
      <c r="G309" s="60"/>
      <c r="H309" s="2"/>
      <c r="I309" s="2"/>
      <c r="J309" s="61"/>
      <c r="K309" s="62"/>
      <c r="L309" s="60"/>
      <c r="M309" s="2"/>
      <c r="N309" s="2"/>
      <c r="O309" s="61"/>
      <c r="P309" s="3"/>
      <c r="Q309" s="63"/>
      <c r="R309" s="36"/>
      <c r="S309" s="60"/>
      <c r="T309" s="64"/>
      <c r="U309" s="1"/>
      <c r="V309" s="1"/>
    </row>
    <row r="310" spans="1:22" ht="24.95" customHeight="1" x14ac:dyDescent="0.2">
      <c r="A310" s="1"/>
      <c r="B310" s="30">
        <v>16</v>
      </c>
      <c r="C310" s="30">
        <v>16270</v>
      </c>
      <c r="D310" s="44" t="s">
        <v>412</v>
      </c>
      <c r="E310" s="30" t="s">
        <v>1</v>
      </c>
      <c r="F310" s="62"/>
      <c r="G310" s="60"/>
      <c r="H310" s="2"/>
      <c r="I310" s="2"/>
      <c r="J310" s="61"/>
      <c r="K310" s="62"/>
      <c r="L310" s="60"/>
      <c r="M310" s="2"/>
      <c r="N310" s="2"/>
      <c r="O310" s="61"/>
      <c r="P310" s="3"/>
      <c r="Q310" s="63"/>
      <c r="R310" s="36"/>
      <c r="S310" s="60"/>
      <c r="T310" s="64"/>
      <c r="U310" s="1"/>
      <c r="V310" s="1"/>
    </row>
    <row r="311" spans="1:22" ht="24.95" customHeight="1" x14ac:dyDescent="0.2">
      <c r="A311" s="1"/>
      <c r="B311" s="30">
        <v>17</v>
      </c>
      <c r="C311" s="30">
        <v>16306</v>
      </c>
      <c r="D311" s="44" t="s">
        <v>456</v>
      </c>
      <c r="E311" s="30" t="s">
        <v>1</v>
      </c>
      <c r="F311" s="62"/>
      <c r="G311" s="60"/>
      <c r="H311" s="2"/>
      <c r="I311" s="2"/>
      <c r="J311" s="61"/>
      <c r="K311" s="62"/>
      <c r="L311" s="60"/>
      <c r="M311" s="2"/>
      <c r="N311" s="2"/>
      <c r="O311" s="61"/>
      <c r="P311" s="3"/>
      <c r="Q311" s="63"/>
      <c r="R311" s="36"/>
      <c r="S311" s="60"/>
      <c r="T311" s="64"/>
      <c r="U311" s="1"/>
      <c r="V311" s="1"/>
    </row>
    <row r="312" spans="1:22" ht="24.95" customHeight="1" x14ac:dyDescent="0.2">
      <c r="A312" s="1"/>
      <c r="B312" s="30">
        <v>18</v>
      </c>
      <c r="C312" s="30">
        <v>16364</v>
      </c>
      <c r="D312" s="44" t="s">
        <v>495</v>
      </c>
      <c r="E312" s="30" t="s">
        <v>1</v>
      </c>
      <c r="F312" s="62"/>
      <c r="G312" s="65"/>
      <c r="H312" s="2"/>
      <c r="I312" s="2"/>
      <c r="J312" s="61"/>
      <c r="K312" s="62"/>
      <c r="L312" s="65"/>
      <c r="M312" s="2"/>
      <c r="N312" s="2"/>
      <c r="O312" s="61"/>
      <c r="P312" s="3"/>
      <c r="Q312" s="63"/>
      <c r="R312" s="93"/>
      <c r="S312" s="55"/>
      <c r="T312" s="64"/>
      <c r="U312" s="1"/>
      <c r="V312" s="1"/>
    </row>
    <row r="313" spans="1:22" ht="24.95" customHeight="1" x14ac:dyDescent="0.2">
      <c r="A313" s="1"/>
      <c r="B313" s="30">
        <v>19</v>
      </c>
      <c r="C313" s="30">
        <v>16343</v>
      </c>
      <c r="D313" s="44" t="s">
        <v>476</v>
      </c>
      <c r="E313" s="30" t="s">
        <v>1</v>
      </c>
      <c r="F313" s="62"/>
      <c r="G313" s="65"/>
      <c r="H313" s="2"/>
      <c r="I313" s="2"/>
      <c r="J313" s="61"/>
      <c r="K313" s="62"/>
      <c r="L313" s="65"/>
      <c r="M313" s="2"/>
      <c r="N313" s="2"/>
      <c r="O313" s="61"/>
      <c r="P313" s="3"/>
      <c r="Q313" s="63"/>
      <c r="R313" s="93"/>
      <c r="S313" s="55"/>
      <c r="T313" s="64"/>
      <c r="U313" s="1"/>
      <c r="V313" s="1"/>
    </row>
    <row r="314" spans="1:22" ht="24.95" customHeight="1" x14ac:dyDescent="0.2">
      <c r="A314" s="1"/>
      <c r="B314" s="30">
        <v>20</v>
      </c>
      <c r="C314" s="30">
        <v>16277</v>
      </c>
      <c r="D314" s="44" t="s">
        <v>429</v>
      </c>
      <c r="E314" s="30" t="s">
        <v>1</v>
      </c>
      <c r="F314" s="62"/>
      <c r="G314" s="60"/>
      <c r="H314" s="2"/>
      <c r="I314" s="2"/>
      <c r="J314" s="61"/>
      <c r="K314" s="62"/>
      <c r="L314" s="60"/>
      <c r="M314" s="2"/>
      <c r="N314" s="2"/>
      <c r="O314" s="61"/>
      <c r="P314" s="3"/>
      <c r="Q314" s="63"/>
      <c r="R314" s="36"/>
      <c r="S314" s="60"/>
      <c r="T314" s="64"/>
      <c r="U314" s="1"/>
      <c r="V314" s="1"/>
    </row>
    <row r="315" spans="1:22" ht="24.95" customHeight="1" x14ac:dyDescent="0.2">
      <c r="A315" s="1"/>
      <c r="B315" s="30">
        <v>21</v>
      </c>
      <c r="C315" s="30">
        <v>16366</v>
      </c>
      <c r="D315" s="44" t="s">
        <v>497</v>
      </c>
      <c r="E315" s="224" t="s">
        <v>1</v>
      </c>
      <c r="F315" s="235"/>
      <c r="G315" s="243"/>
      <c r="H315" s="237"/>
      <c r="I315" s="237"/>
      <c r="J315" s="238"/>
      <c r="K315" s="235"/>
      <c r="L315" s="243"/>
      <c r="M315" s="237"/>
      <c r="N315" s="237"/>
      <c r="O315" s="238"/>
      <c r="P315" s="239"/>
      <c r="Q315" s="240"/>
      <c r="R315" s="241"/>
      <c r="S315" s="236"/>
      <c r="T315" s="242"/>
      <c r="U315" s="1"/>
      <c r="V315" s="1"/>
    </row>
    <row r="316" spans="1:22" ht="24.95" customHeight="1" x14ac:dyDescent="0.2">
      <c r="A316" s="1"/>
      <c r="B316" s="30">
        <v>22</v>
      </c>
      <c r="C316" s="30">
        <v>16279</v>
      </c>
      <c r="D316" s="44" t="s">
        <v>420</v>
      </c>
      <c r="E316" s="224" t="s">
        <v>1</v>
      </c>
      <c r="F316" s="235"/>
      <c r="G316" s="227"/>
      <c r="H316" s="228"/>
      <c r="I316" s="228"/>
      <c r="J316" s="229"/>
      <c r="K316" s="235"/>
      <c r="L316" s="227"/>
      <c r="M316" s="228"/>
      <c r="N316" s="228"/>
      <c r="O316" s="229"/>
      <c r="P316" s="230"/>
      <c r="Q316" s="231"/>
      <c r="R316" s="232"/>
      <c r="S316" s="233"/>
      <c r="T316" s="234"/>
      <c r="U316" s="1"/>
      <c r="V316" s="1"/>
    </row>
    <row r="317" spans="1:22" ht="24.95" customHeight="1" x14ac:dyDescent="0.2">
      <c r="A317" s="1"/>
      <c r="B317" s="30">
        <v>23</v>
      </c>
      <c r="C317" s="30">
        <v>16280</v>
      </c>
      <c r="D317" s="44" t="s">
        <v>421</v>
      </c>
      <c r="E317" s="224" t="s">
        <v>1</v>
      </c>
      <c r="F317" s="235"/>
      <c r="G317" s="227"/>
      <c r="H317" s="228"/>
      <c r="I317" s="228"/>
      <c r="J317" s="229"/>
      <c r="K317" s="235"/>
      <c r="L317" s="227"/>
      <c r="M317" s="228"/>
      <c r="N317" s="228"/>
      <c r="O317" s="229"/>
      <c r="P317" s="230"/>
      <c r="Q317" s="231"/>
      <c r="R317" s="232"/>
      <c r="S317" s="233"/>
      <c r="T317" s="234"/>
      <c r="U317" s="1"/>
      <c r="V317" s="1"/>
    </row>
    <row r="318" spans="1:22" ht="24.95" customHeight="1" x14ac:dyDescent="0.2">
      <c r="A318" s="1"/>
      <c r="B318" s="30">
        <v>24</v>
      </c>
      <c r="C318" s="224">
        <v>16314</v>
      </c>
      <c r="D318" s="225" t="s">
        <v>449</v>
      </c>
      <c r="E318" s="224" t="s">
        <v>1</v>
      </c>
      <c r="F318" s="235"/>
      <c r="G318" s="227"/>
      <c r="H318" s="228"/>
      <c r="I318" s="228"/>
      <c r="J318" s="229"/>
      <c r="K318" s="235"/>
      <c r="L318" s="227"/>
      <c r="M318" s="228"/>
      <c r="N318" s="228"/>
      <c r="O318" s="229"/>
      <c r="P318" s="230"/>
      <c r="Q318" s="231"/>
      <c r="R318" s="232"/>
      <c r="S318" s="233"/>
      <c r="T318" s="234"/>
      <c r="U318" s="1"/>
      <c r="V318" s="1"/>
    </row>
    <row r="319" spans="1:22" ht="24.95" customHeight="1" x14ac:dyDescent="0.2">
      <c r="A319" s="1"/>
      <c r="B319" s="30">
        <v>25</v>
      </c>
      <c r="C319" s="224">
        <v>16371</v>
      </c>
      <c r="D319" s="225" t="s">
        <v>501</v>
      </c>
      <c r="E319" s="224" t="s">
        <v>1</v>
      </c>
      <c r="F319" s="235"/>
      <c r="G319" s="227"/>
      <c r="H319" s="228"/>
      <c r="I319" s="228"/>
      <c r="J319" s="229"/>
      <c r="K319" s="235"/>
      <c r="L319" s="227"/>
      <c r="M319" s="228"/>
      <c r="N319" s="228"/>
      <c r="O319" s="229"/>
      <c r="P319" s="230"/>
      <c r="Q319" s="231"/>
      <c r="R319" s="232"/>
      <c r="S319" s="233"/>
      <c r="T319" s="234"/>
      <c r="U319" s="1"/>
      <c r="V319" s="1"/>
    </row>
    <row r="320" spans="1:22" ht="24.95" customHeight="1" x14ac:dyDescent="0.2">
      <c r="A320" s="1"/>
      <c r="B320" s="30">
        <v>26</v>
      </c>
      <c r="C320" s="224">
        <v>16375</v>
      </c>
      <c r="D320" s="225" t="s">
        <v>505</v>
      </c>
      <c r="E320" s="30" t="s">
        <v>1</v>
      </c>
      <c r="F320" s="62"/>
      <c r="G320" s="66"/>
      <c r="H320" s="67"/>
      <c r="I320" s="67"/>
      <c r="J320" s="68"/>
      <c r="K320" s="62"/>
      <c r="L320" s="66"/>
      <c r="M320" s="67"/>
      <c r="N320" s="67"/>
      <c r="O320" s="68"/>
      <c r="P320" s="40"/>
      <c r="Q320" s="69"/>
      <c r="R320" s="178"/>
      <c r="S320" s="90"/>
      <c r="T320" s="70"/>
      <c r="U320" s="1"/>
      <c r="V320" s="1"/>
    </row>
    <row r="321" spans="1:22" ht="24.95" customHeight="1" x14ac:dyDescent="0.2">
      <c r="A321" s="1"/>
      <c r="B321" s="30">
        <v>27</v>
      </c>
      <c r="C321" s="224">
        <v>16318</v>
      </c>
      <c r="D321" s="225" t="s">
        <v>453</v>
      </c>
      <c r="E321" s="30" t="s">
        <v>1</v>
      </c>
      <c r="F321" s="62"/>
      <c r="G321" s="66"/>
      <c r="H321" s="67"/>
      <c r="I321" s="67"/>
      <c r="J321" s="68"/>
      <c r="K321" s="62"/>
      <c r="L321" s="66"/>
      <c r="M321" s="67"/>
      <c r="N321" s="67"/>
      <c r="O321" s="68"/>
      <c r="P321" s="40"/>
      <c r="Q321" s="69"/>
      <c r="R321" s="178"/>
      <c r="S321" s="90"/>
      <c r="T321" s="70"/>
      <c r="U321" s="1"/>
      <c r="V321" s="1"/>
    </row>
    <row r="322" spans="1:22" ht="24.95" customHeight="1" x14ac:dyDescent="0.2">
      <c r="A322" s="1"/>
      <c r="B322" s="30">
        <v>28</v>
      </c>
      <c r="C322" s="224">
        <v>16377</v>
      </c>
      <c r="D322" s="225" t="s">
        <v>507</v>
      </c>
      <c r="E322" s="30" t="s">
        <v>1</v>
      </c>
      <c r="F322" s="62"/>
      <c r="G322" s="66"/>
      <c r="H322" s="67"/>
      <c r="I322" s="67"/>
      <c r="J322" s="68"/>
      <c r="K322" s="62"/>
      <c r="L322" s="66"/>
      <c r="M322" s="67"/>
      <c r="N322" s="67"/>
      <c r="O322" s="68"/>
      <c r="P322" s="40"/>
      <c r="Q322" s="69"/>
      <c r="R322" s="178"/>
      <c r="S322" s="90"/>
      <c r="T322" s="70"/>
      <c r="U322" s="1"/>
      <c r="V322" s="1"/>
    </row>
    <row r="323" spans="1:22" ht="24.95" customHeight="1" x14ac:dyDescent="0.2">
      <c r="A323" s="1"/>
      <c r="B323" s="30">
        <v>29</v>
      </c>
      <c r="C323" s="30">
        <v>16378</v>
      </c>
      <c r="D323" s="44" t="s">
        <v>508</v>
      </c>
      <c r="E323" s="30" t="s">
        <v>1</v>
      </c>
      <c r="F323" s="62"/>
      <c r="G323" s="66"/>
      <c r="H323" s="67"/>
      <c r="I323" s="67"/>
      <c r="J323" s="68"/>
      <c r="K323" s="62"/>
      <c r="L323" s="66"/>
      <c r="M323" s="67"/>
      <c r="N323" s="67"/>
      <c r="O323" s="68"/>
      <c r="P323" s="40"/>
      <c r="Q323" s="69"/>
      <c r="R323" s="178"/>
      <c r="S323" s="90"/>
      <c r="T323" s="70"/>
      <c r="U323" s="1"/>
      <c r="V323" s="1"/>
    </row>
    <row r="324" spans="1:22" ht="24.95" customHeight="1" x14ac:dyDescent="0.2">
      <c r="A324" s="1"/>
      <c r="B324" s="30">
        <v>30</v>
      </c>
      <c r="C324" s="30">
        <v>16289</v>
      </c>
      <c r="D324" s="44" t="s">
        <v>427</v>
      </c>
      <c r="E324" s="30" t="s">
        <v>1</v>
      </c>
      <c r="F324" s="71"/>
      <c r="G324" s="66"/>
      <c r="H324" s="67"/>
      <c r="I324" s="67"/>
      <c r="J324" s="68"/>
      <c r="K324" s="71"/>
      <c r="L324" s="66"/>
      <c r="M324" s="67"/>
      <c r="N324" s="67"/>
      <c r="O324" s="68"/>
      <c r="P324" s="40"/>
      <c r="Q324" s="69"/>
      <c r="R324" s="178"/>
      <c r="S324" s="90"/>
      <c r="T324" s="70"/>
      <c r="U324" s="1"/>
      <c r="V324" s="1"/>
    </row>
    <row r="325" spans="1:22" ht="24.95" customHeight="1" x14ac:dyDescent="0.2">
      <c r="A325" s="1"/>
      <c r="B325" s="30">
        <v>31</v>
      </c>
      <c r="C325" s="30">
        <v>16349</v>
      </c>
      <c r="D325" s="44" t="s">
        <v>482</v>
      </c>
      <c r="E325" s="30" t="s">
        <v>1</v>
      </c>
      <c r="F325" s="71"/>
      <c r="G325" s="66"/>
      <c r="H325" s="67"/>
      <c r="I325" s="67"/>
      <c r="J325" s="68"/>
      <c r="K325" s="71"/>
      <c r="L325" s="66"/>
      <c r="M325" s="67"/>
      <c r="N325" s="67"/>
      <c r="O325" s="68"/>
      <c r="P325" s="40"/>
      <c r="Q325" s="69"/>
      <c r="R325" s="178"/>
      <c r="S325" s="90"/>
      <c r="T325" s="70"/>
      <c r="U325" s="1"/>
      <c r="V325" s="1"/>
    </row>
    <row r="326" spans="1:22" ht="24.95" customHeight="1" x14ac:dyDescent="0.2">
      <c r="A326" s="1"/>
      <c r="B326" s="30">
        <v>32</v>
      </c>
      <c r="C326" s="30"/>
      <c r="D326" s="44"/>
      <c r="E326" s="30" t="s">
        <v>1</v>
      </c>
      <c r="F326" s="71"/>
      <c r="G326" s="66"/>
      <c r="H326" s="67"/>
      <c r="I326" s="67"/>
      <c r="J326" s="68"/>
      <c r="K326" s="71"/>
      <c r="L326" s="66"/>
      <c r="M326" s="67"/>
      <c r="N326" s="67"/>
      <c r="O326" s="68"/>
      <c r="P326" s="40"/>
      <c r="Q326" s="69"/>
      <c r="R326" s="178"/>
      <c r="S326" s="90"/>
      <c r="T326" s="70"/>
      <c r="U326" s="1"/>
      <c r="V326" s="1"/>
    </row>
    <row r="327" spans="1:22" ht="24.95" customHeight="1" x14ac:dyDescent="0.2">
      <c r="A327" s="1"/>
      <c r="B327" s="30">
        <v>33</v>
      </c>
      <c r="C327" s="30"/>
      <c r="D327" s="44"/>
      <c r="E327" s="30" t="s">
        <v>1</v>
      </c>
      <c r="F327" s="71"/>
      <c r="G327" s="66"/>
      <c r="H327" s="67"/>
      <c r="I327" s="67"/>
      <c r="J327" s="68"/>
      <c r="K327" s="71"/>
      <c r="L327" s="66"/>
      <c r="M327" s="67"/>
      <c r="N327" s="67"/>
      <c r="O327" s="68"/>
      <c r="P327" s="40"/>
      <c r="Q327" s="69"/>
      <c r="R327" s="178"/>
      <c r="S327" s="90"/>
      <c r="T327" s="70"/>
      <c r="U327" s="1"/>
      <c r="V327" s="1"/>
    </row>
    <row r="328" spans="1:22" ht="24.95" customHeight="1" x14ac:dyDescent="0.2">
      <c r="A328" s="1"/>
      <c r="B328" s="30">
        <v>34</v>
      </c>
      <c r="C328" s="30"/>
      <c r="D328" s="44"/>
      <c r="E328" s="30" t="s">
        <v>1</v>
      </c>
      <c r="F328" s="89"/>
      <c r="G328" s="90"/>
      <c r="H328" s="67"/>
      <c r="I328" s="67"/>
      <c r="J328" s="68"/>
      <c r="K328" s="89"/>
      <c r="L328" s="90"/>
      <c r="M328" s="67"/>
      <c r="N328" s="67"/>
      <c r="O328" s="68"/>
      <c r="P328" s="40"/>
      <c r="Q328" s="69"/>
      <c r="R328" s="178"/>
      <c r="S328" s="90"/>
      <c r="T328" s="70"/>
      <c r="U328" s="1"/>
      <c r="V328" s="1"/>
    </row>
    <row r="329" spans="1:22" ht="24.95" customHeight="1" x14ac:dyDescent="0.2">
      <c r="A329" s="1"/>
      <c r="B329" s="30">
        <v>35</v>
      </c>
      <c r="C329" s="30"/>
      <c r="D329" s="44"/>
      <c r="E329" s="30" t="s">
        <v>1</v>
      </c>
      <c r="F329" s="71"/>
      <c r="G329" s="66"/>
      <c r="H329" s="67"/>
      <c r="I329" s="67"/>
      <c r="J329" s="68"/>
      <c r="K329" s="71"/>
      <c r="L329" s="66"/>
      <c r="M329" s="67"/>
      <c r="N329" s="67"/>
      <c r="O329" s="68"/>
      <c r="P329" s="40"/>
      <c r="Q329" s="69"/>
      <c r="R329" s="178"/>
      <c r="S329" s="90"/>
      <c r="T329" s="70"/>
      <c r="U329" s="1"/>
      <c r="V329" s="1"/>
    </row>
    <row r="330" spans="1:22" ht="24.95" customHeight="1" x14ac:dyDescent="0.2">
      <c r="A330" s="1"/>
      <c r="B330" s="30">
        <v>36</v>
      </c>
      <c r="C330" s="30"/>
      <c r="D330" s="44"/>
      <c r="E330" s="30" t="s">
        <v>1</v>
      </c>
      <c r="F330" s="62"/>
      <c r="G330" s="65"/>
      <c r="H330" s="2"/>
      <c r="I330" s="2"/>
      <c r="J330" s="61"/>
      <c r="K330" s="62"/>
      <c r="L330" s="65"/>
      <c r="M330" s="2"/>
      <c r="N330" s="2"/>
      <c r="O330" s="61"/>
      <c r="P330" s="3"/>
      <c r="Q330" s="63"/>
      <c r="R330" s="36"/>
      <c r="S330" s="60"/>
      <c r="T330" s="64"/>
      <c r="U330" s="1"/>
      <c r="V330" s="1"/>
    </row>
    <row r="331" spans="1:22" ht="24.95" customHeight="1" x14ac:dyDescent="0.2">
      <c r="A331" s="1"/>
      <c r="B331" s="30">
        <v>37</v>
      </c>
      <c r="C331" s="30"/>
      <c r="D331" s="168"/>
      <c r="E331" s="30" t="s">
        <v>1</v>
      </c>
      <c r="F331" s="57"/>
      <c r="G331" s="153"/>
      <c r="H331" s="5"/>
      <c r="I331" s="5"/>
      <c r="J331" s="56"/>
      <c r="K331" s="57"/>
      <c r="L331" s="153"/>
      <c r="M331" s="5"/>
      <c r="N331" s="5"/>
      <c r="O331" s="56"/>
      <c r="P331" s="4"/>
      <c r="Q331" s="58"/>
      <c r="R331" s="190"/>
      <c r="S331" s="191"/>
      <c r="T331" s="59"/>
      <c r="U331" s="1"/>
      <c r="V331" s="1"/>
    </row>
    <row r="332" spans="1:22" ht="24.95" customHeight="1" thickBot="1" x14ac:dyDescent="0.25">
      <c r="A332" s="1"/>
      <c r="B332" s="52">
        <v>38</v>
      </c>
      <c r="C332" s="53"/>
      <c r="D332" s="216"/>
      <c r="E332" s="174" t="s">
        <v>1</v>
      </c>
      <c r="F332" s="77"/>
      <c r="G332" s="74"/>
      <c r="H332" s="75"/>
      <c r="I332" s="75"/>
      <c r="J332" s="76"/>
      <c r="K332" s="77"/>
      <c r="L332" s="74"/>
      <c r="M332" s="75"/>
      <c r="N332" s="75"/>
      <c r="O332" s="76"/>
      <c r="P332" s="75"/>
      <c r="Q332" s="78"/>
      <c r="R332" s="78"/>
      <c r="S332" s="78"/>
      <c r="T332" s="76"/>
      <c r="U332" s="1"/>
      <c r="V332" s="1"/>
    </row>
    <row r="333" spans="1:22" ht="18.95" customHeight="1" x14ac:dyDescent="0.2">
      <c r="A333" s="1"/>
      <c r="B333" s="37"/>
      <c r="C333" s="37"/>
      <c r="D333" s="205"/>
      <c r="E333" s="3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8.95" customHeight="1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8.95" customHeight="1" x14ac:dyDescent="0.2">
      <c r="A335" s="1"/>
      <c r="B335" s="255"/>
      <c r="C335" s="256"/>
      <c r="D335" s="259" t="s">
        <v>3</v>
      </c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60"/>
      <c r="P335" s="260"/>
      <c r="Q335" s="260"/>
      <c r="R335" s="260"/>
      <c r="S335" s="260"/>
      <c r="T335" s="261"/>
      <c r="U335" s="1"/>
      <c r="V335" s="1"/>
    </row>
    <row r="336" spans="1:22" ht="18.95" customHeight="1" x14ac:dyDescent="0.2">
      <c r="A336" s="1"/>
      <c r="B336" s="257"/>
      <c r="C336" s="258"/>
      <c r="D336" s="262" t="s">
        <v>4</v>
      </c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4"/>
      <c r="U336" s="1"/>
      <c r="V336" s="1"/>
    </row>
    <row r="337" spans="1:22" ht="18.95" customHeight="1" thickBot="1" x14ac:dyDescent="0.25">
      <c r="A337" s="1"/>
      <c r="B337" s="257"/>
      <c r="C337" s="258"/>
      <c r="D337" s="265" t="s">
        <v>547</v>
      </c>
      <c r="E337" s="266"/>
      <c r="F337" s="266"/>
      <c r="G337" s="266"/>
      <c r="H337" s="266"/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7"/>
      <c r="U337" s="1"/>
      <c r="V337" s="1"/>
    </row>
    <row r="338" spans="1:22" ht="18.95" customHeight="1" thickBot="1" x14ac:dyDescent="0.25">
      <c r="A338" s="1"/>
      <c r="B338" s="268"/>
      <c r="C338" s="269"/>
      <c r="D338" s="25" t="s">
        <v>549</v>
      </c>
      <c r="E338" s="26"/>
      <c r="F338" s="27" t="s">
        <v>817</v>
      </c>
      <c r="G338" s="27"/>
      <c r="H338" s="27"/>
      <c r="I338" s="28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24"/>
      <c r="U338" s="1"/>
      <c r="V338" s="1"/>
    </row>
    <row r="339" spans="1:22" ht="18.95" customHeight="1" thickBot="1" x14ac:dyDescent="0.25">
      <c r="A339" s="1"/>
      <c r="B339" s="271" t="s">
        <v>6</v>
      </c>
      <c r="C339" s="278"/>
      <c r="D339" s="277" t="s">
        <v>7</v>
      </c>
      <c r="E339" s="273" t="s">
        <v>12</v>
      </c>
      <c r="F339" s="268"/>
      <c r="G339" s="277"/>
      <c r="H339" s="277"/>
      <c r="I339" s="277"/>
      <c r="J339" s="269"/>
      <c r="K339" s="268"/>
      <c r="L339" s="277"/>
      <c r="M339" s="277"/>
      <c r="N339" s="277"/>
      <c r="O339" s="269"/>
      <c r="P339" s="272"/>
      <c r="Q339" s="277"/>
      <c r="R339" s="277"/>
      <c r="S339" s="277"/>
      <c r="T339" s="269"/>
      <c r="U339" s="1"/>
      <c r="V339" s="1"/>
    </row>
    <row r="340" spans="1:22" ht="18.95" customHeight="1" thickBot="1" x14ac:dyDescent="0.25">
      <c r="A340" s="1"/>
      <c r="B340" s="42" t="s">
        <v>10</v>
      </c>
      <c r="C340" s="29" t="s">
        <v>9</v>
      </c>
      <c r="D340" s="277"/>
      <c r="E340" s="274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1"/>
      <c r="V340" s="1"/>
    </row>
    <row r="341" spans="1:22" ht="24.95" customHeight="1" x14ac:dyDescent="0.2">
      <c r="A341" s="1"/>
      <c r="B341" s="32">
        <v>1</v>
      </c>
      <c r="C341" s="31">
        <v>16321</v>
      </c>
      <c r="D341" s="44" t="s">
        <v>459</v>
      </c>
      <c r="E341" s="30" t="s">
        <v>1</v>
      </c>
      <c r="F341" s="62"/>
      <c r="G341" s="79"/>
      <c r="H341" s="80"/>
      <c r="I341" s="2"/>
      <c r="J341" s="61"/>
      <c r="K341" s="62"/>
      <c r="L341" s="79"/>
      <c r="M341" s="80"/>
      <c r="N341" s="2"/>
      <c r="O341" s="61"/>
      <c r="P341" s="81"/>
      <c r="Q341" s="82"/>
      <c r="R341" s="36"/>
      <c r="S341" s="60"/>
      <c r="T341" s="83"/>
      <c r="U341" s="1"/>
      <c r="V341" s="1"/>
    </row>
    <row r="342" spans="1:22" ht="24.95" customHeight="1" x14ac:dyDescent="0.2">
      <c r="A342" s="1"/>
      <c r="B342" s="30">
        <v>2</v>
      </c>
      <c r="C342" s="224">
        <v>16260</v>
      </c>
      <c r="D342" s="225" t="s">
        <v>529</v>
      </c>
      <c r="E342" s="224" t="s">
        <v>1</v>
      </c>
      <c r="F342" s="235"/>
      <c r="G342" s="236"/>
      <c r="H342" s="237"/>
      <c r="I342" s="237"/>
      <c r="J342" s="238"/>
      <c r="K342" s="235"/>
      <c r="L342" s="236"/>
      <c r="M342" s="237"/>
      <c r="N342" s="237"/>
      <c r="O342" s="238"/>
      <c r="P342" s="239"/>
      <c r="Q342" s="240"/>
      <c r="R342" s="241"/>
      <c r="S342" s="236"/>
      <c r="T342" s="242"/>
      <c r="U342" s="1"/>
      <c r="V342" s="1"/>
    </row>
    <row r="343" spans="1:22" ht="24.95" customHeight="1" x14ac:dyDescent="0.2">
      <c r="A343" s="1"/>
      <c r="B343" s="30">
        <v>3</v>
      </c>
      <c r="C343" s="30">
        <v>16351</v>
      </c>
      <c r="D343" s="44" t="s">
        <v>511</v>
      </c>
      <c r="E343" s="30" t="s">
        <v>1</v>
      </c>
      <c r="F343" s="62"/>
      <c r="G343" s="60"/>
      <c r="H343" s="2"/>
      <c r="I343" s="2"/>
      <c r="J343" s="61"/>
      <c r="K343" s="62"/>
      <c r="L343" s="60"/>
      <c r="M343" s="2"/>
      <c r="N343" s="2"/>
      <c r="O343" s="61"/>
      <c r="P343" s="3"/>
      <c r="Q343" s="63"/>
      <c r="R343" s="36"/>
      <c r="S343" s="60"/>
      <c r="T343" s="64"/>
      <c r="U343" s="1"/>
      <c r="V343" s="1"/>
    </row>
    <row r="344" spans="1:22" ht="24.95" customHeight="1" x14ac:dyDescent="0.2">
      <c r="A344" s="1"/>
      <c r="B344" s="30">
        <v>4</v>
      </c>
      <c r="C344" s="30">
        <v>16324</v>
      </c>
      <c r="D344" s="44" t="s">
        <v>462</v>
      </c>
      <c r="E344" s="30" t="s">
        <v>1</v>
      </c>
      <c r="F344" s="62"/>
      <c r="G344" s="60"/>
      <c r="H344" s="2"/>
      <c r="I344" s="2"/>
      <c r="J344" s="167"/>
      <c r="K344" s="62"/>
      <c r="L344" s="60"/>
      <c r="M344" s="2"/>
      <c r="N344" s="2"/>
      <c r="O344" s="61"/>
      <c r="P344" s="3"/>
      <c r="Q344" s="63"/>
      <c r="R344" s="36"/>
      <c r="S344" s="60"/>
      <c r="T344" s="64"/>
      <c r="U344" s="1"/>
      <c r="V344" s="1"/>
    </row>
    <row r="345" spans="1:22" ht="24.95" customHeight="1" x14ac:dyDescent="0.2">
      <c r="A345" s="1"/>
      <c r="B345" s="30">
        <v>5</v>
      </c>
      <c r="C345" s="30">
        <v>16292</v>
      </c>
      <c r="D345" s="44" t="s">
        <v>432</v>
      </c>
      <c r="E345" s="30" t="s">
        <v>1</v>
      </c>
      <c r="F345" s="62"/>
      <c r="G345" s="60"/>
      <c r="H345" s="2"/>
      <c r="I345" s="2"/>
      <c r="J345" s="61"/>
      <c r="K345" s="62"/>
      <c r="L345" s="60"/>
      <c r="M345" s="2"/>
      <c r="N345" s="2"/>
      <c r="O345" s="61"/>
      <c r="P345" s="3"/>
      <c r="Q345" s="63"/>
      <c r="R345" s="36"/>
      <c r="S345" s="60"/>
      <c r="T345" s="64"/>
      <c r="U345" s="1"/>
      <c r="V345" s="1"/>
    </row>
    <row r="346" spans="1:22" ht="24.95" customHeight="1" x14ac:dyDescent="0.2">
      <c r="A346" s="1"/>
      <c r="B346" s="30">
        <v>6</v>
      </c>
      <c r="C346" s="30">
        <v>16354</v>
      </c>
      <c r="D346" s="44" t="s">
        <v>512</v>
      </c>
      <c r="E346" s="30" t="s">
        <v>1</v>
      </c>
      <c r="F346" s="62"/>
      <c r="G346" s="60"/>
      <c r="H346" s="2"/>
      <c r="I346" s="2"/>
      <c r="J346" s="61"/>
      <c r="K346" s="62"/>
      <c r="L346" s="60"/>
      <c r="M346" s="2"/>
      <c r="N346" s="2"/>
      <c r="O346" s="61"/>
      <c r="P346" s="3"/>
      <c r="Q346" s="63"/>
      <c r="R346" s="36"/>
      <c r="S346" s="60"/>
      <c r="T346" s="64"/>
      <c r="U346" s="1"/>
      <c r="V346" s="1"/>
    </row>
    <row r="347" spans="1:22" ht="24.95" customHeight="1" x14ac:dyDescent="0.2">
      <c r="A347" s="1"/>
      <c r="B347" s="30">
        <v>7</v>
      </c>
      <c r="C347" s="30">
        <v>16332</v>
      </c>
      <c r="D347" s="44" t="s">
        <v>468</v>
      </c>
      <c r="E347" s="30" t="s">
        <v>1</v>
      </c>
      <c r="F347" s="62"/>
      <c r="G347" s="60"/>
      <c r="H347" s="2"/>
      <c r="I347" s="2"/>
      <c r="J347" s="61"/>
      <c r="K347" s="62"/>
      <c r="L347" s="60"/>
      <c r="M347" s="2"/>
      <c r="N347" s="2"/>
      <c r="O347" s="61"/>
      <c r="P347" s="3"/>
      <c r="Q347" s="63"/>
      <c r="R347" s="36"/>
      <c r="S347" s="60"/>
      <c r="T347" s="64"/>
      <c r="U347" s="1"/>
      <c r="V347" s="1"/>
    </row>
    <row r="348" spans="1:22" ht="24.95" customHeight="1" x14ac:dyDescent="0.2">
      <c r="A348" s="1"/>
      <c r="B348" s="30">
        <v>8</v>
      </c>
      <c r="C348" s="30">
        <v>16335</v>
      </c>
      <c r="D348" s="44" t="s">
        <v>470</v>
      </c>
      <c r="E348" s="30" t="s">
        <v>1</v>
      </c>
      <c r="F348" s="62"/>
      <c r="G348" s="60"/>
      <c r="H348" s="2"/>
      <c r="I348" s="2"/>
      <c r="J348" s="61"/>
      <c r="K348" s="62"/>
      <c r="L348" s="60"/>
      <c r="M348" s="2"/>
      <c r="N348" s="2"/>
      <c r="O348" s="61"/>
      <c r="P348" s="3"/>
      <c r="Q348" s="63"/>
      <c r="R348" s="36"/>
      <c r="S348" s="60"/>
      <c r="T348" s="64"/>
      <c r="U348" s="1"/>
      <c r="V348" s="1"/>
    </row>
    <row r="349" spans="1:22" ht="24.95" customHeight="1" x14ac:dyDescent="0.2">
      <c r="A349" s="1"/>
      <c r="B349" s="30">
        <v>9</v>
      </c>
      <c r="C349" s="224">
        <v>16299</v>
      </c>
      <c r="D349" s="225" t="s">
        <v>439</v>
      </c>
      <c r="E349" s="30" t="s">
        <v>1</v>
      </c>
      <c r="F349" s="62"/>
      <c r="G349" s="60"/>
      <c r="H349" s="2"/>
      <c r="I349" s="2"/>
      <c r="J349" s="61"/>
      <c r="K349" s="62"/>
      <c r="L349" s="60"/>
      <c r="M349" s="2"/>
      <c r="N349" s="2"/>
      <c r="O349" s="61"/>
      <c r="P349" s="3"/>
      <c r="Q349" s="63"/>
      <c r="R349" s="93"/>
      <c r="S349" s="55"/>
      <c r="T349" s="64"/>
      <c r="U349" s="1"/>
      <c r="V349" s="1"/>
    </row>
    <row r="350" spans="1:22" ht="24.95" customHeight="1" x14ac:dyDescent="0.2">
      <c r="A350" s="1"/>
      <c r="B350" s="30">
        <v>10</v>
      </c>
      <c r="C350" s="30">
        <v>16268</v>
      </c>
      <c r="D350" s="44" t="s">
        <v>410</v>
      </c>
      <c r="E350" s="224" t="s">
        <v>1</v>
      </c>
      <c r="F350" s="235"/>
      <c r="G350" s="236"/>
      <c r="H350" s="237"/>
      <c r="I350" s="237"/>
      <c r="J350" s="238"/>
      <c r="K350" s="235"/>
      <c r="L350" s="236"/>
      <c r="M350" s="237"/>
      <c r="N350" s="237"/>
      <c r="O350" s="238"/>
      <c r="P350" s="239"/>
      <c r="Q350" s="240"/>
      <c r="R350" s="241"/>
      <c r="S350" s="236"/>
      <c r="T350" s="242"/>
      <c r="U350" s="1"/>
      <c r="V350" s="1"/>
    </row>
    <row r="351" spans="1:22" ht="24.95" customHeight="1" x14ac:dyDescent="0.2">
      <c r="A351" s="1"/>
      <c r="B351" s="30">
        <v>11</v>
      </c>
      <c r="C351" s="224">
        <v>16269</v>
      </c>
      <c r="D351" s="225" t="s">
        <v>411</v>
      </c>
      <c r="E351" s="30" t="s">
        <v>1</v>
      </c>
      <c r="F351" s="62"/>
      <c r="G351" s="60"/>
      <c r="H351" s="2"/>
      <c r="I351" s="2"/>
      <c r="J351" s="61"/>
      <c r="K351" s="62"/>
      <c r="L351" s="60"/>
      <c r="M351" s="2"/>
      <c r="N351" s="2"/>
      <c r="O351" s="61"/>
      <c r="P351" s="3"/>
      <c r="Q351" s="63"/>
      <c r="R351" s="36"/>
      <c r="S351" s="60"/>
      <c r="T351" s="64"/>
      <c r="U351" s="1"/>
      <c r="V351" s="1"/>
    </row>
    <row r="352" spans="1:22" ht="24.95" customHeight="1" x14ac:dyDescent="0.2">
      <c r="A352" s="1"/>
      <c r="B352" s="30">
        <v>12</v>
      </c>
      <c r="C352" s="30">
        <v>16305</v>
      </c>
      <c r="D352" s="44" t="s">
        <v>444</v>
      </c>
      <c r="E352" s="30" t="s">
        <v>1</v>
      </c>
      <c r="F352" s="62"/>
      <c r="G352" s="60"/>
      <c r="H352" s="2"/>
      <c r="I352" s="2"/>
      <c r="J352" s="61"/>
      <c r="K352" s="62"/>
      <c r="L352" s="60"/>
      <c r="M352" s="2"/>
      <c r="N352" s="2"/>
      <c r="O352" s="61"/>
      <c r="P352" s="3"/>
      <c r="Q352" s="63"/>
      <c r="R352" s="36"/>
      <c r="S352" s="60"/>
      <c r="T352" s="64"/>
      <c r="U352" s="1"/>
      <c r="V352" s="1"/>
    </row>
    <row r="353" spans="1:22" ht="24.95" customHeight="1" x14ac:dyDescent="0.2">
      <c r="A353" s="1"/>
      <c r="B353" s="30">
        <v>13</v>
      </c>
      <c r="C353" s="30">
        <v>16339</v>
      </c>
      <c r="D353" s="44" t="s">
        <v>474</v>
      </c>
      <c r="E353" s="224" t="s">
        <v>1</v>
      </c>
      <c r="F353" s="235"/>
      <c r="G353" s="236"/>
      <c r="H353" s="237"/>
      <c r="I353" s="237"/>
      <c r="J353" s="238"/>
      <c r="K353" s="235"/>
      <c r="L353" s="236"/>
      <c r="M353" s="237"/>
      <c r="N353" s="237"/>
      <c r="O353" s="238"/>
      <c r="P353" s="239"/>
      <c r="Q353" s="240"/>
      <c r="R353" s="241"/>
      <c r="S353" s="236"/>
      <c r="T353" s="242"/>
      <c r="U353" s="1"/>
      <c r="V353" s="1"/>
    </row>
    <row r="354" spans="1:22" ht="24.95" customHeight="1" x14ac:dyDescent="0.2">
      <c r="A354" s="1"/>
      <c r="B354" s="30">
        <v>14</v>
      </c>
      <c r="C354" s="30">
        <v>16272</v>
      </c>
      <c r="D354" s="44" t="s">
        <v>414</v>
      </c>
      <c r="E354" s="30" t="s">
        <v>1</v>
      </c>
      <c r="F354" s="62"/>
      <c r="G354" s="60"/>
      <c r="H354" s="2"/>
      <c r="I354" s="2"/>
      <c r="J354" s="61"/>
      <c r="K354" s="62"/>
      <c r="L354" s="60"/>
      <c r="M354" s="2"/>
      <c r="N354" s="2"/>
      <c r="O354" s="61"/>
      <c r="P354" s="3"/>
      <c r="Q354" s="63"/>
      <c r="R354" s="36"/>
      <c r="S354" s="60"/>
      <c r="T354" s="64"/>
      <c r="U354" s="1"/>
      <c r="V354" s="1"/>
    </row>
    <row r="355" spans="1:22" ht="24.95" customHeight="1" x14ac:dyDescent="0.2">
      <c r="A355" s="1"/>
      <c r="B355" s="30">
        <v>15</v>
      </c>
      <c r="C355" s="224">
        <v>16309</v>
      </c>
      <c r="D355" s="225" t="s">
        <v>455</v>
      </c>
      <c r="E355" s="30" t="s">
        <v>1</v>
      </c>
      <c r="F355" s="62"/>
      <c r="G355" s="60"/>
      <c r="H355" s="2"/>
      <c r="I355" s="2"/>
      <c r="J355" s="61"/>
      <c r="K355" s="62"/>
      <c r="L355" s="60"/>
      <c r="M355" s="2"/>
      <c r="N355" s="2"/>
      <c r="O355" s="61"/>
      <c r="P355" s="3"/>
      <c r="Q355" s="63"/>
      <c r="R355" s="36"/>
      <c r="S355" s="60"/>
      <c r="T355" s="64"/>
      <c r="U355" s="1"/>
      <c r="V355" s="1"/>
    </row>
    <row r="356" spans="1:22" ht="24.95" customHeight="1" x14ac:dyDescent="0.2">
      <c r="A356" s="1"/>
      <c r="B356" s="30">
        <v>16</v>
      </c>
      <c r="C356" s="30">
        <v>16341</v>
      </c>
      <c r="D356" s="44" t="s">
        <v>475</v>
      </c>
      <c r="E356" s="30" t="s">
        <v>1</v>
      </c>
      <c r="F356" s="62"/>
      <c r="G356" s="60"/>
      <c r="H356" s="2"/>
      <c r="I356" s="2"/>
      <c r="J356" s="61"/>
      <c r="K356" s="62"/>
      <c r="L356" s="60"/>
      <c r="M356" s="2"/>
      <c r="N356" s="2"/>
      <c r="O356" s="61"/>
      <c r="P356" s="3"/>
      <c r="Q356" s="63"/>
      <c r="R356" s="36"/>
      <c r="S356" s="60"/>
      <c r="T356" s="64"/>
      <c r="U356" s="1"/>
      <c r="V356" s="1"/>
    </row>
    <row r="357" spans="1:22" ht="24.95" customHeight="1" x14ac:dyDescent="0.2">
      <c r="A357" s="1"/>
      <c r="B357" s="30">
        <v>17</v>
      </c>
      <c r="C357" s="30">
        <v>16310</v>
      </c>
      <c r="D357" s="44" t="s">
        <v>446</v>
      </c>
      <c r="E357" s="30" t="s">
        <v>1</v>
      </c>
      <c r="F357" s="62"/>
      <c r="G357" s="65"/>
      <c r="H357" s="2"/>
      <c r="I357" s="2"/>
      <c r="J357" s="61"/>
      <c r="K357" s="62"/>
      <c r="L357" s="65"/>
      <c r="M357" s="2"/>
      <c r="N357" s="2"/>
      <c r="O357" s="61"/>
      <c r="P357" s="3"/>
      <c r="Q357" s="63"/>
      <c r="R357" s="93"/>
      <c r="S357" s="55"/>
      <c r="T357" s="64"/>
      <c r="U357" s="1"/>
      <c r="V357" s="1"/>
    </row>
    <row r="358" spans="1:22" ht="24.95" customHeight="1" x14ac:dyDescent="0.2">
      <c r="A358" s="1"/>
      <c r="B358" s="30">
        <v>18</v>
      </c>
      <c r="C358" s="30">
        <v>16342</v>
      </c>
      <c r="D358" s="44" t="s">
        <v>483</v>
      </c>
      <c r="E358" s="30" t="s">
        <v>1</v>
      </c>
      <c r="F358" s="62"/>
      <c r="G358" s="65"/>
      <c r="H358" s="2"/>
      <c r="I358" s="2"/>
      <c r="J358" s="61"/>
      <c r="K358" s="62"/>
      <c r="L358" s="65"/>
      <c r="M358" s="2"/>
      <c r="N358" s="2"/>
      <c r="O358" s="61"/>
      <c r="P358" s="3"/>
      <c r="Q358" s="63"/>
      <c r="R358" s="93"/>
      <c r="S358" s="55"/>
      <c r="T358" s="64"/>
      <c r="U358" s="1"/>
      <c r="V358" s="1"/>
    </row>
    <row r="359" spans="1:22" ht="24.95" customHeight="1" x14ac:dyDescent="0.2">
      <c r="A359" s="1"/>
      <c r="B359" s="30">
        <v>19</v>
      </c>
      <c r="C359" s="30">
        <v>16365</v>
      </c>
      <c r="D359" s="44" t="s">
        <v>496</v>
      </c>
      <c r="E359" s="30" t="s">
        <v>1</v>
      </c>
      <c r="F359" s="62"/>
      <c r="G359" s="65"/>
      <c r="H359" s="2"/>
      <c r="I359" s="2"/>
      <c r="J359" s="61"/>
      <c r="K359" s="62"/>
      <c r="L359" s="65"/>
      <c r="M359" s="2"/>
      <c r="N359" s="2"/>
      <c r="O359" s="61"/>
      <c r="P359" s="3"/>
      <c r="Q359" s="63"/>
      <c r="R359" s="36"/>
      <c r="S359" s="60"/>
      <c r="T359" s="64"/>
      <c r="U359" s="1"/>
      <c r="V359" s="1"/>
    </row>
    <row r="360" spans="1:22" ht="24.95" customHeight="1" x14ac:dyDescent="0.2">
      <c r="A360" s="1"/>
      <c r="B360" s="30">
        <v>20</v>
      </c>
      <c r="C360" s="30">
        <v>16311</v>
      </c>
      <c r="D360" s="44" t="s">
        <v>447</v>
      </c>
      <c r="E360" s="30" t="s">
        <v>1</v>
      </c>
      <c r="F360" s="62"/>
      <c r="G360" s="60"/>
      <c r="H360" s="2"/>
      <c r="I360" s="2"/>
      <c r="J360" s="61"/>
      <c r="K360" s="62"/>
      <c r="L360" s="60"/>
      <c r="M360" s="2"/>
      <c r="N360" s="2"/>
      <c r="O360" s="61"/>
      <c r="P360" s="3"/>
      <c r="Q360" s="63"/>
      <c r="R360" s="36"/>
      <c r="S360" s="60"/>
      <c r="T360" s="64"/>
      <c r="U360" s="1"/>
      <c r="V360" s="1"/>
    </row>
    <row r="361" spans="1:22" ht="24.95" customHeight="1" x14ac:dyDescent="0.2">
      <c r="A361" s="1"/>
      <c r="B361" s="30">
        <v>21</v>
      </c>
      <c r="C361" s="30">
        <v>16312</v>
      </c>
      <c r="D361" s="44" t="s">
        <v>448</v>
      </c>
      <c r="E361" s="30" t="s">
        <v>1</v>
      </c>
      <c r="F361" s="62"/>
      <c r="G361" s="66"/>
      <c r="H361" s="67"/>
      <c r="I361" s="67"/>
      <c r="J361" s="68"/>
      <c r="K361" s="62"/>
      <c r="L361" s="66"/>
      <c r="M361" s="67"/>
      <c r="N361" s="67"/>
      <c r="O361" s="68"/>
      <c r="P361" s="40"/>
      <c r="Q361" s="69"/>
      <c r="R361" s="178"/>
      <c r="S361" s="90"/>
      <c r="T361" s="70"/>
      <c r="U361" s="1"/>
      <c r="V361" s="1"/>
    </row>
    <row r="362" spans="1:22" ht="24.95" customHeight="1" x14ac:dyDescent="0.2">
      <c r="A362" s="1"/>
      <c r="B362" s="30">
        <v>22</v>
      </c>
      <c r="C362" s="30">
        <v>16345</v>
      </c>
      <c r="D362" s="44" t="s">
        <v>478</v>
      </c>
      <c r="E362" s="30" t="s">
        <v>1</v>
      </c>
      <c r="F362" s="62"/>
      <c r="G362" s="66"/>
      <c r="H362" s="67"/>
      <c r="I362" s="67"/>
      <c r="J362" s="68"/>
      <c r="K362" s="62"/>
      <c r="L362" s="66"/>
      <c r="M362" s="67"/>
      <c r="N362" s="67"/>
      <c r="O362" s="68"/>
      <c r="P362" s="40"/>
      <c r="Q362" s="69"/>
      <c r="R362" s="178"/>
      <c r="S362" s="90"/>
      <c r="T362" s="70"/>
      <c r="U362" s="1"/>
      <c r="V362" s="1"/>
    </row>
    <row r="363" spans="1:22" ht="24.95" customHeight="1" x14ac:dyDescent="0.2">
      <c r="A363" s="1"/>
      <c r="B363" s="30">
        <v>23</v>
      </c>
      <c r="C363" s="30">
        <v>16372</v>
      </c>
      <c r="D363" s="44" t="s">
        <v>502</v>
      </c>
      <c r="E363" s="30" t="s">
        <v>1</v>
      </c>
      <c r="F363" s="62"/>
      <c r="G363" s="66"/>
      <c r="H363" s="67"/>
      <c r="I363" s="67"/>
      <c r="J363" s="68"/>
      <c r="K363" s="62"/>
      <c r="L363" s="66"/>
      <c r="M363" s="67"/>
      <c r="N363" s="67"/>
      <c r="O363" s="68"/>
      <c r="P363" s="40"/>
      <c r="Q363" s="69"/>
      <c r="R363" s="178"/>
      <c r="S363" s="90"/>
      <c r="T363" s="70"/>
      <c r="U363" s="1"/>
      <c r="V363" s="1"/>
    </row>
    <row r="364" spans="1:22" ht="24.95" customHeight="1" x14ac:dyDescent="0.2">
      <c r="A364" s="1"/>
      <c r="B364" s="30">
        <v>24</v>
      </c>
      <c r="C364" s="30">
        <v>16347</v>
      </c>
      <c r="D364" s="44" t="s">
        <v>480</v>
      </c>
      <c r="E364" s="30" t="s">
        <v>1</v>
      </c>
      <c r="F364" s="62"/>
      <c r="G364" s="66"/>
      <c r="H364" s="67"/>
      <c r="I364" s="67"/>
      <c r="J364" s="68"/>
      <c r="K364" s="62"/>
      <c r="L364" s="66"/>
      <c r="M364" s="67"/>
      <c r="N364" s="67"/>
      <c r="O364" s="68"/>
      <c r="P364" s="40"/>
      <c r="Q364" s="69"/>
      <c r="R364" s="178"/>
      <c r="S364" s="90"/>
      <c r="T364" s="70"/>
      <c r="U364" s="1"/>
      <c r="V364" s="1"/>
    </row>
    <row r="365" spans="1:22" ht="24.95" customHeight="1" x14ac:dyDescent="0.2">
      <c r="A365" s="1"/>
      <c r="B365" s="30">
        <v>25</v>
      </c>
      <c r="C365" s="30">
        <v>16286</v>
      </c>
      <c r="D365" s="44" t="s">
        <v>424</v>
      </c>
      <c r="E365" s="30" t="s">
        <v>1</v>
      </c>
      <c r="F365" s="62"/>
      <c r="G365" s="66"/>
      <c r="H365" s="67"/>
      <c r="I365" s="67"/>
      <c r="J365" s="68"/>
      <c r="K365" s="62"/>
      <c r="L365" s="66"/>
      <c r="M365" s="67"/>
      <c r="N365" s="67"/>
      <c r="O365" s="68"/>
      <c r="P365" s="40"/>
      <c r="Q365" s="69"/>
      <c r="R365" s="178"/>
      <c r="S365" s="90"/>
      <c r="T365" s="70"/>
      <c r="U365" s="1"/>
      <c r="V365" s="1"/>
    </row>
    <row r="366" spans="1:22" ht="24.95" customHeight="1" x14ac:dyDescent="0.2">
      <c r="A366" s="1"/>
      <c r="B366" s="30">
        <v>26</v>
      </c>
      <c r="C366" s="30"/>
      <c r="D366" s="44"/>
      <c r="E366" s="30" t="s">
        <v>1</v>
      </c>
      <c r="F366" s="71"/>
      <c r="G366" s="66"/>
      <c r="H366" s="67"/>
      <c r="I366" s="67"/>
      <c r="J366" s="68"/>
      <c r="K366" s="71"/>
      <c r="L366" s="66"/>
      <c r="M366" s="67"/>
      <c r="N366" s="67"/>
      <c r="O366" s="68"/>
      <c r="P366" s="40"/>
      <c r="Q366" s="69"/>
      <c r="R366" s="178"/>
      <c r="S366" s="90"/>
      <c r="T366" s="70"/>
      <c r="U366" s="1"/>
      <c r="V366" s="1"/>
    </row>
    <row r="367" spans="1:22" ht="24.95" customHeight="1" x14ac:dyDescent="0.2">
      <c r="A367" s="1"/>
      <c r="B367" s="30">
        <v>27</v>
      </c>
      <c r="C367" s="30"/>
      <c r="D367" s="44"/>
      <c r="E367" s="30" t="s">
        <v>1</v>
      </c>
      <c r="F367" s="71"/>
      <c r="G367" s="66"/>
      <c r="H367" s="67"/>
      <c r="I367" s="67"/>
      <c r="J367" s="68"/>
      <c r="K367" s="71"/>
      <c r="L367" s="66"/>
      <c r="M367" s="67"/>
      <c r="N367" s="67"/>
      <c r="O367" s="68"/>
      <c r="P367" s="40"/>
      <c r="Q367" s="69"/>
      <c r="R367" s="178"/>
      <c r="S367" s="90"/>
      <c r="T367" s="70"/>
      <c r="U367" s="1"/>
      <c r="V367" s="1"/>
    </row>
    <row r="368" spans="1:22" ht="24.95" customHeight="1" x14ac:dyDescent="0.2">
      <c r="A368" s="1"/>
      <c r="B368" s="30">
        <v>28</v>
      </c>
      <c r="C368" s="30"/>
      <c r="D368" s="44"/>
      <c r="E368" s="30" t="s">
        <v>1</v>
      </c>
      <c r="F368" s="71"/>
      <c r="G368" s="66"/>
      <c r="H368" s="67"/>
      <c r="I368" s="67"/>
      <c r="J368" s="68"/>
      <c r="K368" s="71"/>
      <c r="L368" s="66"/>
      <c r="M368" s="67"/>
      <c r="N368" s="67"/>
      <c r="O368" s="68"/>
      <c r="P368" s="40"/>
      <c r="Q368" s="69"/>
      <c r="R368" s="178"/>
      <c r="S368" s="90"/>
      <c r="T368" s="70"/>
      <c r="U368" s="1"/>
      <c r="V368" s="1"/>
    </row>
    <row r="369" spans="1:22" ht="24.95" customHeight="1" x14ac:dyDescent="0.2">
      <c r="A369" s="1"/>
      <c r="B369" s="30">
        <v>29</v>
      </c>
      <c r="C369" s="30"/>
      <c r="D369" s="44"/>
      <c r="E369" s="30" t="s">
        <v>1</v>
      </c>
      <c r="F369" s="71"/>
      <c r="G369" s="66"/>
      <c r="H369" s="67"/>
      <c r="I369" s="67"/>
      <c r="J369" s="68"/>
      <c r="K369" s="71"/>
      <c r="L369" s="66"/>
      <c r="M369" s="67"/>
      <c r="N369" s="67"/>
      <c r="O369" s="68"/>
      <c r="P369" s="40"/>
      <c r="Q369" s="69"/>
      <c r="R369" s="178"/>
      <c r="S369" s="90"/>
      <c r="T369" s="70"/>
      <c r="U369" s="1"/>
      <c r="V369" s="1"/>
    </row>
    <row r="370" spans="1:22" ht="24.95" customHeight="1" x14ac:dyDescent="0.2">
      <c r="A370" s="1"/>
      <c r="B370" s="30">
        <v>30</v>
      </c>
      <c r="C370" s="30"/>
      <c r="D370" s="44"/>
      <c r="E370" s="224" t="s">
        <v>1</v>
      </c>
      <c r="F370" s="226"/>
      <c r="G370" s="227"/>
      <c r="H370" s="228"/>
      <c r="I370" s="228"/>
      <c r="J370" s="229"/>
      <c r="K370" s="226"/>
      <c r="L370" s="227"/>
      <c r="M370" s="228"/>
      <c r="N370" s="228"/>
      <c r="O370" s="229"/>
      <c r="P370" s="230"/>
      <c r="Q370" s="231"/>
      <c r="R370" s="232"/>
      <c r="S370" s="233"/>
      <c r="T370" s="234"/>
      <c r="U370" s="1"/>
      <c r="V370" s="1"/>
    </row>
    <row r="371" spans="1:22" ht="24.95" customHeight="1" x14ac:dyDescent="0.2">
      <c r="A371" s="1"/>
      <c r="B371" s="30">
        <v>31</v>
      </c>
      <c r="C371" s="30"/>
      <c r="D371" s="45"/>
      <c r="E371" s="30" t="s">
        <v>1</v>
      </c>
      <c r="F371" s="89"/>
      <c r="G371" s="90"/>
      <c r="H371" s="67"/>
      <c r="I371" s="67"/>
      <c r="J371" s="68"/>
      <c r="K371" s="89"/>
      <c r="L371" s="90"/>
      <c r="M371" s="67"/>
      <c r="N371" s="67"/>
      <c r="O371" s="68"/>
      <c r="P371" s="40"/>
      <c r="Q371" s="69"/>
      <c r="R371" s="178"/>
      <c r="S371" s="90"/>
      <c r="T371" s="70"/>
      <c r="U371" s="1"/>
      <c r="V371" s="1"/>
    </row>
    <row r="372" spans="1:22" ht="24.95" customHeight="1" x14ac:dyDescent="0.2">
      <c r="A372" s="1"/>
      <c r="B372" s="30">
        <v>32</v>
      </c>
      <c r="C372" s="30"/>
      <c r="D372" s="46"/>
      <c r="E372" s="30" t="s">
        <v>1</v>
      </c>
      <c r="F372" s="91"/>
      <c r="G372" s="91"/>
      <c r="H372" s="3"/>
      <c r="I372" s="3"/>
      <c r="J372" s="68"/>
      <c r="K372" s="91"/>
      <c r="L372" s="91"/>
      <c r="M372" s="3"/>
      <c r="N372" s="3"/>
      <c r="O372" s="68"/>
      <c r="P372" s="3"/>
      <c r="Q372" s="3"/>
      <c r="R372" s="3"/>
      <c r="S372" s="3"/>
      <c r="T372" s="64"/>
      <c r="U372" s="1"/>
      <c r="V372" s="1"/>
    </row>
    <row r="373" spans="1:22" ht="24.95" customHeight="1" x14ac:dyDescent="0.2">
      <c r="A373" s="1"/>
      <c r="B373" s="30">
        <v>33</v>
      </c>
      <c r="C373" s="35"/>
      <c r="D373" s="47"/>
      <c r="E373" s="30" t="s">
        <v>1</v>
      </c>
      <c r="F373" s="92"/>
      <c r="G373" s="92"/>
      <c r="H373" s="40"/>
      <c r="I373" s="40"/>
      <c r="J373" s="68"/>
      <c r="K373" s="92"/>
      <c r="L373" s="92"/>
      <c r="M373" s="40"/>
      <c r="N373" s="40"/>
      <c r="O373" s="68"/>
      <c r="P373" s="40"/>
      <c r="Q373" s="40"/>
      <c r="R373" s="40"/>
      <c r="S373" s="40"/>
      <c r="T373" s="70"/>
      <c r="U373" s="1"/>
      <c r="V373" s="1"/>
    </row>
    <row r="374" spans="1:22" ht="24.95" customHeight="1" x14ac:dyDescent="0.2">
      <c r="A374" s="1"/>
      <c r="B374" s="30">
        <v>34</v>
      </c>
      <c r="C374" s="30"/>
      <c r="D374" s="46"/>
      <c r="E374" s="30" t="s">
        <v>1</v>
      </c>
      <c r="F374" s="91"/>
      <c r="G374" s="91"/>
      <c r="H374" s="3"/>
      <c r="I374" s="3"/>
      <c r="J374" s="68"/>
      <c r="K374" s="91"/>
      <c r="L374" s="91"/>
      <c r="M374" s="3"/>
      <c r="N374" s="3"/>
      <c r="O374" s="68"/>
      <c r="P374" s="3"/>
      <c r="Q374" s="3"/>
      <c r="R374" s="3"/>
      <c r="S374" s="3"/>
      <c r="T374" s="64"/>
      <c r="U374" s="1"/>
      <c r="V374" s="1"/>
    </row>
    <row r="375" spans="1:22" ht="24.95" customHeight="1" x14ac:dyDescent="0.2">
      <c r="A375" s="1"/>
      <c r="B375" s="30">
        <v>35</v>
      </c>
      <c r="C375" s="30"/>
      <c r="D375" s="46"/>
      <c r="E375" s="30" t="s">
        <v>1</v>
      </c>
      <c r="F375" s="91"/>
      <c r="G375" s="91"/>
      <c r="H375" s="3"/>
      <c r="I375" s="3"/>
      <c r="J375" s="68"/>
      <c r="K375" s="91"/>
      <c r="L375" s="91"/>
      <c r="M375" s="3"/>
      <c r="N375" s="3"/>
      <c r="O375" s="68"/>
      <c r="P375" s="3"/>
      <c r="Q375" s="3"/>
      <c r="R375" s="3"/>
      <c r="S375" s="3"/>
      <c r="T375" s="64"/>
      <c r="U375" s="1"/>
      <c r="V375" s="1"/>
    </row>
    <row r="376" spans="1:22" ht="24.95" customHeight="1" x14ac:dyDescent="0.2">
      <c r="A376" s="1"/>
      <c r="B376" s="30">
        <v>36</v>
      </c>
      <c r="C376" s="31"/>
      <c r="D376" s="128"/>
      <c r="E376" s="30" t="s">
        <v>1</v>
      </c>
      <c r="F376" s="93"/>
      <c r="G376" s="93"/>
      <c r="H376" s="93"/>
      <c r="I376" s="93"/>
      <c r="J376" s="68"/>
      <c r="K376" s="93"/>
      <c r="L376" s="93"/>
      <c r="M376" s="93"/>
      <c r="N376" s="93"/>
      <c r="O376" s="68"/>
      <c r="P376" s="93"/>
      <c r="Q376" s="93"/>
      <c r="R376" s="93"/>
      <c r="S376" s="93"/>
      <c r="T376" s="94"/>
      <c r="U376" s="1"/>
      <c r="V376" s="1"/>
    </row>
    <row r="377" spans="1:22" ht="24.95" customHeight="1" x14ac:dyDescent="0.2">
      <c r="B377" s="30">
        <v>37</v>
      </c>
      <c r="C377" s="30"/>
      <c r="D377" s="46"/>
      <c r="E377" s="30" t="s">
        <v>1</v>
      </c>
      <c r="F377" s="95"/>
      <c r="G377" s="95"/>
      <c r="H377" s="95"/>
      <c r="I377" s="95"/>
      <c r="J377" s="68"/>
      <c r="K377" s="95"/>
      <c r="L377" s="95"/>
      <c r="M377" s="95"/>
      <c r="N377" s="95"/>
      <c r="O377" s="68"/>
      <c r="P377" s="95"/>
      <c r="Q377" s="95"/>
      <c r="R377" s="95"/>
      <c r="S377" s="95"/>
      <c r="T377" s="96"/>
      <c r="V377" s="1"/>
    </row>
    <row r="378" spans="1:22" ht="24.95" customHeight="1" x14ac:dyDescent="0.2">
      <c r="B378" s="35"/>
      <c r="C378" s="35"/>
      <c r="D378" s="154"/>
      <c r="E378" s="35"/>
      <c r="F378" s="155"/>
      <c r="G378" s="156"/>
      <c r="H378" s="156"/>
      <c r="I378" s="156"/>
      <c r="J378" s="68"/>
      <c r="K378" s="155"/>
      <c r="L378" s="156"/>
      <c r="M378" s="156"/>
      <c r="N378" s="156"/>
      <c r="O378" s="68"/>
      <c r="P378" s="155"/>
      <c r="Q378" s="156"/>
      <c r="R378" s="156"/>
      <c r="S378" s="156"/>
      <c r="T378" s="157"/>
      <c r="V378" s="1"/>
    </row>
    <row r="379" spans="1:22" ht="24.95" customHeight="1" thickBot="1" x14ac:dyDescent="0.25">
      <c r="B379" s="129"/>
      <c r="C379" s="129"/>
      <c r="D379" s="197"/>
      <c r="E379" s="131"/>
      <c r="F379" s="130"/>
      <c r="G379" s="98"/>
      <c r="H379" s="98"/>
      <c r="I379" s="98"/>
      <c r="J379" s="132"/>
      <c r="K379" s="97"/>
      <c r="L379" s="98"/>
      <c r="M379" s="98"/>
      <c r="N379" s="98"/>
      <c r="O379" s="99"/>
      <c r="P379" s="130"/>
      <c r="Q379" s="98"/>
      <c r="R379" s="98"/>
      <c r="S379" s="98"/>
      <c r="T379" s="99"/>
      <c r="V379" s="1"/>
    </row>
    <row r="380" spans="1:22" ht="18.95" customHeight="1" x14ac:dyDescent="0.2">
      <c r="V380" s="1"/>
    </row>
    <row r="381" spans="1:22" ht="18.95" customHeight="1" thickBot="1" x14ac:dyDescent="0.25"/>
    <row r="382" spans="1:22" ht="18.95" customHeight="1" x14ac:dyDescent="0.2">
      <c r="A382" s="1"/>
      <c r="B382" s="255"/>
      <c r="C382" s="256"/>
      <c r="D382" s="259" t="s">
        <v>3</v>
      </c>
      <c r="E382" s="260"/>
      <c r="F382" s="260"/>
      <c r="G382" s="260"/>
      <c r="H382" s="260"/>
      <c r="I382" s="260"/>
      <c r="J382" s="260"/>
      <c r="K382" s="260"/>
      <c r="L382" s="260"/>
      <c r="M382" s="260"/>
      <c r="N382" s="260"/>
      <c r="O382" s="260"/>
      <c r="P382" s="260"/>
      <c r="Q382" s="260"/>
      <c r="R382" s="260"/>
      <c r="S382" s="260"/>
      <c r="T382" s="261"/>
      <c r="U382" s="1"/>
      <c r="V382" s="1"/>
    </row>
    <row r="383" spans="1:22" ht="18.95" customHeight="1" x14ac:dyDescent="0.2">
      <c r="A383" s="1"/>
      <c r="B383" s="257"/>
      <c r="C383" s="258"/>
      <c r="D383" s="262" t="s">
        <v>4</v>
      </c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4"/>
      <c r="U383" s="1"/>
      <c r="V383" s="1"/>
    </row>
    <row r="384" spans="1:22" ht="18.95" customHeight="1" thickBot="1" x14ac:dyDescent="0.25">
      <c r="A384" s="1"/>
      <c r="B384" s="257"/>
      <c r="C384" s="258"/>
      <c r="D384" s="265" t="s">
        <v>547</v>
      </c>
      <c r="E384" s="266"/>
      <c r="F384" s="266"/>
      <c r="G384" s="266"/>
      <c r="H384" s="266"/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7"/>
      <c r="U384" s="1"/>
      <c r="V384" s="1"/>
    </row>
    <row r="385" spans="1:22" ht="18.95" customHeight="1" thickBot="1" x14ac:dyDescent="0.25">
      <c r="A385" s="1"/>
      <c r="B385" s="268"/>
      <c r="C385" s="269"/>
      <c r="D385" s="25" t="s">
        <v>548</v>
      </c>
      <c r="E385" s="26"/>
      <c r="F385" s="27" t="s">
        <v>818</v>
      </c>
      <c r="G385" s="27"/>
      <c r="H385" s="27"/>
      <c r="I385" s="28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24"/>
      <c r="U385" s="1"/>
      <c r="V385" s="1"/>
    </row>
    <row r="386" spans="1:22" ht="18.95" customHeight="1" thickBot="1" x14ac:dyDescent="0.25">
      <c r="A386" s="1"/>
      <c r="B386" s="271" t="s">
        <v>6</v>
      </c>
      <c r="C386" s="278"/>
      <c r="D386" s="277" t="s">
        <v>7</v>
      </c>
      <c r="E386" s="273" t="s">
        <v>12</v>
      </c>
      <c r="F386" s="268"/>
      <c r="G386" s="277"/>
      <c r="H386" s="277"/>
      <c r="I386" s="277"/>
      <c r="J386" s="269"/>
      <c r="K386" s="268"/>
      <c r="L386" s="277"/>
      <c r="M386" s="277"/>
      <c r="N386" s="277"/>
      <c r="O386" s="269"/>
      <c r="P386" s="272"/>
      <c r="Q386" s="277"/>
      <c r="R386" s="277"/>
      <c r="S386" s="277"/>
      <c r="T386" s="269"/>
      <c r="U386" s="1"/>
      <c r="V386" s="1"/>
    </row>
    <row r="387" spans="1:22" ht="18.95" customHeight="1" thickBot="1" x14ac:dyDescent="0.25">
      <c r="A387" s="1"/>
      <c r="B387" s="42" t="s">
        <v>10</v>
      </c>
      <c r="C387" s="29" t="s">
        <v>9</v>
      </c>
      <c r="D387" s="277"/>
      <c r="E387" s="274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1"/>
      <c r="V387" s="1"/>
    </row>
    <row r="388" spans="1:22" ht="24.95" customHeight="1" x14ac:dyDescent="0.2">
      <c r="A388" s="1"/>
      <c r="B388" s="32">
        <v>1</v>
      </c>
      <c r="C388" s="31">
        <v>16265</v>
      </c>
      <c r="D388" s="44" t="s">
        <v>408</v>
      </c>
      <c r="E388" s="30" t="s">
        <v>1</v>
      </c>
      <c r="F388" s="62"/>
      <c r="G388" s="79"/>
      <c r="H388" s="80"/>
      <c r="I388" s="2"/>
      <c r="J388" s="61"/>
      <c r="K388" s="62"/>
      <c r="L388" s="79"/>
      <c r="M388" s="80"/>
      <c r="N388" s="2"/>
      <c r="O388" s="61"/>
      <c r="P388" s="81"/>
      <c r="Q388" s="82"/>
      <c r="R388" s="36"/>
      <c r="S388" s="60"/>
      <c r="T388" s="83"/>
      <c r="U388" s="1"/>
      <c r="V388" s="1"/>
    </row>
    <row r="389" spans="1:22" ht="24.95" customHeight="1" x14ac:dyDescent="0.2">
      <c r="A389" s="1"/>
      <c r="B389" s="30">
        <v>2</v>
      </c>
      <c r="C389" s="30">
        <v>16356</v>
      </c>
      <c r="D389" s="44" t="s">
        <v>487</v>
      </c>
      <c r="E389" s="224" t="s">
        <v>1</v>
      </c>
      <c r="F389" s="235"/>
      <c r="G389" s="236"/>
      <c r="H389" s="237"/>
      <c r="I389" s="237"/>
      <c r="J389" s="238"/>
      <c r="K389" s="235"/>
      <c r="L389" s="236"/>
      <c r="M389" s="237"/>
      <c r="N389" s="237"/>
      <c r="O389" s="238"/>
      <c r="P389" s="239"/>
      <c r="Q389" s="240"/>
      <c r="R389" s="241"/>
      <c r="S389" s="236"/>
      <c r="T389" s="242"/>
      <c r="U389" s="1"/>
      <c r="V389" s="1"/>
    </row>
    <row r="390" spans="1:22" ht="24.95" customHeight="1" x14ac:dyDescent="0.2">
      <c r="A390" s="1"/>
      <c r="B390" s="30">
        <v>3</v>
      </c>
      <c r="C390" s="30">
        <v>16266</v>
      </c>
      <c r="D390" s="44" t="s">
        <v>428</v>
      </c>
      <c r="E390" s="30" t="s">
        <v>1</v>
      </c>
      <c r="F390" s="62"/>
      <c r="G390" s="60"/>
      <c r="H390" s="2"/>
      <c r="I390" s="2"/>
      <c r="J390" s="61"/>
      <c r="K390" s="62"/>
      <c r="L390" s="60"/>
      <c r="M390" s="2"/>
      <c r="N390" s="2"/>
      <c r="O390" s="61"/>
      <c r="P390" s="3"/>
      <c r="Q390" s="63"/>
      <c r="R390" s="36"/>
      <c r="S390" s="60"/>
      <c r="T390" s="64"/>
      <c r="U390" s="1"/>
      <c r="V390" s="1"/>
    </row>
    <row r="391" spans="1:22" ht="24.95" customHeight="1" x14ac:dyDescent="0.2">
      <c r="A391" s="1"/>
      <c r="B391" s="30">
        <v>4</v>
      </c>
      <c r="C391" s="30">
        <v>16296</v>
      </c>
      <c r="D391" s="44" t="s">
        <v>436</v>
      </c>
      <c r="E391" s="30" t="s">
        <v>1</v>
      </c>
      <c r="F391" s="62"/>
      <c r="G391" s="60"/>
      <c r="H391" s="2"/>
      <c r="I391" s="2"/>
      <c r="J391" s="167"/>
      <c r="K391" s="62"/>
      <c r="L391" s="60"/>
      <c r="M391" s="2"/>
      <c r="N391" s="2"/>
      <c r="O391" s="61"/>
      <c r="P391" s="3"/>
      <c r="Q391" s="63"/>
      <c r="R391" s="36"/>
      <c r="S391" s="60"/>
      <c r="T391" s="64"/>
      <c r="U391" s="1"/>
      <c r="V391" s="1"/>
    </row>
    <row r="392" spans="1:22" ht="24.95" customHeight="1" x14ac:dyDescent="0.2">
      <c r="A392" s="1"/>
      <c r="B392" s="30">
        <v>5</v>
      </c>
      <c r="C392" s="224">
        <v>16357</v>
      </c>
      <c r="D392" s="225" t="s">
        <v>488</v>
      </c>
      <c r="E392" s="30" t="s">
        <v>1</v>
      </c>
      <c r="F392" s="62"/>
      <c r="G392" s="60"/>
      <c r="H392" s="2"/>
      <c r="I392" s="2"/>
      <c r="J392" s="61"/>
      <c r="K392" s="62"/>
      <c r="L392" s="60"/>
      <c r="M392" s="2"/>
      <c r="N392" s="2"/>
      <c r="O392" s="61"/>
      <c r="P392" s="3"/>
      <c r="Q392" s="63"/>
      <c r="R392" s="36"/>
      <c r="S392" s="60"/>
      <c r="T392" s="64"/>
      <c r="U392" s="1"/>
      <c r="V392" s="1"/>
    </row>
    <row r="393" spans="1:22" ht="24.95" customHeight="1" x14ac:dyDescent="0.2">
      <c r="A393" s="1"/>
      <c r="B393" s="30">
        <v>6</v>
      </c>
      <c r="C393" s="224">
        <v>16358</v>
      </c>
      <c r="D393" s="225" t="s">
        <v>489</v>
      </c>
      <c r="E393" s="30" t="s">
        <v>1</v>
      </c>
      <c r="F393" s="62"/>
      <c r="G393" s="60"/>
      <c r="H393" s="2"/>
      <c r="I393" s="2"/>
      <c r="J393" s="61"/>
      <c r="K393" s="62"/>
      <c r="L393" s="60"/>
      <c r="M393" s="2"/>
      <c r="N393" s="2"/>
      <c r="O393" s="61"/>
      <c r="P393" s="3"/>
      <c r="Q393" s="63"/>
      <c r="R393" s="36"/>
      <c r="S393" s="60"/>
      <c r="T393" s="64"/>
      <c r="U393" s="1"/>
      <c r="V393" s="1"/>
    </row>
    <row r="394" spans="1:22" ht="24.95" customHeight="1" x14ac:dyDescent="0.2">
      <c r="A394" s="1"/>
      <c r="B394" s="30">
        <v>7</v>
      </c>
      <c r="C394" s="30">
        <v>16336</v>
      </c>
      <c r="D394" s="44" t="s">
        <v>471</v>
      </c>
      <c r="E394" s="30" t="s">
        <v>1</v>
      </c>
      <c r="F394" s="62"/>
      <c r="G394" s="60"/>
      <c r="H394" s="2"/>
      <c r="I394" s="2"/>
      <c r="J394" s="61"/>
      <c r="K394" s="62"/>
      <c r="L394" s="60"/>
      <c r="M394" s="2"/>
      <c r="N394" s="2"/>
      <c r="O394" s="61"/>
      <c r="P394" s="3"/>
      <c r="Q394" s="63"/>
      <c r="R394" s="36"/>
      <c r="S394" s="60"/>
      <c r="T394" s="64"/>
      <c r="U394" s="1"/>
      <c r="V394" s="1"/>
    </row>
    <row r="395" spans="1:22" ht="24.95" customHeight="1" x14ac:dyDescent="0.2">
      <c r="A395" s="1"/>
      <c r="B395" s="30">
        <v>8</v>
      </c>
      <c r="C395" s="30">
        <v>16300</v>
      </c>
      <c r="D395" s="44" t="s">
        <v>440</v>
      </c>
      <c r="E395" s="30" t="s">
        <v>1</v>
      </c>
      <c r="F395" s="62"/>
      <c r="G395" s="60"/>
      <c r="H395" s="2"/>
      <c r="I395" s="2"/>
      <c r="J395" s="61"/>
      <c r="K395" s="62"/>
      <c r="L395" s="60"/>
      <c r="M395" s="2"/>
      <c r="N395" s="2"/>
      <c r="O395" s="61"/>
      <c r="P395" s="3"/>
      <c r="Q395" s="63"/>
      <c r="R395" s="36"/>
      <c r="S395" s="60"/>
      <c r="T395" s="64"/>
      <c r="U395" s="1"/>
      <c r="V395" s="1"/>
    </row>
    <row r="396" spans="1:22" ht="24.95" customHeight="1" x14ac:dyDescent="0.2">
      <c r="A396" s="1"/>
      <c r="B396" s="30">
        <v>9</v>
      </c>
      <c r="C396" s="30">
        <v>16301</v>
      </c>
      <c r="D396" s="44" t="s">
        <v>441</v>
      </c>
      <c r="E396" s="30" t="s">
        <v>1</v>
      </c>
      <c r="F396" s="62"/>
      <c r="G396" s="60"/>
      <c r="H396" s="2"/>
      <c r="I396" s="2"/>
      <c r="J396" s="61"/>
      <c r="K396" s="62"/>
      <c r="L396" s="60"/>
      <c r="M396" s="2"/>
      <c r="N396" s="2"/>
      <c r="O396" s="61"/>
      <c r="P396" s="3"/>
      <c r="Q396" s="63"/>
      <c r="R396" s="93"/>
      <c r="S396" s="55"/>
      <c r="T396" s="64"/>
      <c r="U396" s="1"/>
      <c r="V396" s="1"/>
    </row>
    <row r="397" spans="1:22" ht="24.95" customHeight="1" x14ac:dyDescent="0.2">
      <c r="A397" s="1"/>
      <c r="B397" s="30">
        <v>10</v>
      </c>
      <c r="C397" s="30">
        <v>16302</v>
      </c>
      <c r="D397" s="44" t="s">
        <v>442</v>
      </c>
      <c r="E397" s="224" t="s">
        <v>1</v>
      </c>
      <c r="F397" s="235"/>
      <c r="G397" s="236"/>
      <c r="H397" s="237"/>
      <c r="I397" s="237"/>
      <c r="J397" s="238"/>
      <c r="K397" s="235"/>
      <c r="L397" s="236"/>
      <c r="M397" s="237"/>
      <c r="N397" s="237"/>
      <c r="O397" s="238"/>
      <c r="P397" s="239"/>
      <c r="Q397" s="240"/>
      <c r="R397" s="241"/>
      <c r="S397" s="236"/>
      <c r="T397" s="242"/>
      <c r="U397" s="1"/>
      <c r="V397" s="1"/>
    </row>
    <row r="398" spans="1:22" ht="24.95" customHeight="1" x14ac:dyDescent="0.2">
      <c r="A398" s="1"/>
      <c r="B398" s="30">
        <v>11</v>
      </c>
      <c r="C398" s="30">
        <v>16304</v>
      </c>
      <c r="D398" s="44" t="s">
        <v>443</v>
      </c>
      <c r="E398" s="30" t="s">
        <v>1</v>
      </c>
      <c r="F398" s="62"/>
      <c r="G398" s="60"/>
      <c r="H398" s="2"/>
      <c r="I398" s="2"/>
      <c r="J398" s="61"/>
      <c r="K398" s="62"/>
      <c r="L398" s="60"/>
      <c r="M398" s="2"/>
      <c r="N398" s="2"/>
      <c r="O398" s="61"/>
      <c r="P398" s="3"/>
      <c r="Q398" s="63"/>
      <c r="R398" s="36"/>
      <c r="S398" s="60"/>
      <c r="T398" s="64"/>
      <c r="U398" s="1"/>
      <c r="V398" s="1"/>
    </row>
    <row r="399" spans="1:22" ht="24.95" customHeight="1" x14ac:dyDescent="0.2">
      <c r="A399" s="1"/>
      <c r="B399" s="30">
        <v>12</v>
      </c>
      <c r="C399" s="30">
        <v>16267</v>
      </c>
      <c r="D399" s="44" t="s">
        <v>409</v>
      </c>
      <c r="E399" s="30" t="s">
        <v>1</v>
      </c>
      <c r="F399" s="62"/>
      <c r="G399" s="60"/>
      <c r="H399" s="2"/>
      <c r="I399" s="2"/>
      <c r="J399" s="61"/>
      <c r="K399" s="62"/>
      <c r="L399" s="60"/>
      <c r="M399" s="2"/>
      <c r="N399" s="2"/>
      <c r="O399" s="61"/>
      <c r="P399" s="3"/>
      <c r="Q399" s="63"/>
      <c r="R399" s="36"/>
      <c r="S399" s="60"/>
      <c r="T399" s="64"/>
      <c r="U399" s="1"/>
      <c r="V399" s="1"/>
    </row>
    <row r="400" spans="1:22" ht="24.95" customHeight="1" x14ac:dyDescent="0.2">
      <c r="A400" s="1"/>
      <c r="B400" s="30">
        <v>13</v>
      </c>
      <c r="C400" s="30">
        <v>16271</v>
      </c>
      <c r="D400" s="44" t="s">
        <v>413</v>
      </c>
      <c r="E400" s="224" t="s">
        <v>1</v>
      </c>
      <c r="F400" s="235"/>
      <c r="G400" s="236"/>
      <c r="H400" s="237"/>
      <c r="I400" s="237"/>
      <c r="J400" s="238"/>
      <c r="K400" s="235"/>
      <c r="L400" s="236"/>
      <c r="M400" s="237"/>
      <c r="N400" s="237"/>
      <c r="O400" s="238"/>
      <c r="P400" s="239"/>
      <c r="Q400" s="240"/>
      <c r="R400" s="241"/>
      <c r="S400" s="236"/>
      <c r="T400" s="242"/>
      <c r="U400" s="1"/>
      <c r="V400" s="1"/>
    </row>
    <row r="401" spans="1:22" ht="24.95" customHeight="1" x14ac:dyDescent="0.2">
      <c r="A401" s="1"/>
      <c r="B401" s="30">
        <v>14</v>
      </c>
      <c r="C401" s="224">
        <v>16275</v>
      </c>
      <c r="D401" s="225" t="s">
        <v>417</v>
      </c>
      <c r="E401" s="30" t="s">
        <v>1</v>
      </c>
      <c r="F401" s="62"/>
      <c r="G401" s="60"/>
      <c r="H401" s="2"/>
      <c r="I401" s="2"/>
      <c r="J401" s="61"/>
      <c r="K401" s="62"/>
      <c r="L401" s="60"/>
      <c r="M401" s="2"/>
      <c r="N401" s="2"/>
      <c r="O401" s="61"/>
      <c r="P401" s="3"/>
      <c r="Q401" s="63"/>
      <c r="R401" s="36"/>
      <c r="S401" s="60"/>
      <c r="T401" s="64"/>
      <c r="U401" s="1"/>
      <c r="V401" s="1"/>
    </row>
    <row r="402" spans="1:22" ht="24.95" customHeight="1" x14ac:dyDescent="0.2">
      <c r="A402" s="1"/>
      <c r="B402" s="30">
        <v>15</v>
      </c>
      <c r="C402" s="30">
        <v>16278</v>
      </c>
      <c r="D402" s="44" t="s">
        <v>419</v>
      </c>
      <c r="E402" s="30" t="s">
        <v>1</v>
      </c>
      <c r="F402" s="62"/>
      <c r="G402" s="60"/>
      <c r="H402" s="2"/>
      <c r="I402" s="2"/>
      <c r="J402" s="61"/>
      <c r="K402" s="62"/>
      <c r="L402" s="60"/>
      <c r="M402" s="2"/>
      <c r="N402" s="2"/>
      <c r="O402" s="61"/>
      <c r="P402" s="3"/>
      <c r="Q402" s="63"/>
      <c r="R402" s="36"/>
      <c r="S402" s="60"/>
      <c r="T402" s="64"/>
      <c r="U402" s="1"/>
      <c r="V402" s="1"/>
    </row>
    <row r="403" spans="1:22" ht="24.95" customHeight="1" x14ac:dyDescent="0.2">
      <c r="A403" s="1"/>
      <c r="B403" s="30">
        <v>16</v>
      </c>
      <c r="C403" s="30">
        <v>16346</v>
      </c>
      <c r="D403" s="44" t="s">
        <v>479</v>
      </c>
      <c r="E403" s="30" t="s">
        <v>1</v>
      </c>
      <c r="F403" s="62"/>
      <c r="G403" s="60"/>
      <c r="H403" s="2"/>
      <c r="I403" s="2"/>
      <c r="J403" s="61"/>
      <c r="K403" s="62"/>
      <c r="L403" s="60"/>
      <c r="M403" s="2"/>
      <c r="N403" s="2"/>
      <c r="O403" s="61"/>
      <c r="P403" s="3"/>
      <c r="Q403" s="63"/>
      <c r="R403" s="36"/>
      <c r="S403" s="60"/>
      <c r="T403" s="64"/>
      <c r="U403" s="1"/>
      <c r="V403" s="1"/>
    </row>
    <row r="404" spans="1:22" ht="24.95" customHeight="1" x14ac:dyDescent="0.2">
      <c r="A404" s="1"/>
      <c r="B404" s="30">
        <v>17</v>
      </c>
      <c r="C404" s="224">
        <v>16316</v>
      </c>
      <c r="D404" s="225" t="s">
        <v>451</v>
      </c>
      <c r="E404" s="30" t="s">
        <v>1</v>
      </c>
      <c r="F404" s="62"/>
      <c r="G404" s="65"/>
      <c r="H404" s="2"/>
      <c r="I404" s="2"/>
      <c r="J404" s="61"/>
      <c r="K404" s="62"/>
      <c r="L404" s="65"/>
      <c r="M404" s="2"/>
      <c r="N404" s="2"/>
      <c r="O404" s="61"/>
      <c r="P404" s="3"/>
      <c r="Q404" s="63"/>
      <c r="R404" s="93"/>
      <c r="S404" s="55"/>
      <c r="T404" s="64"/>
      <c r="U404" s="1"/>
      <c r="V404" s="1"/>
    </row>
    <row r="405" spans="1:22" ht="24.95" customHeight="1" x14ac:dyDescent="0.2">
      <c r="A405" s="1"/>
      <c r="B405" s="30">
        <v>18</v>
      </c>
      <c r="C405" s="30">
        <v>16284</v>
      </c>
      <c r="D405" s="44" t="s">
        <v>423</v>
      </c>
      <c r="E405" s="30" t="s">
        <v>1</v>
      </c>
      <c r="F405" s="62"/>
      <c r="G405" s="65"/>
      <c r="H405" s="2"/>
      <c r="I405" s="2"/>
      <c r="J405" s="61"/>
      <c r="K405" s="62"/>
      <c r="L405" s="65"/>
      <c r="M405" s="2"/>
      <c r="N405" s="2"/>
      <c r="O405" s="61"/>
      <c r="P405" s="3"/>
      <c r="Q405" s="63"/>
      <c r="R405" s="93"/>
      <c r="S405" s="55"/>
      <c r="T405" s="64"/>
      <c r="U405" s="1"/>
      <c r="V405" s="1"/>
    </row>
    <row r="406" spans="1:22" ht="24.95" customHeight="1" x14ac:dyDescent="0.2">
      <c r="A406" s="1"/>
      <c r="B406" s="30">
        <v>19</v>
      </c>
      <c r="C406" s="30">
        <v>16317</v>
      </c>
      <c r="D406" s="44" t="s">
        <v>452</v>
      </c>
      <c r="E406" s="30" t="s">
        <v>1</v>
      </c>
      <c r="F406" s="62"/>
      <c r="G406" s="65"/>
      <c r="H406" s="2"/>
      <c r="I406" s="2"/>
      <c r="J406" s="61"/>
      <c r="K406" s="62"/>
      <c r="L406" s="65"/>
      <c r="M406" s="2"/>
      <c r="N406" s="2"/>
      <c r="O406" s="61"/>
      <c r="P406" s="3"/>
      <c r="Q406" s="63"/>
      <c r="R406" s="36"/>
      <c r="S406" s="60"/>
      <c r="T406" s="64"/>
      <c r="U406" s="1"/>
      <c r="V406" s="1"/>
    </row>
    <row r="407" spans="1:22" ht="24.95" customHeight="1" x14ac:dyDescent="0.2">
      <c r="A407" s="1"/>
      <c r="B407" s="30">
        <v>20</v>
      </c>
      <c r="C407" s="30">
        <v>16374</v>
      </c>
      <c r="D407" s="44" t="s">
        <v>504</v>
      </c>
      <c r="E407" s="30" t="s">
        <v>1</v>
      </c>
      <c r="F407" s="62"/>
      <c r="G407" s="60"/>
      <c r="H407" s="2"/>
      <c r="I407" s="2"/>
      <c r="J407" s="61"/>
      <c r="K407" s="62"/>
      <c r="L407" s="60"/>
      <c r="M407" s="2"/>
      <c r="N407" s="2"/>
      <c r="O407" s="61"/>
      <c r="P407" s="3"/>
      <c r="Q407" s="63"/>
      <c r="R407" s="36"/>
      <c r="S407" s="60"/>
      <c r="T407" s="64"/>
      <c r="U407" s="1"/>
      <c r="V407" s="1"/>
    </row>
    <row r="408" spans="1:22" ht="24.95" customHeight="1" x14ac:dyDescent="0.2">
      <c r="A408" s="1"/>
      <c r="B408" s="30">
        <v>21</v>
      </c>
      <c r="C408" s="30">
        <v>16376</v>
      </c>
      <c r="D408" s="44" t="s">
        <v>506</v>
      </c>
      <c r="E408" s="30" t="s">
        <v>1</v>
      </c>
      <c r="F408" s="62"/>
      <c r="G408" s="66"/>
      <c r="H408" s="67"/>
      <c r="I408" s="67"/>
      <c r="J408" s="68"/>
      <c r="K408" s="62"/>
      <c r="L408" s="66"/>
      <c r="M408" s="67"/>
      <c r="N408" s="67"/>
      <c r="O408" s="68"/>
      <c r="P408" s="40"/>
      <c r="Q408" s="69"/>
      <c r="R408" s="178"/>
      <c r="S408" s="90"/>
      <c r="T408" s="70"/>
      <c r="U408" s="1"/>
      <c r="V408" s="1"/>
    </row>
    <row r="409" spans="1:22" ht="24.95" customHeight="1" x14ac:dyDescent="0.2">
      <c r="A409" s="1"/>
      <c r="B409" s="30">
        <v>22</v>
      </c>
      <c r="C409" s="30">
        <v>16288</v>
      </c>
      <c r="D409" s="44" t="s">
        <v>426</v>
      </c>
      <c r="E409" s="30" t="s">
        <v>1</v>
      </c>
      <c r="F409" s="62"/>
      <c r="G409" s="66"/>
      <c r="H409" s="67"/>
      <c r="I409" s="67"/>
      <c r="J409" s="68"/>
      <c r="K409" s="62"/>
      <c r="L409" s="66"/>
      <c r="M409" s="67"/>
      <c r="N409" s="67"/>
      <c r="O409" s="68"/>
      <c r="P409" s="40"/>
      <c r="Q409" s="69"/>
      <c r="R409" s="178"/>
      <c r="S409" s="90"/>
      <c r="T409" s="70"/>
      <c r="U409" s="1"/>
      <c r="V409" s="1"/>
    </row>
    <row r="410" spans="1:22" ht="24.95" customHeight="1" x14ac:dyDescent="0.2">
      <c r="A410" s="1"/>
      <c r="B410" s="30">
        <v>23</v>
      </c>
      <c r="C410" s="30">
        <v>16379</v>
      </c>
      <c r="D410" s="44" t="s">
        <v>509</v>
      </c>
      <c r="E410" s="30" t="s">
        <v>1</v>
      </c>
      <c r="F410" s="62"/>
      <c r="G410" s="66"/>
      <c r="H410" s="67"/>
      <c r="I410" s="67"/>
      <c r="J410" s="68"/>
      <c r="K410" s="62"/>
      <c r="L410" s="66"/>
      <c r="M410" s="67"/>
      <c r="N410" s="67"/>
      <c r="O410" s="68"/>
      <c r="P410" s="40"/>
      <c r="Q410" s="69"/>
      <c r="R410" s="178"/>
      <c r="S410" s="90"/>
      <c r="T410" s="70"/>
      <c r="U410" s="1"/>
      <c r="V410" s="1"/>
    </row>
    <row r="411" spans="1:22" ht="24.95" customHeight="1" x14ac:dyDescent="0.2">
      <c r="A411" s="1"/>
      <c r="B411" s="30">
        <v>24</v>
      </c>
      <c r="C411" s="30"/>
      <c r="D411" s="44"/>
      <c r="E411" s="30" t="s">
        <v>1</v>
      </c>
      <c r="F411" s="62"/>
      <c r="G411" s="66"/>
      <c r="H411" s="67"/>
      <c r="I411" s="67"/>
      <c r="J411" s="68"/>
      <c r="K411" s="62"/>
      <c r="L411" s="66"/>
      <c r="M411" s="67"/>
      <c r="N411" s="67"/>
      <c r="O411" s="68"/>
      <c r="P411" s="40"/>
      <c r="Q411" s="69"/>
      <c r="R411" s="178"/>
      <c r="S411" s="90"/>
      <c r="T411" s="70"/>
      <c r="U411" s="1"/>
      <c r="V411" s="1"/>
    </row>
    <row r="412" spans="1:22" ht="24.95" customHeight="1" x14ac:dyDescent="0.2">
      <c r="A412" s="1"/>
      <c r="B412" s="30">
        <v>25</v>
      </c>
      <c r="C412" s="30"/>
      <c r="D412" s="44"/>
      <c r="E412" s="30" t="s">
        <v>1</v>
      </c>
      <c r="F412" s="62"/>
      <c r="G412" s="66"/>
      <c r="H412" s="67"/>
      <c r="I412" s="67"/>
      <c r="J412" s="68"/>
      <c r="K412" s="62"/>
      <c r="L412" s="66"/>
      <c r="M412" s="67"/>
      <c r="N412" s="67"/>
      <c r="O412" s="68"/>
      <c r="P412" s="40"/>
      <c r="Q412" s="69"/>
      <c r="R412" s="178"/>
      <c r="S412" s="90"/>
      <c r="T412" s="70"/>
      <c r="U412" s="1"/>
      <c r="V412" s="1"/>
    </row>
    <row r="413" spans="1:22" ht="24.95" customHeight="1" x14ac:dyDescent="0.2">
      <c r="A413" s="1"/>
      <c r="B413" s="30">
        <v>26</v>
      </c>
      <c r="C413" s="30"/>
      <c r="D413" s="44"/>
      <c r="E413" s="30" t="s">
        <v>1</v>
      </c>
      <c r="F413" s="71"/>
      <c r="G413" s="66"/>
      <c r="H413" s="67"/>
      <c r="I413" s="67"/>
      <c r="J413" s="68"/>
      <c r="K413" s="71"/>
      <c r="L413" s="66"/>
      <c r="M413" s="67"/>
      <c r="N413" s="67"/>
      <c r="O413" s="68"/>
      <c r="P413" s="40"/>
      <c r="Q413" s="69"/>
      <c r="R413" s="178"/>
      <c r="S413" s="90"/>
      <c r="T413" s="70"/>
      <c r="U413" s="1"/>
      <c r="V413" s="1"/>
    </row>
    <row r="414" spans="1:22" ht="24.95" customHeight="1" x14ac:dyDescent="0.2">
      <c r="A414" s="1"/>
      <c r="B414" s="30">
        <v>27</v>
      </c>
      <c r="C414" s="30"/>
      <c r="D414" s="44"/>
      <c r="E414" s="30" t="s">
        <v>1</v>
      </c>
      <c r="F414" s="71"/>
      <c r="G414" s="66"/>
      <c r="H414" s="67"/>
      <c r="I414" s="67"/>
      <c r="J414" s="68"/>
      <c r="K414" s="71"/>
      <c r="L414" s="66"/>
      <c r="M414" s="67"/>
      <c r="N414" s="67"/>
      <c r="O414" s="68"/>
      <c r="P414" s="40"/>
      <c r="Q414" s="69"/>
      <c r="R414" s="178"/>
      <c r="S414" s="90"/>
      <c r="T414" s="70"/>
      <c r="U414" s="1"/>
      <c r="V414" s="1"/>
    </row>
    <row r="415" spans="1:22" ht="24.95" customHeight="1" x14ac:dyDescent="0.2">
      <c r="A415" s="1"/>
      <c r="B415" s="30">
        <v>28</v>
      </c>
      <c r="C415" s="30"/>
      <c r="D415" s="44"/>
      <c r="E415" s="30" t="s">
        <v>1</v>
      </c>
      <c r="F415" s="71"/>
      <c r="G415" s="66"/>
      <c r="H415" s="67"/>
      <c r="I415" s="67"/>
      <c r="J415" s="68"/>
      <c r="K415" s="71"/>
      <c r="L415" s="66"/>
      <c r="M415" s="67"/>
      <c r="N415" s="67"/>
      <c r="O415" s="68"/>
      <c r="P415" s="40"/>
      <c r="Q415" s="69"/>
      <c r="R415" s="178"/>
      <c r="S415" s="90"/>
      <c r="T415" s="70"/>
      <c r="U415" s="1"/>
      <c r="V415" s="1"/>
    </row>
    <row r="416" spans="1:22" ht="24.95" customHeight="1" x14ac:dyDescent="0.2">
      <c r="A416" s="1"/>
      <c r="B416" s="30">
        <v>29</v>
      </c>
      <c r="C416" s="30"/>
      <c r="D416" s="44"/>
      <c r="E416" s="30" t="s">
        <v>1</v>
      </c>
      <c r="F416" s="71"/>
      <c r="G416" s="66"/>
      <c r="H416" s="67"/>
      <c r="I416" s="67"/>
      <c r="J416" s="68"/>
      <c r="K416" s="71"/>
      <c r="L416" s="66"/>
      <c r="M416" s="67"/>
      <c r="N416" s="67"/>
      <c r="O416" s="68"/>
      <c r="P416" s="40"/>
      <c r="Q416" s="69"/>
      <c r="R416" s="178"/>
      <c r="S416" s="90"/>
      <c r="T416" s="70"/>
      <c r="U416" s="1"/>
      <c r="V416" s="1"/>
    </row>
    <row r="417" spans="1:22" ht="24.95" customHeight="1" x14ac:dyDescent="0.2">
      <c r="A417" s="1"/>
      <c r="B417" s="30">
        <v>30</v>
      </c>
      <c r="C417" s="30"/>
      <c r="D417" s="44"/>
      <c r="E417" s="224" t="s">
        <v>1</v>
      </c>
      <c r="F417" s="226"/>
      <c r="G417" s="227"/>
      <c r="H417" s="228"/>
      <c r="I417" s="228"/>
      <c r="J417" s="229"/>
      <c r="K417" s="226"/>
      <c r="L417" s="227"/>
      <c r="M417" s="228"/>
      <c r="N417" s="228"/>
      <c r="O417" s="229"/>
      <c r="P417" s="230"/>
      <c r="Q417" s="231"/>
      <c r="R417" s="232"/>
      <c r="S417" s="233"/>
      <c r="T417" s="234"/>
      <c r="U417" s="1"/>
      <c r="V417" s="1"/>
    </row>
    <row r="418" spans="1:22" ht="24.95" customHeight="1" x14ac:dyDescent="0.2">
      <c r="A418" s="1"/>
      <c r="B418" s="30">
        <v>31</v>
      </c>
      <c r="C418" s="30"/>
      <c r="D418" s="45"/>
      <c r="E418" s="30" t="s">
        <v>1</v>
      </c>
      <c r="F418" s="89"/>
      <c r="G418" s="90"/>
      <c r="H418" s="67"/>
      <c r="I418" s="67"/>
      <c r="J418" s="68"/>
      <c r="K418" s="89"/>
      <c r="L418" s="90"/>
      <c r="M418" s="67"/>
      <c r="N418" s="67"/>
      <c r="O418" s="68"/>
      <c r="P418" s="40"/>
      <c r="Q418" s="69"/>
      <c r="R418" s="178"/>
      <c r="S418" s="90"/>
      <c r="T418" s="70"/>
      <c r="U418" s="1"/>
      <c r="V418" s="1"/>
    </row>
    <row r="419" spans="1:22" ht="24.95" customHeight="1" x14ac:dyDescent="0.2">
      <c r="A419" s="1"/>
      <c r="B419" s="30">
        <v>32</v>
      </c>
      <c r="C419" s="30"/>
      <c r="D419" s="46"/>
      <c r="E419" s="30" t="s">
        <v>1</v>
      </c>
      <c r="F419" s="91"/>
      <c r="G419" s="91"/>
      <c r="H419" s="3"/>
      <c r="I419" s="3"/>
      <c r="J419" s="68"/>
      <c r="K419" s="91"/>
      <c r="L419" s="91"/>
      <c r="M419" s="3"/>
      <c r="N419" s="3"/>
      <c r="O419" s="68"/>
      <c r="P419" s="3"/>
      <c r="Q419" s="3"/>
      <c r="R419" s="3"/>
      <c r="S419" s="3"/>
      <c r="T419" s="64"/>
      <c r="U419" s="1"/>
      <c r="V419" s="1"/>
    </row>
    <row r="420" spans="1:22" ht="24.95" customHeight="1" x14ac:dyDescent="0.2">
      <c r="A420" s="1"/>
      <c r="B420" s="30">
        <v>33</v>
      </c>
      <c r="C420" s="35"/>
      <c r="D420" s="47"/>
      <c r="E420" s="30" t="s">
        <v>1</v>
      </c>
      <c r="F420" s="92"/>
      <c r="G420" s="92"/>
      <c r="H420" s="40"/>
      <c r="I420" s="40"/>
      <c r="J420" s="68"/>
      <c r="K420" s="92"/>
      <c r="L420" s="92"/>
      <c r="M420" s="40"/>
      <c r="N420" s="40"/>
      <c r="O420" s="68"/>
      <c r="P420" s="40"/>
      <c r="Q420" s="40"/>
      <c r="R420" s="40"/>
      <c r="S420" s="40"/>
      <c r="T420" s="70"/>
      <c r="U420" s="1"/>
      <c r="V420" s="1"/>
    </row>
    <row r="421" spans="1:22" ht="24.95" customHeight="1" x14ac:dyDescent="0.2">
      <c r="A421" s="1"/>
      <c r="B421" s="30">
        <v>34</v>
      </c>
      <c r="C421" s="30"/>
      <c r="D421" s="46"/>
      <c r="E421" s="30" t="s">
        <v>1</v>
      </c>
      <c r="F421" s="91"/>
      <c r="G421" s="91"/>
      <c r="H421" s="3"/>
      <c r="I421" s="3"/>
      <c r="J421" s="68"/>
      <c r="K421" s="91"/>
      <c r="L421" s="91"/>
      <c r="M421" s="3"/>
      <c r="N421" s="3"/>
      <c r="O421" s="68"/>
      <c r="P421" s="3"/>
      <c r="Q421" s="3"/>
      <c r="R421" s="3"/>
      <c r="S421" s="3"/>
      <c r="T421" s="64"/>
      <c r="U421" s="1"/>
      <c r="V421" s="1"/>
    </row>
    <row r="422" spans="1:22" ht="24.95" customHeight="1" x14ac:dyDescent="0.2">
      <c r="A422" s="1"/>
      <c r="B422" s="30">
        <v>35</v>
      </c>
      <c r="C422" s="30"/>
      <c r="D422" s="46"/>
      <c r="E422" s="30" t="s">
        <v>1</v>
      </c>
      <c r="F422" s="91"/>
      <c r="G422" s="91"/>
      <c r="H422" s="3"/>
      <c r="I422" s="3"/>
      <c r="J422" s="68"/>
      <c r="K422" s="91"/>
      <c r="L422" s="91"/>
      <c r="M422" s="3"/>
      <c r="N422" s="3"/>
      <c r="O422" s="68"/>
      <c r="P422" s="3"/>
      <c r="Q422" s="3"/>
      <c r="R422" s="3"/>
      <c r="S422" s="3"/>
      <c r="T422" s="64"/>
      <c r="U422" s="1"/>
      <c r="V422" s="1"/>
    </row>
    <row r="423" spans="1:22" ht="24.95" customHeight="1" x14ac:dyDescent="0.2">
      <c r="A423" s="1"/>
      <c r="B423" s="30">
        <v>36</v>
      </c>
      <c r="C423" s="31"/>
      <c r="D423" s="128"/>
      <c r="E423" s="30" t="s">
        <v>1</v>
      </c>
      <c r="F423" s="93"/>
      <c r="G423" s="93"/>
      <c r="H423" s="93"/>
      <c r="I423" s="93"/>
      <c r="J423" s="68"/>
      <c r="K423" s="93"/>
      <c r="L423" s="93"/>
      <c r="M423" s="93"/>
      <c r="N423" s="93"/>
      <c r="O423" s="68"/>
      <c r="P423" s="93"/>
      <c r="Q423" s="93"/>
      <c r="R423" s="93"/>
      <c r="S423" s="93"/>
      <c r="T423" s="94"/>
      <c r="U423" s="1"/>
      <c r="V423" s="1"/>
    </row>
    <row r="424" spans="1:22" ht="24.95" customHeight="1" x14ac:dyDescent="0.2">
      <c r="B424" s="30">
        <v>37</v>
      </c>
      <c r="C424" s="30"/>
      <c r="D424" s="46"/>
      <c r="E424" s="30" t="s">
        <v>1</v>
      </c>
      <c r="F424" s="95"/>
      <c r="G424" s="95"/>
      <c r="H424" s="95"/>
      <c r="I424" s="95"/>
      <c r="J424" s="68"/>
      <c r="K424" s="95"/>
      <c r="L424" s="95"/>
      <c r="M424" s="95"/>
      <c r="N424" s="95"/>
      <c r="O424" s="68"/>
      <c r="P424" s="95"/>
      <c r="Q424" s="95"/>
      <c r="R424" s="95"/>
      <c r="S424" s="95"/>
      <c r="T424" s="96"/>
      <c r="V424" s="1"/>
    </row>
    <row r="425" spans="1:22" ht="24.95" customHeight="1" x14ac:dyDescent="0.2">
      <c r="B425" s="35"/>
      <c r="C425" s="35"/>
      <c r="D425" s="154"/>
      <c r="E425" s="35"/>
      <c r="F425" s="155"/>
      <c r="G425" s="156"/>
      <c r="H425" s="156"/>
      <c r="I425" s="156"/>
      <c r="J425" s="68"/>
      <c r="K425" s="155"/>
      <c r="L425" s="156"/>
      <c r="M425" s="156"/>
      <c r="N425" s="156"/>
      <c r="O425" s="68"/>
      <c r="P425" s="155"/>
      <c r="Q425" s="156"/>
      <c r="R425" s="156"/>
      <c r="S425" s="156"/>
      <c r="T425" s="157"/>
      <c r="V425" s="1"/>
    </row>
    <row r="426" spans="1:22" ht="24.95" customHeight="1" thickBot="1" x14ac:dyDescent="0.25">
      <c r="B426" s="129"/>
      <c r="C426" s="129"/>
      <c r="D426" s="197"/>
      <c r="E426" s="131"/>
      <c r="F426" s="130"/>
      <c r="G426" s="98"/>
      <c r="H426" s="98"/>
      <c r="I426" s="98"/>
      <c r="J426" s="132"/>
      <c r="K426" s="97"/>
      <c r="L426" s="98"/>
      <c r="M426" s="98"/>
      <c r="N426" s="98"/>
      <c r="O426" s="99"/>
      <c r="P426" s="130"/>
      <c r="Q426" s="98"/>
      <c r="R426" s="98"/>
      <c r="S426" s="98"/>
      <c r="T426" s="99"/>
      <c r="V426" s="1"/>
    </row>
  </sheetData>
  <sortState xmlns:xlrd2="http://schemas.microsoft.com/office/spreadsheetml/2017/richdata2" ref="C105:E138">
    <sortCondition ref="D105:D138"/>
  </sortState>
  <mergeCells count="99">
    <mergeCell ref="E293:E294"/>
    <mergeCell ref="F293:J293"/>
    <mergeCell ref="B289:C291"/>
    <mergeCell ref="D289:T289"/>
    <mergeCell ref="D290:T290"/>
    <mergeCell ref="D291:T291"/>
    <mergeCell ref="B292:C292"/>
    <mergeCell ref="K293:O293"/>
    <mergeCell ref="P293:T293"/>
    <mergeCell ref="B293:C293"/>
    <mergeCell ref="D293:D294"/>
    <mergeCell ref="K339:O339"/>
    <mergeCell ref="B335:C337"/>
    <mergeCell ref="D335:T335"/>
    <mergeCell ref="D336:T336"/>
    <mergeCell ref="D337:T337"/>
    <mergeCell ref="B338:C338"/>
    <mergeCell ref="P339:T339"/>
    <mergeCell ref="B339:C339"/>
    <mergeCell ref="D339:D340"/>
    <mergeCell ref="E339:E340"/>
    <mergeCell ref="F339:J339"/>
    <mergeCell ref="F247:J247"/>
    <mergeCell ref="K247:O247"/>
    <mergeCell ref="B243:C245"/>
    <mergeCell ref="D243:T243"/>
    <mergeCell ref="D244:T244"/>
    <mergeCell ref="D245:T245"/>
    <mergeCell ref="B246:C246"/>
    <mergeCell ref="P247:T247"/>
    <mergeCell ref="B247:C247"/>
    <mergeCell ref="D247:D248"/>
    <mergeCell ref="E247:E248"/>
    <mergeCell ref="B199:C199"/>
    <mergeCell ref="D199:D200"/>
    <mergeCell ref="E199:E200"/>
    <mergeCell ref="B195:C197"/>
    <mergeCell ref="D195:T195"/>
    <mergeCell ref="D196:T196"/>
    <mergeCell ref="D197:T197"/>
    <mergeCell ref="B198:C198"/>
    <mergeCell ref="P199:T199"/>
    <mergeCell ref="F199:J199"/>
    <mergeCell ref="K199:O199"/>
    <mergeCell ref="B151:C151"/>
    <mergeCell ref="D151:D152"/>
    <mergeCell ref="E151:E152"/>
    <mergeCell ref="P151:T151"/>
    <mergeCell ref="K103:O103"/>
    <mergeCell ref="B150:C150"/>
    <mergeCell ref="B147:C149"/>
    <mergeCell ref="F151:J151"/>
    <mergeCell ref="K151:O151"/>
    <mergeCell ref="D147:T147"/>
    <mergeCell ref="D148:T148"/>
    <mergeCell ref="D149:T149"/>
    <mergeCell ref="P103:T103"/>
    <mergeCell ref="B102:C102"/>
    <mergeCell ref="B103:C103"/>
    <mergeCell ref="D103:D104"/>
    <mergeCell ref="E103:E104"/>
    <mergeCell ref="F103:J103"/>
    <mergeCell ref="B2:C4"/>
    <mergeCell ref="D2:T2"/>
    <mergeCell ref="D3:T3"/>
    <mergeCell ref="D4:T4"/>
    <mergeCell ref="B5:C5"/>
    <mergeCell ref="F55:J55"/>
    <mergeCell ref="B99:C101"/>
    <mergeCell ref="D99:T99"/>
    <mergeCell ref="D100:T100"/>
    <mergeCell ref="D101:T101"/>
    <mergeCell ref="B54:C54"/>
    <mergeCell ref="P6:T6"/>
    <mergeCell ref="K6:O6"/>
    <mergeCell ref="K55:O55"/>
    <mergeCell ref="P55:T55"/>
    <mergeCell ref="B55:C55"/>
    <mergeCell ref="D55:D56"/>
    <mergeCell ref="B6:C6"/>
    <mergeCell ref="D6:D7"/>
    <mergeCell ref="E6:E7"/>
    <mergeCell ref="F6:J6"/>
    <mergeCell ref="B51:C53"/>
    <mergeCell ref="D51:T51"/>
    <mergeCell ref="D52:T52"/>
    <mergeCell ref="D53:T53"/>
    <mergeCell ref="E55:E56"/>
    <mergeCell ref="B382:C384"/>
    <mergeCell ref="D382:T382"/>
    <mergeCell ref="D383:T383"/>
    <mergeCell ref="D384:T384"/>
    <mergeCell ref="B385:C385"/>
    <mergeCell ref="P386:T386"/>
    <mergeCell ref="B386:C386"/>
    <mergeCell ref="D386:D387"/>
    <mergeCell ref="E386:E387"/>
    <mergeCell ref="F386:J386"/>
    <mergeCell ref="K386:O386"/>
  </mergeCells>
  <printOptions horizontalCentered="1"/>
  <pageMargins left="0.19685039370078741" right="0.23622047244094491" top="0.47244094488188981" bottom="0.31496062992125984" header="0.51181102362204722" footer="0.51181102362204722"/>
  <pageSetup paperSize="14" scale="73" orientation="portrait" horizontalDpi="360" verticalDpi="360" r:id="rId1"/>
  <headerFooter alignWithMargins="0"/>
  <rowBreaks count="8" manualBreakCount="8">
    <brk id="49" max="16383" man="1"/>
    <brk id="97" min="1" max="19" man="1"/>
    <brk id="145" min="1" max="19" man="1"/>
    <brk id="193" min="1" max="19" man="1"/>
    <brk id="241" min="1" max="19" man="1"/>
    <brk id="287" min="1" max="19" man="1"/>
    <brk id="333" min="1" max="19" man="1"/>
    <brk id="380" min="1" max="1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5"/>
  </sheetPr>
  <dimension ref="A1:AK441"/>
  <sheetViews>
    <sheetView view="pageBreakPreview" topLeftCell="A187" zoomScale="82" zoomScaleNormal="62" zoomScaleSheetLayoutView="82" workbookViewId="0">
      <selection activeCell="D205" sqref="D205:AJ205"/>
    </sheetView>
  </sheetViews>
  <sheetFormatPr defaultRowHeight="16.5" customHeight="1" x14ac:dyDescent="0.2"/>
  <cols>
    <col min="1" max="1" width="3.42578125" style="7" customWidth="1"/>
    <col min="2" max="2" width="5.7109375" style="7" customWidth="1"/>
    <col min="3" max="3" width="9.28515625" style="7" customWidth="1"/>
    <col min="4" max="4" width="37.85546875" style="7" customWidth="1"/>
    <col min="5" max="36" width="6.7109375" style="7" customWidth="1"/>
    <col min="37" max="37" width="3.28515625" style="7" customWidth="1"/>
    <col min="38" max="16384" width="9.140625" style="7"/>
  </cols>
  <sheetData>
    <row r="1" spans="1:37" ht="16.5" customHeight="1" thickBo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 ht="16.5" customHeight="1" x14ac:dyDescent="0.2">
      <c r="A2" s="6"/>
      <c r="B2" s="279"/>
      <c r="C2" s="280"/>
      <c r="D2" s="283" t="s">
        <v>3</v>
      </c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  <c r="AI2" s="284"/>
      <c r="AJ2" s="285"/>
      <c r="AK2" s="107"/>
    </row>
    <row r="3" spans="1:37" ht="16.5" customHeight="1" x14ac:dyDescent="0.2">
      <c r="A3" s="6"/>
      <c r="B3" s="281"/>
      <c r="C3" s="282"/>
      <c r="D3" s="286" t="s">
        <v>4</v>
      </c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8"/>
      <c r="AK3" s="107"/>
    </row>
    <row r="4" spans="1:37" ht="16.5" customHeight="1" x14ac:dyDescent="0.2">
      <c r="A4" s="6"/>
      <c r="B4" s="281"/>
      <c r="C4" s="282"/>
      <c r="D4" s="286" t="s">
        <v>547</v>
      </c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8"/>
      <c r="AK4" s="107"/>
    </row>
    <row r="5" spans="1:37" ht="16.5" customHeight="1" thickBot="1" x14ac:dyDescent="0.25">
      <c r="A5" s="6"/>
      <c r="B5" s="281"/>
      <c r="C5" s="282"/>
      <c r="D5" s="289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290"/>
      <c r="AG5" s="290"/>
      <c r="AH5" s="290"/>
      <c r="AI5" s="290"/>
      <c r="AJ5" s="291"/>
      <c r="AK5" s="107"/>
    </row>
    <row r="6" spans="1:37" ht="16.5" customHeight="1" thickBot="1" x14ac:dyDescent="0.25">
      <c r="A6" s="6"/>
      <c r="B6" s="292"/>
      <c r="C6" s="293"/>
      <c r="D6" s="9" t="s">
        <v>557</v>
      </c>
      <c r="E6" s="10" t="s">
        <v>11</v>
      </c>
      <c r="F6" s="10"/>
      <c r="G6" s="10"/>
      <c r="H6" s="10"/>
      <c r="I6" s="10"/>
      <c r="J6" s="149"/>
      <c r="K6" s="10"/>
      <c r="L6" s="10"/>
      <c r="M6" s="10"/>
      <c r="N6" s="10"/>
      <c r="O6" s="10"/>
      <c r="P6" s="10"/>
      <c r="Q6" s="10"/>
      <c r="R6" s="10"/>
      <c r="S6" s="10" t="str">
        <f>'Kelas XI'!F5</f>
        <v>Wali Kelas   :  YULI KHARISMA DZATI, S.Pd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58"/>
      <c r="AK6" s="107"/>
    </row>
    <row r="7" spans="1:37" ht="16.5" customHeight="1" thickBot="1" x14ac:dyDescent="0.25">
      <c r="A7" s="6"/>
      <c r="B7" s="294" t="s">
        <v>6</v>
      </c>
      <c r="C7" s="294"/>
      <c r="D7" s="295" t="s">
        <v>7</v>
      </c>
      <c r="E7" s="292" t="s">
        <v>519</v>
      </c>
      <c r="F7" s="298"/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  <c r="AC7" s="298"/>
      <c r="AD7" s="298"/>
      <c r="AE7" s="298"/>
      <c r="AF7" s="298"/>
      <c r="AG7" s="298"/>
      <c r="AH7" s="298"/>
      <c r="AI7" s="298"/>
      <c r="AJ7" s="293"/>
      <c r="AK7" s="107"/>
    </row>
    <row r="8" spans="1:37" ht="16.5" customHeight="1" thickBot="1" x14ac:dyDescent="0.25">
      <c r="A8" s="6"/>
      <c r="B8" s="295" t="s">
        <v>8</v>
      </c>
      <c r="C8" s="295" t="s">
        <v>9</v>
      </c>
      <c r="D8" s="296"/>
      <c r="E8" s="292">
        <v>17</v>
      </c>
      <c r="F8" s="298"/>
      <c r="G8" s="292">
        <f>E8+1</f>
        <v>18</v>
      </c>
      <c r="H8" s="298"/>
      <c r="I8" s="292">
        <f t="shared" ref="I8" si="0">G8+1</f>
        <v>19</v>
      </c>
      <c r="J8" s="298"/>
      <c r="K8" s="292">
        <f t="shared" ref="K8" si="1">I8+1</f>
        <v>20</v>
      </c>
      <c r="L8" s="298"/>
      <c r="M8" s="292">
        <f t="shared" ref="M8" si="2">K8+1</f>
        <v>21</v>
      </c>
      <c r="N8" s="298"/>
      <c r="O8" s="292">
        <f t="shared" ref="O8" si="3">M8+1</f>
        <v>22</v>
      </c>
      <c r="P8" s="298"/>
      <c r="Q8" s="292">
        <f t="shared" ref="Q8" si="4">O8+1</f>
        <v>23</v>
      </c>
      <c r="R8" s="298"/>
      <c r="S8" s="292">
        <f t="shared" ref="S8" si="5">Q8+1</f>
        <v>24</v>
      </c>
      <c r="T8" s="298"/>
      <c r="U8" s="292">
        <f t="shared" ref="U8" si="6">S8+1</f>
        <v>25</v>
      </c>
      <c r="V8" s="298"/>
      <c r="W8" s="292">
        <f t="shared" ref="W8" si="7">U8+1</f>
        <v>26</v>
      </c>
      <c r="X8" s="298"/>
      <c r="Y8" s="292">
        <f t="shared" ref="Y8" si="8">W8+1</f>
        <v>27</v>
      </c>
      <c r="Z8" s="298"/>
      <c r="AA8" s="292">
        <f t="shared" ref="AA8" si="9">Y8+1</f>
        <v>28</v>
      </c>
      <c r="AB8" s="298"/>
      <c r="AC8" s="292">
        <f t="shared" ref="AC8" si="10">AA8+1</f>
        <v>29</v>
      </c>
      <c r="AD8" s="298"/>
      <c r="AE8" s="292">
        <f t="shared" ref="AE8" si="11">AC8+1</f>
        <v>30</v>
      </c>
      <c r="AF8" s="298"/>
      <c r="AG8" s="292">
        <f t="shared" ref="AG8" si="12">AE8+1</f>
        <v>31</v>
      </c>
      <c r="AH8" s="298"/>
      <c r="AI8" s="292">
        <f t="shared" ref="AI8" si="13">AG8+1</f>
        <v>32</v>
      </c>
      <c r="AJ8" s="298"/>
      <c r="AK8" s="107"/>
    </row>
    <row r="9" spans="1:37" ht="24.75" customHeight="1" thickBot="1" x14ac:dyDescent="0.25">
      <c r="A9" s="6"/>
      <c r="B9" s="297"/>
      <c r="C9" s="297"/>
      <c r="D9" s="297"/>
      <c r="E9" s="108" t="s">
        <v>13</v>
      </c>
      <c r="F9" s="108" t="s">
        <v>14</v>
      </c>
      <c r="G9" s="108" t="s">
        <v>13</v>
      </c>
      <c r="H9" s="108" t="s">
        <v>14</v>
      </c>
      <c r="I9" s="108" t="s">
        <v>13</v>
      </c>
      <c r="J9" s="108" t="s">
        <v>14</v>
      </c>
      <c r="K9" s="108" t="s">
        <v>13</v>
      </c>
      <c r="L9" s="108" t="s">
        <v>14</v>
      </c>
      <c r="M9" s="108" t="s">
        <v>13</v>
      </c>
      <c r="N9" s="108" t="s">
        <v>14</v>
      </c>
      <c r="O9" s="108" t="s">
        <v>13</v>
      </c>
      <c r="P9" s="108" t="s">
        <v>14</v>
      </c>
      <c r="Q9" s="108" t="s">
        <v>13</v>
      </c>
      <c r="R9" s="108" t="s">
        <v>14</v>
      </c>
      <c r="S9" s="108" t="s">
        <v>13</v>
      </c>
      <c r="T9" s="108" t="s">
        <v>14</v>
      </c>
      <c r="U9" s="108" t="s">
        <v>13</v>
      </c>
      <c r="V9" s="108" t="s">
        <v>14</v>
      </c>
      <c r="W9" s="108" t="s">
        <v>13</v>
      </c>
      <c r="X9" s="108" t="s">
        <v>14</v>
      </c>
      <c r="Y9" s="108" t="s">
        <v>13</v>
      </c>
      <c r="Z9" s="108" t="s">
        <v>14</v>
      </c>
      <c r="AA9" s="108" t="s">
        <v>13</v>
      </c>
      <c r="AB9" s="108" t="s">
        <v>14</v>
      </c>
      <c r="AC9" s="108" t="s">
        <v>13</v>
      </c>
      <c r="AD9" s="108" t="s">
        <v>14</v>
      </c>
      <c r="AE9" s="108" t="s">
        <v>13</v>
      </c>
      <c r="AF9" s="108" t="s">
        <v>14</v>
      </c>
      <c r="AG9" s="108" t="s">
        <v>13</v>
      </c>
      <c r="AH9" s="108" t="s">
        <v>14</v>
      </c>
      <c r="AI9" s="108" t="s">
        <v>13</v>
      </c>
      <c r="AJ9" s="108" t="s">
        <v>14</v>
      </c>
      <c r="AK9" s="107"/>
    </row>
    <row r="10" spans="1:37" ht="16.5" customHeight="1" x14ac:dyDescent="0.2">
      <c r="A10" s="6"/>
      <c r="B10" s="21">
        <v>1</v>
      </c>
      <c r="C10" s="11">
        <f>'Kelas XI'!C8</f>
        <v>16223</v>
      </c>
      <c r="D10" s="133" t="str">
        <f>'Kelas XI'!D8</f>
        <v>ACHMAD ASYAM HABIBIE PRAKOSO</v>
      </c>
      <c r="E10" s="12"/>
      <c r="F10" s="13"/>
      <c r="G10" s="12"/>
      <c r="H10" s="13"/>
      <c r="I10" s="12"/>
      <c r="J10" s="13"/>
      <c r="K10" s="12"/>
      <c r="L10" s="13"/>
      <c r="M10" s="12"/>
      <c r="N10" s="13"/>
      <c r="O10" s="12"/>
      <c r="P10" s="13"/>
      <c r="Q10" s="12"/>
      <c r="R10" s="13"/>
      <c r="S10" s="12"/>
      <c r="T10" s="13"/>
      <c r="U10" s="12"/>
      <c r="V10" s="13"/>
      <c r="W10" s="12"/>
      <c r="X10" s="13"/>
      <c r="Y10" s="12"/>
      <c r="Z10" s="13"/>
      <c r="AA10" s="12"/>
      <c r="AB10" s="13"/>
      <c r="AC10" s="12"/>
      <c r="AD10" s="13"/>
      <c r="AE10" s="12"/>
      <c r="AF10" s="13"/>
      <c r="AG10" s="12"/>
      <c r="AH10" s="13"/>
      <c r="AI10" s="12"/>
      <c r="AJ10" s="13"/>
      <c r="AK10" s="107"/>
    </row>
    <row r="11" spans="1:37" ht="16.5" customHeight="1" x14ac:dyDescent="0.2">
      <c r="A11" s="6"/>
      <c r="B11" s="135">
        <f t="shared" ref="B11:B50" si="14">B10+1</f>
        <v>2</v>
      </c>
      <c r="C11" s="11">
        <f>'Kelas XI'!C9</f>
        <v>16188</v>
      </c>
      <c r="D11" s="134" t="str">
        <f>'Kelas XI'!D9</f>
        <v>ADITYA ARTHA TRIHUTAMA</v>
      </c>
      <c r="E11" s="14"/>
      <c r="F11" s="15"/>
      <c r="G11" s="14"/>
      <c r="H11" s="15"/>
      <c r="I11" s="14"/>
      <c r="J11" s="15"/>
      <c r="K11" s="14"/>
      <c r="L11" s="15"/>
      <c r="M11" s="14"/>
      <c r="N11" s="15"/>
      <c r="O11" s="14"/>
      <c r="P11" s="15"/>
      <c r="Q11" s="14"/>
      <c r="R11" s="15"/>
      <c r="S11" s="14"/>
      <c r="T11" s="15"/>
      <c r="U11" s="14"/>
      <c r="V11" s="15"/>
      <c r="W11" s="14"/>
      <c r="X11" s="15"/>
      <c r="Y11" s="14"/>
      <c r="Z11" s="15"/>
      <c r="AA11" s="14"/>
      <c r="AB11" s="15"/>
      <c r="AC11" s="14"/>
      <c r="AD11" s="15"/>
      <c r="AE11" s="14"/>
      <c r="AF11" s="15"/>
      <c r="AG11" s="14"/>
      <c r="AH11" s="15"/>
      <c r="AI11" s="14"/>
      <c r="AJ11" s="15"/>
      <c r="AK11" s="107"/>
    </row>
    <row r="12" spans="1:37" ht="16.5" customHeight="1" x14ac:dyDescent="0.2">
      <c r="A12" s="6"/>
      <c r="B12" s="135">
        <f t="shared" si="14"/>
        <v>3</v>
      </c>
      <c r="C12" s="11">
        <f>'Kelas XI'!C10</f>
        <v>16118</v>
      </c>
      <c r="D12" s="134" t="str">
        <f>'Kelas XI'!D10</f>
        <v>ADNAN ABIYYU WAJDI</v>
      </c>
      <c r="E12" s="14"/>
      <c r="F12" s="15"/>
      <c r="G12" s="14"/>
      <c r="H12" s="15"/>
      <c r="I12" s="14"/>
      <c r="J12" s="15"/>
      <c r="K12" s="14"/>
      <c r="L12" s="15"/>
      <c r="M12" s="14"/>
      <c r="N12" s="15"/>
      <c r="O12" s="14"/>
      <c r="P12" s="15"/>
      <c r="Q12" s="14"/>
      <c r="R12" s="15"/>
      <c r="S12" s="14"/>
      <c r="T12" s="15"/>
      <c r="U12" s="14"/>
      <c r="V12" s="15"/>
      <c r="W12" s="14"/>
      <c r="X12" s="15"/>
      <c r="Y12" s="14"/>
      <c r="Z12" s="15"/>
      <c r="AA12" s="14"/>
      <c r="AB12" s="15"/>
      <c r="AC12" s="14"/>
      <c r="AD12" s="15"/>
      <c r="AE12" s="14"/>
      <c r="AF12" s="15"/>
      <c r="AG12" s="14"/>
      <c r="AH12" s="15"/>
      <c r="AI12" s="14"/>
      <c r="AJ12" s="15"/>
      <c r="AK12" s="107"/>
    </row>
    <row r="13" spans="1:37" ht="16.5" customHeight="1" x14ac:dyDescent="0.2">
      <c r="A13" s="6"/>
      <c r="B13" s="135">
        <f t="shared" si="14"/>
        <v>4</v>
      </c>
      <c r="C13" s="11">
        <f>'Kelas XI'!C11</f>
        <v>16189</v>
      </c>
      <c r="D13" s="134" t="str">
        <f>'Kelas XI'!D11</f>
        <v>AGATHA HARIS SINATHRIA</v>
      </c>
      <c r="E13" s="14"/>
      <c r="F13" s="15"/>
      <c r="G13" s="14"/>
      <c r="H13" s="15"/>
      <c r="I13" s="14"/>
      <c r="J13" s="15"/>
      <c r="K13" s="14"/>
      <c r="L13" s="15"/>
      <c r="M13" s="14"/>
      <c r="N13" s="15"/>
      <c r="O13" s="14"/>
      <c r="P13" s="15"/>
      <c r="Q13" s="14"/>
      <c r="R13" s="15"/>
      <c r="S13" s="14"/>
      <c r="T13" s="15"/>
      <c r="U13" s="14"/>
      <c r="V13" s="15"/>
      <c r="W13" s="14"/>
      <c r="X13" s="15"/>
      <c r="Y13" s="14"/>
      <c r="Z13" s="15"/>
      <c r="AA13" s="14"/>
      <c r="AB13" s="15"/>
      <c r="AC13" s="14"/>
      <c r="AD13" s="15"/>
      <c r="AE13" s="14"/>
      <c r="AF13" s="15"/>
      <c r="AG13" s="14"/>
      <c r="AH13" s="15"/>
      <c r="AI13" s="14"/>
      <c r="AJ13" s="15"/>
      <c r="AK13" s="107"/>
    </row>
    <row r="14" spans="1:37" ht="16.5" customHeight="1" x14ac:dyDescent="0.2">
      <c r="A14" s="6"/>
      <c r="B14" s="135">
        <f t="shared" si="14"/>
        <v>5</v>
      </c>
      <c r="C14" s="11">
        <f>'Kelas XI'!C12</f>
        <v>16081</v>
      </c>
      <c r="D14" s="134" t="str">
        <f>'Kelas XI'!D12</f>
        <v>AHMAD WILDAN NUGROHO</v>
      </c>
      <c r="E14" s="14"/>
      <c r="F14" s="15"/>
      <c r="G14" s="14"/>
      <c r="H14" s="15"/>
      <c r="I14" s="14"/>
      <c r="J14" s="15"/>
      <c r="K14" s="14"/>
      <c r="L14" s="15"/>
      <c r="M14" s="14"/>
      <c r="N14" s="15"/>
      <c r="O14" s="14"/>
      <c r="P14" s="15"/>
      <c r="Q14" s="14"/>
      <c r="R14" s="15"/>
      <c r="S14" s="14"/>
      <c r="T14" s="15"/>
      <c r="U14" s="14"/>
      <c r="V14" s="15"/>
      <c r="W14" s="14"/>
      <c r="X14" s="15"/>
      <c r="Y14" s="14"/>
      <c r="Z14" s="15"/>
      <c r="AA14" s="14"/>
      <c r="AB14" s="15"/>
      <c r="AC14" s="14"/>
      <c r="AD14" s="15"/>
      <c r="AE14" s="14"/>
      <c r="AF14" s="15"/>
      <c r="AG14" s="14"/>
      <c r="AH14" s="15"/>
      <c r="AI14" s="14"/>
      <c r="AJ14" s="15"/>
      <c r="AK14" s="107"/>
    </row>
    <row r="15" spans="1:37" ht="16.5" customHeight="1" x14ac:dyDescent="0.2">
      <c r="A15" s="6"/>
      <c r="B15" s="135">
        <f t="shared" si="14"/>
        <v>6</v>
      </c>
      <c r="C15" s="11">
        <f>'Kelas XI'!C13</f>
        <v>16120</v>
      </c>
      <c r="D15" s="134" t="str">
        <f>'Kelas XI'!D13</f>
        <v>ALVINNATA SATRIANO</v>
      </c>
      <c r="E15" s="14"/>
      <c r="F15" s="15"/>
      <c r="G15" s="14"/>
      <c r="H15" s="15"/>
      <c r="I15" s="14"/>
      <c r="J15" s="15"/>
      <c r="K15" s="14"/>
      <c r="L15" s="15"/>
      <c r="M15" s="14"/>
      <c r="N15" s="15"/>
      <c r="O15" s="14"/>
      <c r="P15" s="15"/>
      <c r="Q15" s="14"/>
      <c r="R15" s="15"/>
      <c r="S15" s="14"/>
      <c r="T15" s="15"/>
      <c r="U15" s="14"/>
      <c r="V15" s="15"/>
      <c r="W15" s="14"/>
      <c r="X15" s="15"/>
      <c r="Y15" s="14"/>
      <c r="Z15" s="15"/>
      <c r="AA15" s="14"/>
      <c r="AB15" s="15"/>
      <c r="AC15" s="14"/>
      <c r="AD15" s="15"/>
      <c r="AE15" s="14"/>
      <c r="AF15" s="15"/>
      <c r="AG15" s="14"/>
      <c r="AH15" s="15"/>
      <c r="AI15" s="14"/>
      <c r="AJ15" s="15"/>
      <c r="AK15" s="107"/>
    </row>
    <row r="16" spans="1:37" ht="16.5" customHeight="1" x14ac:dyDescent="0.2">
      <c r="A16" s="6"/>
      <c r="B16" s="135">
        <f t="shared" si="14"/>
        <v>7</v>
      </c>
      <c r="C16" s="11">
        <f>'Kelas XI'!C14</f>
        <v>16086</v>
      </c>
      <c r="D16" s="134" t="str">
        <f>'Kelas XI'!D14</f>
        <v>AQIL AZZAH</v>
      </c>
      <c r="E16" s="14"/>
      <c r="F16" s="15"/>
      <c r="G16" s="14"/>
      <c r="H16" s="15"/>
      <c r="I16" s="14"/>
      <c r="J16" s="15"/>
      <c r="K16" s="14"/>
      <c r="L16" s="15"/>
      <c r="M16" s="14"/>
      <c r="N16" s="15"/>
      <c r="O16" s="14"/>
      <c r="P16" s="15"/>
      <c r="Q16" s="14"/>
      <c r="R16" s="15"/>
      <c r="S16" s="14"/>
      <c r="T16" s="15"/>
      <c r="U16" s="14"/>
      <c r="V16" s="15"/>
      <c r="W16" s="14"/>
      <c r="X16" s="15"/>
      <c r="Y16" s="14"/>
      <c r="Z16" s="15"/>
      <c r="AA16" s="14"/>
      <c r="AB16" s="15"/>
      <c r="AC16" s="14"/>
      <c r="AD16" s="15"/>
      <c r="AE16" s="14"/>
      <c r="AF16" s="15"/>
      <c r="AG16" s="14"/>
      <c r="AH16" s="15"/>
      <c r="AI16" s="14"/>
      <c r="AJ16" s="15"/>
      <c r="AK16" s="107"/>
    </row>
    <row r="17" spans="1:37" ht="16.5" customHeight="1" x14ac:dyDescent="0.2">
      <c r="A17" s="6"/>
      <c r="B17" s="135">
        <f t="shared" si="14"/>
        <v>8</v>
      </c>
      <c r="C17" s="11">
        <f>'Kelas XI'!C15</f>
        <v>16087</v>
      </c>
      <c r="D17" s="134" t="str">
        <f>'Kelas XI'!D15</f>
        <v>ASKAR ADELARD PATU CAHYONO</v>
      </c>
      <c r="E17" s="14"/>
      <c r="F17" s="15"/>
      <c r="G17" s="14"/>
      <c r="H17" s="15"/>
      <c r="I17" s="14"/>
      <c r="J17" s="15"/>
      <c r="K17" s="14"/>
      <c r="L17" s="15"/>
      <c r="M17" s="14"/>
      <c r="N17" s="15"/>
      <c r="O17" s="14"/>
      <c r="P17" s="15"/>
      <c r="Q17" s="14"/>
      <c r="R17" s="15"/>
      <c r="S17" s="14"/>
      <c r="T17" s="15"/>
      <c r="U17" s="14"/>
      <c r="V17" s="15"/>
      <c r="W17" s="14"/>
      <c r="X17" s="15"/>
      <c r="Y17" s="14"/>
      <c r="Z17" s="15"/>
      <c r="AA17" s="14"/>
      <c r="AB17" s="15"/>
      <c r="AC17" s="14"/>
      <c r="AD17" s="15"/>
      <c r="AE17" s="14"/>
      <c r="AF17" s="15"/>
      <c r="AG17" s="14"/>
      <c r="AH17" s="15"/>
      <c r="AI17" s="14"/>
      <c r="AJ17" s="15"/>
      <c r="AK17" s="107"/>
    </row>
    <row r="18" spans="1:37" ht="16.5" customHeight="1" x14ac:dyDescent="0.2">
      <c r="A18" s="6"/>
      <c r="B18" s="135">
        <f t="shared" si="14"/>
        <v>9</v>
      </c>
      <c r="C18" s="11">
        <f>'Kelas XI'!C16</f>
        <v>16191</v>
      </c>
      <c r="D18" s="134" t="str">
        <f>'Kelas XI'!D16</f>
        <v>ATHAYA FAJRUL FALAH WITJAKSONO</v>
      </c>
      <c r="E18" s="14"/>
      <c r="F18" s="15"/>
      <c r="G18" s="14"/>
      <c r="H18" s="15"/>
      <c r="I18" s="14"/>
      <c r="J18" s="15"/>
      <c r="K18" s="14"/>
      <c r="L18" s="15"/>
      <c r="M18" s="14"/>
      <c r="N18" s="15"/>
      <c r="O18" s="14"/>
      <c r="P18" s="15"/>
      <c r="Q18" s="14"/>
      <c r="R18" s="15"/>
      <c r="S18" s="14"/>
      <c r="T18" s="15"/>
      <c r="U18" s="14"/>
      <c r="V18" s="15"/>
      <c r="W18" s="14"/>
      <c r="X18" s="15"/>
      <c r="Y18" s="14"/>
      <c r="Z18" s="15"/>
      <c r="AA18" s="14"/>
      <c r="AB18" s="15"/>
      <c r="AC18" s="14"/>
      <c r="AD18" s="15"/>
      <c r="AE18" s="14"/>
      <c r="AF18" s="15"/>
      <c r="AG18" s="14"/>
      <c r="AH18" s="15"/>
      <c r="AI18" s="14"/>
      <c r="AJ18" s="15"/>
      <c r="AK18" s="107"/>
    </row>
    <row r="19" spans="1:37" ht="16.5" customHeight="1" x14ac:dyDescent="0.2">
      <c r="A19" s="6"/>
      <c r="B19" s="135">
        <f t="shared" si="14"/>
        <v>10</v>
      </c>
      <c r="C19" s="11">
        <f>'Kelas XI'!C17</f>
        <v>16155</v>
      </c>
      <c r="D19" s="134" t="str">
        <f>'Kelas XI'!D17</f>
        <v>ATMADJA HIBRIZI MUHAMMAD</v>
      </c>
      <c r="E19" s="14"/>
      <c r="F19" s="15"/>
      <c r="G19" s="14"/>
      <c r="H19" s="15"/>
      <c r="I19" s="14"/>
      <c r="J19" s="15"/>
      <c r="K19" s="14"/>
      <c r="L19" s="15" t="s">
        <v>15</v>
      </c>
      <c r="M19" s="14"/>
      <c r="N19" s="15"/>
      <c r="O19" s="14"/>
      <c r="P19" s="15"/>
      <c r="Q19" s="14"/>
      <c r="R19" s="15"/>
      <c r="S19" s="14"/>
      <c r="T19" s="15"/>
      <c r="U19" s="14"/>
      <c r="V19" s="15"/>
      <c r="W19" s="14"/>
      <c r="X19" s="15"/>
      <c r="Y19" s="14"/>
      <c r="Z19" s="15"/>
      <c r="AA19" s="14"/>
      <c r="AB19" s="15"/>
      <c r="AC19" s="14"/>
      <c r="AD19" s="15"/>
      <c r="AE19" s="14"/>
      <c r="AF19" s="15"/>
      <c r="AG19" s="14"/>
      <c r="AH19" s="15"/>
      <c r="AI19" s="14"/>
      <c r="AJ19" s="15"/>
      <c r="AK19" s="107"/>
    </row>
    <row r="20" spans="1:37" ht="16.5" customHeight="1" x14ac:dyDescent="0.2">
      <c r="A20" s="6"/>
      <c r="B20" s="135">
        <f t="shared" si="14"/>
        <v>11</v>
      </c>
      <c r="C20" s="11">
        <f>'Kelas XI'!C18</f>
        <v>16128</v>
      </c>
      <c r="D20" s="134" t="str">
        <f>'Kelas XI'!D18</f>
        <v>DHOVY HUSYAIN ABDILLAH AL BURHANY</v>
      </c>
      <c r="E20" s="14"/>
      <c r="F20" s="15"/>
      <c r="G20" s="14"/>
      <c r="H20" s="15"/>
      <c r="I20" s="14"/>
      <c r="J20" s="15"/>
      <c r="K20" s="14"/>
      <c r="L20" s="15"/>
      <c r="M20" s="14"/>
      <c r="N20" s="15"/>
      <c r="O20" s="14"/>
      <c r="P20" s="15"/>
      <c r="Q20" s="14"/>
      <c r="R20" s="15"/>
      <c r="S20" s="14"/>
      <c r="T20" s="15"/>
      <c r="U20" s="14"/>
      <c r="V20" s="15"/>
      <c r="W20" s="14"/>
      <c r="X20" s="15"/>
      <c r="Y20" s="14"/>
      <c r="Z20" s="15"/>
      <c r="AA20" s="14"/>
      <c r="AB20" s="15"/>
      <c r="AC20" s="14"/>
      <c r="AD20" s="15"/>
      <c r="AE20" s="14"/>
      <c r="AF20" s="15"/>
      <c r="AG20" s="14"/>
      <c r="AH20" s="15"/>
      <c r="AI20" s="14"/>
      <c r="AJ20" s="15"/>
      <c r="AK20" s="107"/>
    </row>
    <row r="21" spans="1:37" ht="16.5" customHeight="1" x14ac:dyDescent="0.2">
      <c r="A21" s="6"/>
      <c r="B21" s="135">
        <f t="shared" si="14"/>
        <v>12</v>
      </c>
      <c r="C21" s="11">
        <f>'Kelas XI'!C19</f>
        <v>16158</v>
      </c>
      <c r="D21" s="134" t="str">
        <f>'Kelas XI'!D19</f>
        <v>DJIO ARNANDO PRATAMA</v>
      </c>
      <c r="E21" s="14"/>
      <c r="F21" s="15"/>
      <c r="G21" s="14"/>
      <c r="H21" s="15"/>
      <c r="I21" s="14"/>
      <c r="J21" s="15"/>
      <c r="K21" s="14"/>
      <c r="L21" s="15"/>
      <c r="M21" s="14"/>
      <c r="N21" s="15"/>
      <c r="O21" s="14"/>
      <c r="P21" s="15"/>
      <c r="Q21" s="14"/>
      <c r="R21" s="15"/>
      <c r="S21" s="14"/>
      <c r="T21" s="15"/>
      <c r="U21" s="14"/>
      <c r="V21" s="15"/>
      <c r="W21" s="14"/>
      <c r="X21" s="15"/>
      <c r="Y21" s="14"/>
      <c r="Z21" s="15"/>
      <c r="AA21" s="14"/>
      <c r="AB21" s="15"/>
      <c r="AC21" s="14"/>
      <c r="AD21" s="15"/>
      <c r="AE21" s="14"/>
      <c r="AF21" s="15"/>
      <c r="AG21" s="14"/>
      <c r="AH21" s="15"/>
      <c r="AI21" s="14"/>
      <c r="AJ21" s="15"/>
      <c r="AK21" s="107"/>
    </row>
    <row r="22" spans="1:37" ht="16.5" customHeight="1" x14ac:dyDescent="0.2">
      <c r="A22" s="6"/>
      <c r="B22" s="135">
        <f t="shared" si="14"/>
        <v>13</v>
      </c>
      <c r="C22" s="11">
        <f>'Kelas XI'!C20</f>
        <v>16166</v>
      </c>
      <c r="D22" s="134" t="str">
        <f>'Kelas XI'!D20</f>
        <v>ILHAM FAUZAN ZAIN</v>
      </c>
      <c r="E22" s="14"/>
      <c r="F22" s="15"/>
      <c r="G22" s="14"/>
      <c r="H22" s="15"/>
      <c r="I22" s="14"/>
      <c r="J22" s="15"/>
      <c r="K22" s="14"/>
      <c r="L22" s="15"/>
      <c r="M22" s="14"/>
      <c r="N22" s="15"/>
      <c r="O22" s="14"/>
      <c r="P22" s="15"/>
      <c r="Q22" s="14"/>
      <c r="R22" s="15"/>
      <c r="S22" s="14"/>
      <c r="T22" s="15"/>
      <c r="U22" s="14"/>
      <c r="V22" s="15"/>
      <c r="W22" s="14"/>
      <c r="X22" s="15"/>
      <c r="Y22" s="14"/>
      <c r="Z22" s="15"/>
      <c r="AA22" s="14"/>
      <c r="AB22" s="15"/>
      <c r="AC22" s="14"/>
      <c r="AD22" s="15"/>
      <c r="AE22" s="14"/>
      <c r="AF22" s="15"/>
      <c r="AG22" s="14"/>
      <c r="AH22" s="15"/>
      <c r="AI22" s="14"/>
      <c r="AJ22" s="15"/>
      <c r="AK22" s="107"/>
    </row>
    <row r="23" spans="1:37" ht="16.5" customHeight="1" x14ac:dyDescent="0.2">
      <c r="A23" s="6"/>
      <c r="B23" s="135">
        <f t="shared" si="14"/>
        <v>14</v>
      </c>
      <c r="C23" s="11">
        <f>'Kelas XI'!C21</f>
        <v>16133</v>
      </c>
      <c r="D23" s="134" t="str">
        <f>'Kelas XI'!D21</f>
        <v>KEVIN ALVIANO SAPUTRA</v>
      </c>
      <c r="E23" s="14"/>
      <c r="F23" s="15"/>
      <c r="G23" s="14"/>
      <c r="H23" s="15"/>
      <c r="I23" s="14"/>
      <c r="J23" s="15"/>
      <c r="K23" s="14"/>
      <c r="L23" s="15"/>
      <c r="M23" s="14"/>
      <c r="N23" s="15"/>
      <c r="O23" s="14"/>
      <c r="P23" s="15"/>
      <c r="Q23" s="14"/>
      <c r="R23" s="15"/>
      <c r="S23" s="14"/>
      <c r="T23" s="15"/>
      <c r="U23" s="14"/>
      <c r="V23" s="15"/>
      <c r="W23" s="14"/>
      <c r="X23" s="15"/>
      <c r="Y23" s="14"/>
      <c r="Z23" s="15"/>
      <c r="AA23" s="14"/>
      <c r="AB23" s="15"/>
      <c r="AC23" s="14"/>
      <c r="AD23" s="15"/>
      <c r="AE23" s="14"/>
      <c r="AF23" s="15"/>
      <c r="AG23" s="14"/>
      <c r="AH23" s="15"/>
      <c r="AI23" s="14"/>
      <c r="AJ23" s="15"/>
      <c r="AK23" s="107"/>
    </row>
    <row r="24" spans="1:37" ht="16.5" customHeight="1" x14ac:dyDescent="0.2">
      <c r="A24" s="6"/>
      <c r="B24" s="135">
        <f t="shared" si="14"/>
        <v>15</v>
      </c>
      <c r="C24" s="11">
        <f>'Kelas XI'!C22</f>
        <v>16202</v>
      </c>
      <c r="D24" s="134" t="str">
        <f>'Kelas XI'!D22</f>
        <v>KURNIAWAN INDRASETYA</v>
      </c>
      <c r="E24" s="14"/>
      <c r="F24" s="15"/>
      <c r="G24" s="14"/>
      <c r="H24" s="15"/>
      <c r="I24" s="14"/>
      <c r="J24" s="15"/>
      <c r="K24" s="14"/>
      <c r="L24" s="15"/>
      <c r="M24" s="14"/>
      <c r="N24" s="15"/>
      <c r="O24" s="14"/>
      <c r="P24" s="15"/>
      <c r="Q24" s="14"/>
      <c r="R24" s="15"/>
      <c r="S24" s="14"/>
      <c r="T24" s="15"/>
      <c r="U24" s="14"/>
      <c r="V24" s="15"/>
      <c r="W24" s="14"/>
      <c r="X24" s="15"/>
      <c r="Y24" s="14"/>
      <c r="Z24" s="15"/>
      <c r="AA24" s="14"/>
      <c r="AB24" s="15"/>
      <c r="AC24" s="14"/>
      <c r="AD24" s="15"/>
      <c r="AE24" s="14"/>
      <c r="AF24" s="15"/>
      <c r="AG24" s="14"/>
      <c r="AH24" s="15"/>
      <c r="AI24" s="14"/>
      <c r="AJ24" s="15"/>
      <c r="AK24" s="107"/>
    </row>
    <row r="25" spans="1:37" ht="16.5" customHeight="1" x14ac:dyDescent="0.2">
      <c r="A25" s="6"/>
      <c r="B25" s="135">
        <f t="shared" si="14"/>
        <v>16</v>
      </c>
      <c r="C25" s="11">
        <f>'Kelas XI'!C23</f>
        <v>16098</v>
      </c>
      <c r="D25" s="134" t="str">
        <f>'Kelas XI'!D23</f>
        <v>MAHESA PUTRA</v>
      </c>
      <c r="E25" s="14"/>
      <c r="F25" s="15"/>
      <c r="G25" s="14"/>
      <c r="H25" s="15"/>
      <c r="I25" s="14"/>
      <c r="J25" s="15"/>
      <c r="K25" s="14"/>
      <c r="L25" s="15"/>
      <c r="M25" s="14"/>
      <c r="N25" s="15"/>
      <c r="O25" s="14"/>
      <c r="P25" s="15"/>
      <c r="Q25" s="14"/>
      <c r="R25" s="15"/>
      <c r="S25" s="14"/>
      <c r="T25" s="15"/>
      <c r="U25" s="14"/>
      <c r="V25" s="15"/>
      <c r="W25" s="14"/>
      <c r="X25" s="15"/>
      <c r="Y25" s="14"/>
      <c r="Z25" s="15"/>
      <c r="AA25" s="14"/>
      <c r="AB25" s="15"/>
      <c r="AC25" s="14"/>
      <c r="AD25" s="15"/>
      <c r="AE25" s="14"/>
      <c r="AF25" s="15"/>
      <c r="AG25" s="14"/>
      <c r="AH25" s="15"/>
      <c r="AI25" s="14"/>
      <c r="AJ25" s="15"/>
      <c r="AK25" s="107"/>
    </row>
    <row r="26" spans="1:37" ht="16.5" customHeight="1" x14ac:dyDescent="0.2">
      <c r="A26" s="6"/>
      <c r="B26" s="135">
        <f t="shared" si="14"/>
        <v>17</v>
      </c>
      <c r="C26" s="11">
        <f>'Kelas XI'!C24</f>
        <v>16238</v>
      </c>
      <c r="D26" s="134" t="str">
        <f>'Kelas XI'!D24</f>
        <v>MAULANA PUTRA NURMANSYAH</v>
      </c>
      <c r="E26" s="14"/>
      <c r="F26" s="15"/>
      <c r="G26" s="14"/>
      <c r="H26" s="15"/>
      <c r="I26" s="14"/>
      <c r="J26" s="15"/>
      <c r="K26" s="14"/>
      <c r="L26" s="15"/>
      <c r="M26" s="14"/>
      <c r="N26" s="15"/>
      <c r="O26" s="14"/>
      <c r="P26" s="15"/>
      <c r="Q26" s="14"/>
      <c r="R26" s="15"/>
      <c r="S26" s="14"/>
      <c r="T26" s="15"/>
      <c r="U26" s="14"/>
      <c r="V26" s="15"/>
      <c r="W26" s="14"/>
      <c r="X26" s="15"/>
      <c r="Y26" s="14"/>
      <c r="Z26" s="15"/>
      <c r="AA26" s="14"/>
      <c r="AB26" s="15"/>
      <c r="AC26" s="14"/>
      <c r="AD26" s="15"/>
      <c r="AE26" s="14"/>
      <c r="AF26" s="15"/>
      <c r="AG26" s="14"/>
      <c r="AH26" s="15"/>
      <c r="AI26" s="14"/>
      <c r="AJ26" s="15"/>
      <c r="AK26" s="107"/>
    </row>
    <row r="27" spans="1:37" ht="16.5" customHeight="1" x14ac:dyDescent="0.2">
      <c r="A27" s="6"/>
      <c r="B27" s="135">
        <f t="shared" si="14"/>
        <v>18</v>
      </c>
      <c r="C27" s="11">
        <f>'Kelas XI'!C25</f>
        <v>16239</v>
      </c>
      <c r="D27" s="134" t="str">
        <f>'Kelas XI'!D25</f>
        <v>MOHAMAD GHILMAN GHOITSULBARRI</v>
      </c>
      <c r="E27" s="14"/>
      <c r="F27" s="15"/>
      <c r="G27" s="14"/>
      <c r="H27" s="15"/>
      <c r="I27" s="14"/>
      <c r="J27" s="15"/>
      <c r="K27" s="14"/>
      <c r="L27" s="15"/>
      <c r="M27" s="14"/>
      <c r="N27" s="15"/>
      <c r="O27" s="14"/>
      <c r="P27" s="15"/>
      <c r="Q27" s="14"/>
      <c r="R27" s="15"/>
      <c r="S27" s="14"/>
      <c r="T27" s="15"/>
      <c r="U27" s="14"/>
      <c r="V27" s="15"/>
      <c r="W27" s="14"/>
      <c r="X27" s="15"/>
      <c r="Y27" s="14"/>
      <c r="Z27" s="15"/>
      <c r="AA27" s="14"/>
      <c r="AB27" s="15"/>
      <c r="AC27" s="14"/>
      <c r="AD27" s="15"/>
      <c r="AE27" s="14"/>
      <c r="AF27" s="15"/>
      <c r="AG27" s="14"/>
      <c r="AH27" s="15"/>
      <c r="AI27" s="14"/>
      <c r="AJ27" s="15"/>
      <c r="AK27" s="107"/>
    </row>
    <row r="28" spans="1:37" ht="16.5" customHeight="1" x14ac:dyDescent="0.2">
      <c r="A28" s="6"/>
      <c r="B28" s="135">
        <f t="shared" si="14"/>
        <v>19</v>
      </c>
      <c r="C28" s="11">
        <f>'Kelas XI'!C26</f>
        <v>16241</v>
      </c>
      <c r="D28" s="134" t="str">
        <f>'Kelas XI'!D26</f>
        <v>MUH. FARHAN AL FARABY MAHENDRA</v>
      </c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14"/>
      <c r="AB28" s="15"/>
      <c r="AC28" s="14"/>
      <c r="AD28" s="15"/>
      <c r="AE28" s="14"/>
      <c r="AF28" s="15"/>
      <c r="AG28" s="14"/>
      <c r="AH28" s="15"/>
      <c r="AI28" s="14"/>
      <c r="AJ28" s="15"/>
      <c r="AK28" s="107"/>
    </row>
    <row r="29" spans="1:37" ht="16.5" customHeight="1" x14ac:dyDescent="0.2">
      <c r="A29" s="6"/>
      <c r="B29" s="135">
        <f t="shared" si="14"/>
        <v>20</v>
      </c>
      <c r="C29" s="11">
        <f>'Kelas XI'!C27</f>
        <v>16172</v>
      </c>
      <c r="D29" s="134" t="str">
        <f>'Kelas XI'!D27</f>
        <v>MUHAMAD ABQARI MUTADIL</v>
      </c>
      <c r="E29" s="14"/>
      <c r="F29" s="15"/>
      <c r="G29" s="14"/>
      <c r="H29" s="15"/>
      <c r="I29" s="14"/>
      <c r="J29" s="15"/>
      <c r="K29" s="14"/>
      <c r="L29" s="15"/>
      <c r="M29" s="14"/>
      <c r="N29" s="15"/>
      <c r="O29" s="14"/>
      <c r="P29" s="15"/>
      <c r="Q29" s="14"/>
      <c r="R29" s="15"/>
      <c r="S29" s="14"/>
      <c r="T29" s="15"/>
      <c r="U29" s="14"/>
      <c r="V29" s="15"/>
      <c r="W29" s="14"/>
      <c r="X29" s="15"/>
      <c r="Y29" s="14"/>
      <c r="Z29" s="15"/>
      <c r="AA29" s="14"/>
      <c r="AB29" s="15"/>
      <c r="AC29" s="14"/>
      <c r="AD29" s="15"/>
      <c r="AE29" s="14"/>
      <c r="AF29" s="15"/>
      <c r="AG29" s="14"/>
      <c r="AH29" s="15"/>
      <c r="AI29" s="14"/>
      <c r="AJ29" s="15"/>
      <c r="AK29" s="107"/>
    </row>
    <row r="30" spans="1:37" ht="16.5" customHeight="1" x14ac:dyDescent="0.2">
      <c r="A30" s="6"/>
      <c r="B30" s="135">
        <f t="shared" si="14"/>
        <v>21</v>
      </c>
      <c r="C30" s="11">
        <f>'Kelas XI'!C28</f>
        <v>16207</v>
      </c>
      <c r="D30" s="134" t="str">
        <f>'Kelas XI'!D28</f>
        <v>MUHAMAD ARIEF WICAKSONO</v>
      </c>
      <c r="E30" s="14"/>
      <c r="F30" s="15"/>
      <c r="G30" s="14"/>
      <c r="H30" s="15"/>
      <c r="I30" s="14"/>
      <c r="J30" s="15"/>
      <c r="K30" s="14"/>
      <c r="L30" s="15"/>
      <c r="M30" s="14"/>
      <c r="N30" s="15"/>
      <c r="O30" s="14"/>
      <c r="P30" s="15"/>
      <c r="Q30" s="14"/>
      <c r="R30" s="15"/>
      <c r="S30" s="14"/>
      <c r="T30" s="15"/>
      <c r="U30" s="14"/>
      <c r="V30" s="15"/>
      <c r="W30" s="14"/>
      <c r="X30" s="15"/>
      <c r="Y30" s="14"/>
      <c r="Z30" s="15"/>
      <c r="AA30" s="14"/>
      <c r="AB30" s="15"/>
      <c r="AC30" s="14"/>
      <c r="AD30" s="15"/>
      <c r="AE30" s="14"/>
      <c r="AF30" s="15"/>
      <c r="AG30" s="14"/>
      <c r="AH30" s="15"/>
      <c r="AI30" s="14"/>
      <c r="AJ30" s="15"/>
      <c r="AK30" s="107"/>
    </row>
    <row r="31" spans="1:37" ht="16.5" customHeight="1" x14ac:dyDescent="0.2">
      <c r="A31" s="6"/>
      <c r="B31" s="135">
        <f t="shared" si="14"/>
        <v>22</v>
      </c>
      <c r="C31" s="11">
        <f>'Kelas XI'!C29</f>
        <v>16174</v>
      </c>
      <c r="D31" s="134" t="str">
        <f>'Kelas XI'!D29</f>
        <v>MUHAMMAD ALVIN AL FACHRY</v>
      </c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07"/>
    </row>
    <row r="32" spans="1:37" ht="16.5" customHeight="1" x14ac:dyDescent="0.2">
      <c r="A32" s="6"/>
      <c r="B32" s="135">
        <f t="shared" si="14"/>
        <v>23</v>
      </c>
      <c r="C32" s="11">
        <f>'Kelas XI'!C30</f>
        <v>16175</v>
      </c>
      <c r="D32" s="134" t="str">
        <f>'Kelas XI'!D30</f>
        <v>MUHAMMAD AUFA AKHDAN SHOFI</v>
      </c>
      <c r="E32" s="14"/>
      <c r="F32" s="15"/>
      <c r="G32" s="14"/>
      <c r="H32" s="15"/>
      <c r="I32" s="14"/>
      <c r="J32" s="15"/>
      <c r="K32" s="14"/>
      <c r="L32" s="15"/>
      <c r="M32" s="14"/>
      <c r="N32" s="15"/>
      <c r="O32" s="14"/>
      <c r="P32" s="15"/>
      <c r="Q32" s="14"/>
      <c r="R32" s="15"/>
      <c r="S32" s="14"/>
      <c r="T32" s="15"/>
      <c r="U32" s="14"/>
      <c r="V32" s="15"/>
      <c r="W32" s="14"/>
      <c r="X32" s="15"/>
      <c r="Y32" s="14"/>
      <c r="Z32" s="15"/>
      <c r="AA32" s="14"/>
      <c r="AB32" s="15"/>
      <c r="AC32" s="14"/>
      <c r="AD32" s="15"/>
      <c r="AE32" s="14"/>
      <c r="AF32" s="15"/>
      <c r="AG32" s="14"/>
      <c r="AH32" s="15"/>
      <c r="AI32" s="14"/>
      <c r="AJ32" s="15"/>
      <c r="AK32" s="107"/>
    </row>
    <row r="33" spans="1:37" ht="16.5" customHeight="1" x14ac:dyDescent="0.2">
      <c r="A33" s="6"/>
      <c r="B33" s="135">
        <f t="shared" si="14"/>
        <v>24</v>
      </c>
      <c r="C33" s="11">
        <f>'Kelas XI'!C31</f>
        <v>16212</v>
      </c>
      <c r="D33" s="134" t="str">
        <f>'Kelas XI'!D31</f>
        <v>MUHAMMAD ILZAM MAFAZA</v>
      </c>
      <c r="E33" s="14"/>
      <c r="F33" s="15"/>
      <c r="G33" s="14"/>
      <c r="H33" s="15"/>
      <c r="I33" s="14"/>
      <c r="J33" s="15"/>
      <c r="K33" s="14"/>
      <c r="L33" s="15"/>
      <c r="M33" s="14"/>
      <c r="N33" s="15"/>
      <c r="O33" s="14"/>
      <c r="P33" s="15"/>
      <c r="Q33" s="14"/>
      <c r="R33" s="15"/>
      <c r="S33" s="14"/>
      <c r="T33" s="15"/>
      <c r="U33" s="14"/>
      <c r="V33" s="15"/>
      <c r="W33" s="14"/>
      <c r="X33" s="15"/>
      <c r="Y33" s="14"/>
      <c r="Z33" s="15"/>
      <c r="AA33" s="14"/>
      <c r="AB33" s="15"/>
      <c r="AC33" s="14"/>
      <c r="AD33" s="15"/>
      <c r="AE33" s="14"/>
      <c r="AF33" s="15"/>
      <c r="AG33" s="14"/>
      <c r="AH33" s="15"/>
      <c r="AI33" s="14"/>
      <c r="AJ33" s="15"/>
      <c r="AK33" s="107"/>
    </row>
    <row r="34" spans="1:37" ht="16.5" customHeight="1" x14ac:dyDescent="0.2">
      <c r="A34" s="6"/>
      <c r="B34" s="135">
        <f t="shared" si="14"/>
        <v>25</v>
      </c>
      <c r="C34" s="11">
        <f>'Kelas XI'!C32</f>
        <v>16141</v>
      </c>
      <c r="D34" s="134" t="str">
        <f>'Kelas XI'!D32</f>
        <v>MUHAMMAD IZZUDIN PURNOMO</v>
      </c>
      <c r="E34" s="14"/>
      <c r="F34" s="15"/>
      <c r="G34" s="14"/>
      <c r="H34" s="15"/>
      <c r="I34" s="14"/>
      <c r="J34" s="15"/>
      <c r="K34" s="14"/>
      <c r="L34" s="15"/>
      <c r="M34" s="14"/>
      <c r="N34" s="15"/>
      <c r="O34" s="14"/>
      <c r="P34" s="15"/>
      <c r="Q34" s="14"/>
      <c r="R34" s="15"/>
      <c r="S34" s="14"/>
      <c r="T34" s="15"/>
      <c r="U34" s="14"/>
      <c r="V34" s="15"/>
      <c r="W34" s="14"/>
      <c r="X34" s="15"/>
      <c r="Y34" s="14"/>
      <c r="Z34" s="15"/>
      <c r="AA34" s="14"/>
      <c r="AB34" s="15"/>
      <c r="AC34" s="14"/>
      <c r="AD34" s="15"/>
      <c r="AE34" s="14"/>
      <c r="AF34" s="15"/>
      <c r="AG34" s="14"/>
      <c r="AH34" s="15"/>
      <c r="AI34" s="14"/>
      <c r="AJ34" s="15"/>
      <c r="AK34" s="107"/>
    </row>
    <row r="35" spans="1:37" ht="16.5" customHeight="1" x14ac:dyDescent="0.2">
      <c r="A35" s="6"/>
      <c r="B35" s="135">
        <f t="shared" si="14"/>
        <v>26</v>
      </c>
      <c r="C35" s="11">
        <f>'Kelas XI'!C33</f>
        <v>16213</v>
      </c>
      <c r="D35" s="134" t="str">
        <f>'Kelas XI'!D33</f>
        <v>MUHAMMAD KAISAN HADANI</v>
      </c>
      <c r="E35" s="14"/>
      <c r="F35" s="15"/>
      <c r="G35" s="14"/>
      <c r="H35" s="15"/>
      <c r="I35" s="14"/>
      <c r="J35" s="15"/>
      <c r="K35" s="14"/>
      <c r="L35" s="15"/>
      <c r="M35" s="14"/>
      <c r="N35" s="15"/>
      <c r="O35" s="14"/>
      <c r="P35" s="15"/>
      <c r="Q35" s="14"/>
      <c r="R35" s="15"/>
      <c r="S35" s="14"/>
      <c r="T35" s="15"/>
      <c r="U35" s="14"/>
      <c r="V35" s="15"/>
      <c r="W35" s="14"/>
      <c r="X35" s="15"/>
      <c r="Y35" s="14"/>
      <c r="Z35" s="15"/>
      <c r="AA35" s="14"/>
      <c r="AB35" s="15"/>
      <c r="AC35" s="14"/>
      <c r="AD35" s="15"/>
      <c r="AE35" s="14"/>
      <c r="AF35" s="15"/>
      <c r="AG35" s="14"/>
      <c r="AH35" s="15"/>
      <c r="AI35" s="14"/>
      <c r="AJ35" s="15"/>
      <c r="AK35" s="107"/>
    </row>
    <row r="36" spans="1:37" ht="16.5" customHeight="1" x14ac:dyDescent="0.2">
      <c r="A36" s="6"/>
      <c r="B36" s="135">
        <f t="shared" si="14"/>
        <v>27</v>
      </c>
      <c r="C36" s="11">
        <f>'Kelas XI'!C34</f>
        <v>16142</v>
      </c>
      <c r="D36" s="134" t="str">
        <f>'Kelas XI'!D34</f>
        <v>MUHAMMAD LISKAT ASKHARI</v>
      </c>
      <c r="E36" s="14"/>
      <c r="F36" s="15"/>
      <c r="G36" s="14"/>
      <c r="H36" s="15"/>
      <c r="I36" s="14"/>
      <c r="J36" s="15"/>
      <c r="K36" s="14"/>
      <c r="L36" s="15"/>
      <c r="M36" s="14"/>
      <c r="N36" s="15"/>
      <c r="O36" s="14"/>
      <c r="P36" s="15"/>
      <c r="Q36" s="14"/>
      <c r="R36" s="15"/>
      <c r="S36" s="14"/>
      <c r="T36" s="15"/>
      <c r="U36" s="14"/>
      <c r="V36" s="15"/>
      <c r="W36" s="14"/>
      <c r="X36" s="15"/>
      <c r="Y36" s="14"/>
      <c r="Z36" s="15"/>
      <c r="AA36" s="14"/>
      <c r="AB36" s="15"/>
      <c r="AC36" s="14"/>
      <c r="AD36" s="15"/>
      <c r="AE36" s="14"/>
      <c r="AF36" s="15"/>
      <c r="AG36" s="14"/>
      <c r="AH36" s="15"/>
      <c r="AI36" s="14"/>
      <c r="AJ36" s="15"/>
      <c r="AK36" s="107"/>
    </row>
    <row r="37" spans="1:37" ht="16.5" customHeight="1" x14ac:dyDescent="0.2">
      <c r="A37" s="6"/>
      <c r="B37" s="135">
        <f t="shared" si="14"/>
        <v>28</v>
      </c>
      <c r="C37" s="11">
        <f>'Kelas XI'!C35</f>
        <v>16108</v>
      </c>
      <c r="D37" s="134" t="str">
        <f>'Kelas XI'!D35</f>
        <v>MUHAMMAD NUR IKHSAN BAITULLOH</v>
      </c>
      <c r="E37" s="14"/>
      <c r="F37" s="15"/>
      <c r="G37" s="14"/>
      <c r="H37" s="15"/>
      <c r="I37" s="14"/>
      <c r="J37" s="15"/>
      <c r="K37" s="14"/>
      <c r="L37" s="15"/>
      <c r="M37" s="14"/>
      <c r="N37" s="15"/>
      <c r="O37" s="14"/>
      <c r="P37" s="15"/>
      <c r="Q37" s="14"/>
      <c r="R37" s="15"/>
      <c r="S37" s="14"/>
      <c r="T37" s="15"/>
      <c r="U37" s="14"/>
      <c r="V37" s="15"/>
      <c r="W37" s="14"/>
      <c r="X37" s="15"/>
      <c r="Y37" s="14"/>
      <c r="Z37" s="15"/>
      <c r="AA37" s="14"/>
      <c r="AB37" s="15"/>
      <c r="AC37" s="14"/>
      <c r="AD37" s="15"/>
      <c r="AE37" s="14"/>
      <c r="AF37" s="15"/>
      <c r="AG37" s="14"/>
      <c r="AH37" s="15"/>
      <c r="AI37" s="14"/>
      <c r="AJ37" s="15"/>
      <c r="AK37" s="107"/>
    </row>
    <row r="38" spans="1:37" ht="16.5" customHeight="1" x14ac:dyDescent="0.2">
      <c r="A38" s="6"/>
      <c r="B38" s="135">
        <f t="shared" si="14"/>
        <v>29</v>
      </c>
      <c r="C38" s="11">
        <f>'Kelas XI'!C36</f>
        <v>16215</v>
      </c>
      <c r="D38" s="134" t="str">
        <f>'Kelas XI'!D36</f>
        <v>MUHAMMAD ZYLDAN FAZA ERZACKY</v>
      </c>
      <c r="E38" s="16"/>
      <c r="F38" s="17"/>
      <c r="G38" s="16"/>
      <c r="H38" s="17"/>
      <c r="I38" s="16"/>
      <c r="J38" s="17"/>
      <c r="K38" s="16"/>
      <c r="L38" s="17"/>
      <c r="M38" s="16"/>
      <c r="N38" s="17"/>
      <c r="O38" s="16"/>
      <c r="P38" s="17"/>
      <c r="Q38" s="16"/>
      <c r="R38" s="17"/>
      <c r="S38" s="16"/>
      <c r="T38" s="17"/>
      <c r="U38" s="16"/>
      <c r="V38" s="17"/>
      <c r="W38" s="16"/>
      <c r="X38" s="17"/>
      <c r="Y38" s="16"/>
      <c r="Z38" s="17"/>
      <c r="AA38" s="16"/>
      <c r="AB38" s="17"/>
      <c r="AC38" s="16"/>
      <c r="AD38" s="17"/>
      <c r="AE38" s="16"/>
      <c r="AF38" s="17"/>
      <c r="AG38" s="16"/>
      <c r="AH38" s="17"/>
      <c r="AI38" s="16"/>
      <c r="AJ38" s="17"/>
      <c r="AK38" s="107"/>
    </row>
    <row r="39" spans="1:37" ht="16.5" customHeight="1" x14ac:dyDescent="0.2">
      <c r="A39" s="6"/>
      <c r="B39" s="135">
        <f t="shared" si="14"/>
        <v>30</v>
      </c>
      <c r="C39" s="11">
        <f>'Kelas XI'!C37</f>
        <v>16149</v>
      </c>
      <c r="D39" s="134" t="str">
        <f>'Kelas XI'!D37</f>
        <v>SANDIA DANISH SYAIFULLAH</v>
      </c>
      <c r="E39" s="16"/>
      <c r="F39" s="17"/>
      <c r="G39" s="16"/>
      <c r="H39" s="17"/>
      <c r="I39" s="16"/>
      <c r="J39" s="17"/>
      <c r="K39" s="16"/>
      <c r="L39" s="17"/>
      <c r="M39" s="16"/>
      <c r="N39" s="17"/>
      <c r="O39" s="16"/>
      <c r="P39" s="17"/>
      <c r="Q39" s="16"/>
      <c r="R39" s="17"/>
      <c r="S39" s="16"/>
      <c r="T39" s="17"/>
      <c r="U39" s="16"/>
      <c r="V39" s="17"/>
      <c r="W39" s="16"/>
      <c r="X39" s="17"/>
      <c r="Y39" s="16"/>
      <c r="Z39" s="17"/>
      <c r="AA39" s="16"/>
      <c r="AB39" s="17"/>
      <c r="AC39" s="16"/>
      <c r="AD39" s="17"/>
      <c r="AE39" s="16"/>
      <c r="AF39" s="17"/>
      <c r="AG39" s="16"/>
      <c r="AH39" s="17"/>
      <c r="AI39" s="16"/>
      <c r="AJ39" s="17"/>
      <c r="AK39" s="107"/>
    </row>
    <row r="40" spans="1:37" ht="16.5" customHeight="1" x14ac:dyDescent="0.2">
      <c r="A40" s="6"/>
      <c r="B40" s="135">
        <f t="shared" si="14"/>
        <v>31</v>
      </c>
      <c r="C40" s="11">
        <f>'Kelas XI'!C38</f>
        <v>16255</v>
      </c>
      <c r="D40" s="134" t="str">
        <f>'Kelas XI'!D38</f>
        <v>SHOFWAN FAHRIZA</v>
      </c>
      <c r="E40" s="16"/>
      <c r="F40" s="17"/>
      <c r="G40" s="16"/>
      <c r="H40" s="17"/>
      <c r="I40" s="16"/>
      <c r="J40" s="17"/>
      <c r="K40" s="16"/>
      <c r="L40" s="17"/>
      <c r="M40" s="16"/>
      <c r="N40" s="17"/>
      <c r="O40" s="16"/>
      <c r="P40" s="17"/>
      <c r="Q40" s="16"/>
      <c r="R40" s="17"/>
      <c r="S40" s="16"/>
      <c r="T40" s="17"/>
      <c r="U40" s="16"/>
      <c r="V40" s="17"/>
      <c r="W40" s="16"/>
      <c r="X40" s="17"/>
      <c r="Y40" s="16"/>
      <c r="Z40" s="17"/>
      <c r="AA40" s="16"/>
      <c r="AB40" s="17"/>
      <c r="AC40" s="16"/>
      <c r="AD40" s="17"/>
      <c r="AE40" s="16"/>
      <c r="AF40" s="17"/>
      <c r="AG40" s="16"/>
      <c r="AH40" s="17"/>
      <c r="AI40" s="16"/>
      <c r="AJ40" s="17"/>
      <c r="AK40" s="107"/>
    </row>
    <row r="41" spans="1:37" ht="16.5" customHeight="1" x14ac:dyDescent="0.2">
      <c r="A41" s="6"/>
      <c r="B41" s="135">
        <f t="shared" si="14"/>
        <v>32</v>
      </c>
      <c r="C41" s="11">
        <f>'Kelas XI'!C39</f>
        <v>16111</v>
      </c>
      <c r="D41" s="134" t="str">
        <f>'Kelas XI'!D39</f>
        <v>TOMMY HADI WINATA</v>
      </c>
      <c r="E41" s="16"/>
      <c r="F41" s="17"/>
      <c r="G41" s="16"/>
      <c r="H41" s="17"/>
      <c r="I41" s="16"/>
      <c r="J41" s="17"/>
      <c r="K41" s="16"/>
      <c r="L41" s="17"/>
      <c r="M41" s="16"/>
      <c r="N41" s="17"/>
      <c r="O41" s="16"/>
      <c r="P41" s="17"/>
      <c r="Q41" s="16"/>
      <c r="R41" s="17"/>
      <c r="S41" s="16"/>
      <c r="T41" s="17"/>
      <c r="U41" s="16"/>
      <c r="V41" s="17"/>
      <c r="W41" s="16"/>
      <c r="X41" s="17"/>
      <c r="Y41" s="16"/>
      <c r="Z41" s="17"/>
      <c r="AA41" s="16"/>
      <c r="AB41" s="17"/>
      <c r="AC41" s="16"/>
      <c r="AD41" s="17"/>
      <c r="AE41" s="16"/>
      <c r="AF41" s="17"/>
      <c r="AG41" s="16"/>
      <c r="AH41" s="17"/>
      <c r="AI41" s="16"/>
      <c r="AJ41" s="17"/>
      <c r="AK41" s="107"/>
    </row>
    <row r="42" spans="1:37" ht="16.5" customHeight="1" x14ac:dyDescent="0.2">
      <c r="A42" s="6"/>
      <c r="B42" s="135">
        <f t="shared" si="14"/>
        <v>33</v>
      </c>
      <c r="C42" s="11">
        <f>'Kelas XI'!C40</f>
        <v>16257</v>
      </c>
      <c r="D42" s="134" t="str">
        <f>'Kelas XI'!D40</f>
        <v>WAFI AHMAD IZZUL HAQ</v>
      </c>
      <c r="E42" s="16"/>
      <c r="F42" s="17"/>
      <c r="G42" s="16"/>
      <c r="H42" s="17"/>
      <c r="I42" s="16"/>
      <c r="J42" s="17"/>
      <c r="K42" s="16"/>
      <c r="L42" s="17"/>
      <c r="M42" s="16"/>
      <c r="N42" s="17"/>
      <c r="O42" s="16"/>
      <c r="P42" s="17"/>
      <c r="Q42" s="16"/>
      <c r="R42" s="17"/>
      <c r="S42" s="16"/>
      <c r="T42" s="17"/>
      <c r="U42" s="16"/>
      <c r="V42" s="17"/>
      <c r="W42" s="16"/>
      <c r="X42" s="17"/>
      <c r="Y42" s="16"/>
      <c r="Z42" s="17"/>
      <c r="AA42" s="16"/>
      <c r="AB42" s="17"/>
      <c r="AC42" s="16"/>
      <c r="AD42" s="17"/>
      <c r="AE42" s="16"/>
      <c r="AF42" s="17"/>
      <c r="AG42" s="16"/>
      <c r="AH42" s="17"/>
      <c r="AI42" s="16"/>
      <c r="AJ42" s="17"/>
      <c r="AK42" s="107"/>
    </row>
    <row r="43" spans="1:37" ht="16.5" customHeight="1" x14ac:dyDescent="0.2">
      <c r="A43" s="6"/>
      <c r="B43" s="135">
        <f t="shared" si="14"/>
        <v>34</v>
      </c>
      <c r="C43" s="11">
        <f>'Kelas XI'!C41</f>
        <v>16258</v>
      </c>
      <c r="D43" s="134" t="str">
        <f>'Kelas XI'!D41</f>
        <v>WILDAN MAULANA</v>
      </c>
      <c r="E43" s="16"/>
      <c r="F43" s="17"/>
      <c r="G43" s="16"/>
      <c r="H43" s="17"/>
      <c r="I43" s="16"/>
      <c r="J43" s="17"/>
      <c r="K43" s="16"/>
      <c r="L43" s="17"/>
      <c r="M43" s="16"/>
      <c r="N43" s="17"/>
      <c r="O43" s="16"/>
      <c r="P43" s="17"/>
      <c r="Q43" s="16"/>
      <c r="R43" s="17"/>
      <c r="S43" s="16"/>
      <c r="T43" s="17"/>
      <c r="U43" s="16"/>
      <c r="V43" s="17"/>
      <c r="W43" s="16"/>
      <c r="X43" s="17"/>
      <c r="Y43" s="16"/>
      <c r="Z43" s="17"/>
      <c r="AA43" s="16"/>
      <c r="AB43" s="17"/>
      <c r="AC43" s="16"/>
      <c r="AD43" s="17"/>
      <c r="AE43" s="16"/>
      <c r="AF43" s="17"/>
      <c r="AG43" s="16"/>
      <c r="AH43" s="17"/>
      <c r="AI43" s="16"/>
      <c r="AJ43" s="17"/>
      <c r="AK43" s="107"/>
    </row>
    <row r="44" spans="1:37" ht="16.5" customHeight="1" x14ac:dyDescent="0.2">
      <c r="A44" s="6"/>
      <c r="B44" s="135">
        <f t="shared" si="14"/>
        <v>35</v>
      </c>
      <c r="C44" s="11">
        <f>'Kelas XI'!C42</f>
        <v>0</v>
      </c>
      <c r="D44" s="134">
        <f>'Kelas XI'!D42</f>
        <v>0</v>
      </c>
      <c r="E44" s="16"/>
      <c r="F44" s="17"/>
      <c r="G44" s="16"/>
      <c r="H44" s="17"/>
      <c r="I44" s="16"/>
      <c r="J44" s="17"/>
      <c r="K44" s="16"/>
      <c r="L44" s="17"/>
      <c r="M44" s="16"/>
      <c r="N44" s="17"/>
      <c r="O44" s="16"/>
      <c r="P44" s="17"/>
      <c r="Q44" s="16"/>
      <c r="R44" s="17"/>
      <c r="S44" s="16"/>
      <c r="T44" s="17"/>
      <c r="U44" s="16"/>
      <c r="V44" s="17"/>
      <c r="W44" s="16"/>
      <c r="X44" s="17"/>
      <c r="Y44" s="16"/>
      <c r="Z44" s="17"/>
      <c r="AA44" s="16"/>
      <c r="AB44" s="17"/>
      <c r="AC44" s="16"/>
      <c r="AD44" s="17"/>
      <c r="AE44" s="16"/>
      <c r="AF44" s="17"/>
      <c r="AG44" s="16"/>
      <c r="AH44" s="17"/>
      <c r="AI44" s="16"/>
      <c r="AJ44" s="17"/>
      <c r="AK44" s="107"/>
    </row>
    <row r="45" spans="1:37" ht="16.5" customHeight="1" x14ac:dyDescent="0.2">
      <c r="A45" s="6"/>
      <c r="B45" s="135">
        <f t="shared" si="14"/>
        <v>36</v>
      </c>
      <c r="C45" s="11">
        <f>'Kelas XI'!C43</f>
        <v>0</v>
      </c>
      <c r="D45" s="134">
        <f>'Kelas XI'!D43</f>
        <v>0</v>
      </c>
      <c r="E45" s="16"/>
      <c r="F45" s="17"/>
      <c r="G45" s="16"/>
      <c r="H45" s="17"/>
      <c r="I45" s="16"/>
      <c r="J45" s="17"/>
      <c r="K45" s="16"/>
      <c r="L45" s="17"/>
      <c r="M45" s="16"/>
      <c r="N45" s="17"/>
      <c r="O45" s="16"/>
      <c r="P45" s="17"/>
      <c r="Q45" s="16"/>
      <c r="R45" s="17"/>
      <c r="S45" s="16"/>
      <c r="T45" s="17"/>
      <c r="U45" s="16"/>
      <c r="V45" s="17"/>
      <c r="W45" s="16"/>
      <c r="X45" s="17"/>
      <c r="Y45" s="16"/>
      <c r="Z45" s="17"/>
      <c r="AA45" s="16"/>
      <c r="AB45" s="17"/>
      <c r="AC45" s="16"/>
      <c r="AD45" s="17"/>
      <c r="AE45" s="16"/>
      <c r="AF45" s="17"/>
      <c r="AG45" s="16"/>
      <c r="AH45" s="17"/>
      <c r="AI45" s="16"/>
      <c r="AJ45" s="17"/>
      <c r="AK45" s="107"/>
    </row>
    <row r="46" spans="1:37" ht="16.5" customHeight="1" x14ac:dyDescent="0.2">
      <c r="A46" s="6"/>
      <c r="B46" s="135">
        <f t="shared" si="14"/>
        <v>37</v>
      </c>
      <c r="C46" s="11">
        <f>'Kelas XI'!C44</f>
        <v>0</v>
      </c>
      <c r="D46" s="134">
        <f>'Kelas XI'!D44</f>
        <v>0</v>
      </c>
      <c r="E46" s="16"/>
      <c r="F46" s="17"/>
      <c r="G46" s="16"/>
      <c r="H46" s="17"/>
      <c r="I46" s="16"/>
      <c r="J46" s="17"/>
      <c r="K46" s="16"/>
      <c r="L46" s="17"/>
      <c r="M46" s="16"/>
      <c r="N46" s="17"/>
      <c r="O46" s="16"/>
      <c r="P46" s="17"/>
      <c r="Q46" s="16"/>
      <c r="R46" s="17"/>
      <c r="S46" s="16"/>
      <c r="T46" s="17"/>
      <c r="U46" s="16"/>
      <c r="V46" s="17"/>
      <c r="W46" s="16"/>
      <c r="X46" s="17"/>
      <c r="Y46" s="16"/>
      <c r="Z46" s="17"/>
      <c r="AA46" s="16"/>
      <c r="AB46" s="17"/>
      <c r="AC46" s="16"/>
      <c r="AD46" s="17"/>
      <c r="AE46" s="16"/>
      <c r="AF46" s="17"/>
      <c r="AG46" s="16"/>
      <c r="AH46" s="17"/>
      <c r="AI46" s="16"/>
      <c r="AJ46" s="17"/>
      <c r="AK46" s="107"/>
    </row>
    <row r="47" spans="1:37" ht="16.5" customHeight="1" x14ac:dyDescent="0.2">
      <c r="A47" s="6"/>
      <c r="B47" s="135">
        <f t="shared" si="14"/>
        <v>38</v>
      </c>
      <c r="C47" s="11">
        <f>'Kelas XI'!C45</f>
        <v>0</v>
      </c>
      <c r="D47" s="134">
        <f>'Kelas XI'!D45</f>
        <v>0</v>
      </c>
      <c r="E47" s="16"/>
      <c r="F47" s="17"/>
      <c r="G47" s="16"/>
      <c r="H47" s="17"/>
      <c r="I47" s="16"/>
      <c r="J47" s="17"/>
      <c r="K47" s="16"/>
      <c r="L47" s="17"/>
      <c r="M47" s="16"/>
      <c r="N47" s="17"/>
      <c r="O47" s="16"/>
      <c r="P47" s="17"/>
      <c r="Q47" s="16"/>
      <c r="R47" s="17"/>
      <c r="S47" s="16"/>
      <c r="T47" s="17"/>
      <c r="U47" s="16"/>
      <c r="V47" s="17"/>
      <c r="W47" s="16"/>
      <c r="X47" s="17"/>
      <c r="Y47" s="16"/>
      <c r="Z47" s="17"/>
      <c r="AA47" s="16"/>
      <c r="AB47" s="17"/>
      <c r="AC47" s="16"/>
      <c r="AD47" s="17"/>
      <c r="AE47" s="16"/>
      <c r="AF47" s="17"/>
      <c r="AG47" s="16"/>
      <c r="AH47" s="17"/>
      <c r="AI47" s="16"/>
      <c r="AJ47" s="17"/>
      <c r="AK47" s="107"/>
    </row>
    <row r="48" spans="1:37" ht="16.5" customHeight="1" x14ac:dyDescent="0.2">
      <c r="A48" s="6"/>
      <c r="B48" s="135">
        <f t="shared" si="14"/>
        <v>39</v>
      </c>
      <c r="C48" s="11">
        <f>'Kelas XI'!C46</f>
        <v>0</v>
      </c>
      <c r="D48" s="134">
        <f>'Kelas XI'!D46</f>
        <v>0</v>
      </c>
      <c r="E48" s="16"/>
      <c r="F48" s="17"/>
      <c r="G48" s="16"/>
      <c r="H48" s="17"/>
      <c r="I48" s="16"/>
      <c r="J48" s="17"/>
      <c r="K48" s="16"/>
      <c r="L48" s="17"/>
      <c r="M48" s="16"/>
      <c r="N48" s="17"/>
      <c r="O48" s="16"/>
      <c r="P48" s="17"/>
      <c r="Q48" s="16"/>
      <c r="R48" s="17"/>
      <c r="S48" s="16"/>
      <c r="T48" s="17"/>
      <c r="U48" s="16"/>
      <c r="V48" s="17"/>
      <c r="W48" s="16"/>
      <c r="X48" s="17"/>
      <c r="Y48" s="16"/>
      <c r="Z48" s="17"/>
      <c r="AA48" s="16"/>
      <c r="AB48" s="17"/>
      <c r="AC48" s="16"/>
      <c r="AD48" s="17"/>
      <c r="AE48" s="16"/>
      <c r="AF48" s="17"/>
      <c r="AG48" s="16"/>
      <c r="AH48" s="17"/>
      <c r="AI48" s="16"/>
      <c r="AJ48" s="17"/>
      <c r="AK48" s="107"/>
    </row>
    <row r="49" spans="1:37" ht="16.5" customHeight="1" x14ac:dyDescent="0.2">
      <c r="A49" s="6"/>
      <c r="B49" s="135">
        <f t="shared" si="14"/>
        <v>40</v>
      </c>
      <c r="C49" s="11">
        <f>'Kelas XI'!C47</f>
        <v>0</v>
      </c>
      <c r="D49" s="134">
        <f>'Kelas XI'!D47</f>
        <v>0</v>
      </c>
      <c r="E49" s="16"/>
      <c r="F49" s="17"/>
      <c r="G49" s="16"/>
      <c r="H49" s="17"/>
      <c r="I49" s="16"/>
      <c r="J49" s="17"/>
      <c r="K49" s="16"/>
      <c r="L49" s="17"/>
      <c r="M49" s="16"/>
      <c r="N49" s="17"/>
      <c r="O49" s="16"/>
      <c r="P49" s="17"/>
      <c r="Q49" s="16"/>
      <c r="R49" s="17"/>
      <c r="S49" s="16"/>
      <c r="T49" s="17"/>
      <c r="U49" s="16"/>
      <c r="V49" s="17"/>
      <c r="W49" s="16"/>
      <c r="X49" s="17"/>
      <c r="Y49" s="16"/>
      <c r="Z49" s="17"/>
      <c r="AA49" s="16"/>
      <c r="AB49" s="17"/>
      <c r="AC49" s="16"/>
      <c r="AD49" s="17"/>
      <c r="AE49" s="16"/>
      <c r="AF49" s="17"/>
      <c r="AG49" s="16"/>
      <c r="AH49" s="17"/>
      <c r="AI49" s="16"/>
      <c r="AJ49" s="17"/>
      <c r="AK49" s="107"/>
    </row>
    <row r="50" spans="1:37" ht="16.5" customHeight="1" thickBot="1" x14ac:dyDescent="0.25">
      <c r="A50" s="6"/>
      <c r="B50" s="143">
        <f t="shared" si="14"/>
        <v>41</v>
      </c>
      <c r="C50" s="48">
        <f>'Kelas XI'!C48</f>
        <v>0</v>
      </c>
      <c r="D50" s="198">
        <f>'Kelas XI'!D48</f>
        <v>0</v>
      </c>
      <c r="E50" s="18"/>
      <c r="F50" s="19"/>
      <c r="G50" s="18"/>
      <c r="H50" s="19"/>
      <c r="I50" s="18"/>
      <c r="J50" s="19"/>
      <c r="K50" s="18"/>
      <c r="L50" s="19"/>
      <c r="M50" s="18"/>
      <c r="N50" s="19"/>
      <c r="O50" s="18"/>
      <c r="P50" s="19"/>
      <c r="Q50" s="18"/>
      <c r="R50" s="19"/>
      <c r="S50" s="18"/>
      <c r="T50" s="19"/>
      <c r="U50" s="18"/>
      <c r="V50" s="19"/>
      <c r="W50" s="18"/>
      <c r="X50" s="19"/>
      <c r="Y50" s="18"/>
      <c r="Z50" s="19"/>
      <c r="AA50" s="18"/>
      <c r="AB50" s="19"/>
      <c r="AC50" s="18"/>
      <c r="AD50" s="19"/>
      <c r="AE50" s="18"/>
      <c r="AF50" s="19"/>
      <c r="AG50" s="18"/>
      <c r="AH50" s="19"/>
      <c r="AI50" s="18"/>
      <c r="AJ50" s="19"/>
      <c r="AK50" s="107"/>
    </row>
    <row r="51" spans="1:37" ht="16.5" customHeight="1" x14ac:dyDescent="0.2">
      <c r="A51" s="6"/>
      <c r="B51" s="8"/>
      <c r="C51" s="20"/>
      <c r="D51" s="33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149"/>
      <c r="AK51" s="6"/>
    </row>
    <row r="52" spans="1:37" ht="16.5" customHeight="1" thickBot="1" x14ac:dyDescent="0.25">
      <c r="A52" s="6"/>
      <c r="B52" s="8"/>
      <c r="C52" s="20"/>
      <c r="D52" s="33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150"/>
      <c r="AK52" s="6"/>
    </row>
    <row r="53" spans="1:37" ht="16.5" customHeight="1" x14ac:dyDescent="0.2">
      <c r="A53" s="6"/>
      <c r="B53" s="279"/>
      <c r="C53" s="280"/>
      <c r="D53" s="283" t="s">
        <v>3</v>
      </c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  <c r="AF53" s="284"/>
      <c r="AG53" s="284"/>
      <c r="AH53" s="284"/>
      <c r="AI53" s="284"/>
      <c r="AJ53" s="285"/>
      <c r="AK53" s="107"/>
    </row>
    <row r="54" spans="1:37" ht="16.5" customHeight="1" x14ac:dyDescent="0.2">
      <c r="A54" s="6"/>
      <c r="B54" s="281"/>
      <c r="C54" s="282"/>
      <c r="D54" s="286" t="s">
        <v>4</v>
      </c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  <c r="AE54" s="287"/>
      <c r="AF54" s="287"/>
      <c r="AG54" s="287"/>
      <c r="AH54" s="287"/>
      <c r="AI54" s="287"/>
      <c r="AJ54" s="288"/>
      <c r="AK54" s="107"/>
    </row>
    <row r="55" spans="1:37" ht="16.5" customHeight="1" x14ac:dyDescent="0.2">
      <c r="A55" s="6"/>
      <c r="B55" s="281"/>
      <c r="C55" s="282"/>
      <c r="D55" s="286" t="s">
        <v>547</v>
      </c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287"/>
      <c r="AA55" s="287"/>
      <c r="AB55" s="287"/>
      <c r="AC55" s="287"/>
      <c r="AD55" s="287"/>
      <c r="AE55" s="287"/>
      <c r="AF55" s="287"/>
      <c r="AG55" s="287"/>
      <c r="AH55" s="287"/>
      <c r="AI55" s="287"/>
      <c r="AJ55" s="288"/>
      <c r="AK55" s="107"/>
    </row>
    <row r="56" spans="1:37" ht="16.5" customHeight="1" thickBot="1" x14ac:dyDescent="0.25">
      <c r="A56" s="6"/>
      <c r="B56" s="281"/>
      <c r="C56" s="282"/>
      <c r="D56" s="289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1"/>
      <c r="AK56" s="107"/>
    </row>
    <row r="57" spans="1:37" ht="16.5" customHeight="1" thickBot="1" x14ac:dyDescent="0.25">
      <c r="A57" s="6"/>
      <c r="B57" s="283"/>
      <c r="C57" s="285"/>
      <c r="D57" s="24" t="s">
        <v>558</v>
      </c>
      <c r="E57" s="10" t="s">
        <v>11</v>
      </c>
      <c r="F57" s="10"/>
      <c r="G57" s="10"/>
      <c r="H57" s="10"/>
      <c r="I57" s="10"/>
      <c r="J57" s="149"/>
      <c r="K57" s="10"/>
      <c r="L57" s="10"/>
      <c r="M57" s="10"/>
      <c r="N57" s="10"/>
      <c r="O57" s="10"/>
      <c r="P57" s="10"/>
      <c r="Q57" s="10"/>
      <c r="R57" s="10"/>
      <c r="S57" s="10" t="str">
        <f>'Kelas XI'!F54</f>
        <v>Wali Kelas   : EVITRI SUTANTI, S.Si</v>
      </c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58"/>
      <c r="AK57" s="6"/>
    </row>
    <row r="58" spans="1:37" ht="16.5" customHeight="1" thickBot="1" x14ac:dyDescent="0.25">
      <c r="A58" s="6"/>
      <c r="B58" s="294" t="s">
        <v>6</v>
      </c>
      <c r="C58" s="294"/>
      <c r="D58" s="295" t="s">
        <v>7</v>
      </c>
      <c r="E58" s="292" t="s">
        <v>519</v>
      </c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98"/>
      <c r="Q58" s="298"/>
      <c r="R58" s="298"/>
      <c r="S58" s="298"/>
      <c r="T58" s="298"/>
      <c r="U58" s="298"/>
      <c r="V58" s="298"/>
      <c r="W58" s="298"/>
      <c r="X58" s="298"/>
      <c r="Y58" s="298"/>
      <c r="Z58" s="298"/>
      <c r="AA58" s="298"/>
      <c r="AB58" s="298"/>
      <c r="AC58" s="298"/>
      <c r="AD58" s="298"/>
      <c r="AE58" s="298"/>
      <c r="AF58" s="298"/>
      <c r="AG58" s="298"/>
      <c r="AH58" s="298"/>
      <c r="AI58" s="298"/>
      <c r="AJ58" s="293"/>
    </row>
    <row r="59" spans="1:37" ht="16.5" customHeight="1" thickBot="1" x14ac:dyDescent="0.25">
      <c r="A59" s="6"/>
      <c r="B59" s="295" t="s">
        <v>8</v>
      </c>
      <c r="C59" s="295" t="s">
        <v>9</v>
      </c>
      <c r="D59" s="296"/>
      <c r="E59" s="292">
        <f>E8</f>
        <v>17</v>
      </c>
      <c r="F59" s="298"/>
      <c r="G59" s="292">
        <f>E59+1</f>
        <v>18</v>
      </c>
      <c r="H59" s="298"/>
      <c r="I59" s="292">
        <f t="shared" ref="I59" si="15">G59+1</f>
        <v>19</v>
      </c>
      <c r="J59" s="298"/>
      <c r="K59" s="292">
        <f t="shared" ref="K59" si="16">I59+1</f>
        <v>20</v>
      </c>
      <c r="L59" s="298"/>
      <c r="M59" s="292">
        <f t="shared" ref="M59" si="17">K59+1</f>
        <v>21</v>
      </c>
      <c r="N59" s="298"/>
      <c r="O59" s="292">
        <f t="shared" ref="O59" si="18">M59+1</f>
        <v>22</v>
      </c>
      <c r="P59" s="298"/>
      <c r="Q59" s="292">
        <f t="shared" ref="Q59" si="19">O59+1</f>
        <v>23</v>
      </c>
      <c r="R59" s="298"/>
      <c r="S59" s="292">
        <f t="shared" ref="S59" si="20">Q59+1</f>
        <v>24</v>
      </c>
      <c r="T59" s="298"/>
      <c r="U59" s="292">
        <f t="shared" ref="U59" si="21">S59+1</f>
        <v>25</v>
      </c>
      <c r="V59" s="298"/>
      <c r="W59" s="292">
        <f t="shared" ref="W59" si="22">U59+1</f>
        <v>26</v>
      </c>
      <c r="X59" s="298"/>
      <c r="Y59" s="292">
        <f t="shared" ref="Y59" si="23">W59+1</f>
        <v>27</v>
      </c>
      <c r="Z59" s="298"/>
      <c r="AA59" s="292">
        <f t="shared" ref="AA59" si="24">Y59+1</f>
        <v>28</v>
      </c>
      <c r="AB59" s="298"/>
      <c r="AC59" s="292">
        <f t="shared" ref="AC59" si="25">AA59+1</f>
        <v>29</v>
      </c>
      <c r="AD59" s="298"/>
      <c r="AE59" s="292">
        <f t="shared" ref="AE59" si="26">AC59+1</f>
        <v>30</v>
      </c>
      <c r="AF59" s="298"/>
      <c r="AG59" s="292">
        <f t="shared" ref="AG59" si="27">AE59+1</f>
        <v>31</v>
      </c>
      <c r="AH59" s="298"/>
      <c r="AI59" s="292">
        <f t="shared" ref="AI59" si="28">AG59+1</f>
        <v>32</v>
      </c>
      <c r="AJ59" s="293"/>
      <c r="AK59" s="6"/>
    </row>
    <row r="60" spans="1:37" ht="22.5" customHeight="1" thickBot="1" x14ac:dyDescent="0.25">
      <c r="A60" s="6"/>
      <c r="B60" s="297"/>
      <c r="C60" s="297"/>
      <c r="D60" s="297"/>
      <c r="E60" s="108" t="s">
        <v>13</v>
      </c>
      <c r="F60" s="108" t="s">
        <v>14</v>
      </c>
      <c r="G60" s="108" t="s">
        <v>13</v>
      </c>
      <c r="H60" s="108" t="s">
        <v>14</v>
      </c>
      <c r="I60" s="108" t="s">
        <v>13</v>
      </c>
      <c r="J60" s="108" t="s">
        <v>14</v>
      </c>
      <c r="K60" s="108" t="s">
        <v>13</v>
      </c>
      <c r="L60" s="108" t="s">
        <v>14</v>
      </c>
      <c r="M60" s="108" t="s">
        <v>13</v>
      </c>
      <c r="N60" s="108" t="s">
        <v>14</v>
      </c>
      <c r="O60" s="108" t="s">
        <v>13</v>
      </c>
      <c r="P60" s="108" t="s">
        <v>14</v>
      </c>
      <c r="Q60" s="108" t="s">
        <v>13</v>
      </c>
      <c r="R60" s="108" t="s">
        <v>14</v>
      </c>
      <c r="S60" s="108" t="s">
        <v>13</v>
      </c>
      <c r="T60" s="108" t="s">
        <v>14</v>
      </c>
      <c r="U60" s="108" t="s">
        <v>13</v>
      </c>
      <c r="V60" s="108" t="s">
        <v>14</v>
      </c>
      <c r="W60" s="108" t="s">
        <v>13</v>
      </c>
      <c r="X60" s="108" t="s">
        <v>14</v>
      </c>
      <c r="Y60" s="108" t="s">
        <v>13</v>
      </c>
      <c r="Z60" s="108" t="s">
        <v>14</v>
      </c>
      <c r="AA60" s="108" t="s">
        <v>13</v>
      </c>
      <c r="AB60" s="108" t="s">
        <v>14</v>
      </c>
      <c r="AC60" s="108" t="s">
        <v>13</v>
      </c>
      <c r="AD60" s="108" t="s">
        <v>14</v>
      </c>
      <c r="AE60" s="108" t="s">
        <v>13</v>
      </c>
      <c r="AF60" s="108" t="s">
        <v>14</v>
      </c>
      <c r="AG60" s="108" t="s">
        <v>13</v>
      </c>
      <c r="AH60" s="108" t="s">
        <v>14</v>
      </c>
      <c r="AI60" s="108" t="s">
        <v>13</v>
      </c>
      <c r="AJ60" s="252" t="s">
        <v>14</v>
      </c>
      <c r="AK60" s="6"/>
    </row>
    <row r="61" spans="1:37" ht="16.5" customHeight="1" x14ac:dyDescent="0.2">
      <c r="A61" s="6"/>
      <c r="B61" s="22">
        <v>1</v>
      </c>
      <c r="C61" s="21">
        <f>'Kelas XI'!C57</f>
        <v>16116</v>
      </c>
      <c r="D61" s="133" t="str">
        <f>'Kelas XI'!D57</f>
        <v>ACHMAD AL AQWAL FEBRIANO NAJJARSYAH</v>
      </c>
      <c r="E61" s="110"/>
      <c r="F61" s="120"/>
      <c r="G61" s="118"/>
      <c r="H61" s="141"/>
      <c r="I61" s="110"/>
      <c r="J61" s="120"/>
      <c r="K61" s="118"/>
      <c r="L61" s="141"/>
      <c r="M61" s="110"/>
      <c r="N61" s="120"/>
      <c r="O61" s="118"/>
      <c r="P61" s="141"/>
      <c r="Q61" s="118"/>
      <c r="R61" s="141"/>
      <c r="S61" s="118"/>
      <c r="T61" s="141"/>
      <c r="U61" s="118"/>
      <c r="V61" s="141"/>
      <c r="W61" s="118"/>
      <c r="X61" s="141"/>
      <c r="Y61" s="118"/>
      <c r="Z61" s="141"/>
      <c r="AA61" s="118"/>
      <c r="AB61" s="141"/>
      <c r="AC61" s="118"/>
      <c r="AD61" s="141"/>
      <c r="AE61" s="118"/>
      <c r="AF61" s="141"/>
      <c r="AG61" s="118"/>
      <c r="AH61" s="141"/>
      <c r="AI61" s="118"/>
      <c r="AJ61" s="141"/>
      <c r="AK61" s="107"/>
    </row>
    <row r="62" spans="1:37" ht="16.5" customHeight="1" x14ac:dyDescent="0.2">
      <c r="A62" s="6"/>
      <c r="B62" s="135">
        <f t="shared" ref="B62:B100" si="29">B61+1</f>
        <v>2</v>
      </c>
      <c r="C62" s="21">
        <f>'Kelas XI'!C58</f>
        <v>16117</v>
      </c>
      <c r="D62" s="159" t="str">
        <f>'Kelas XI'!D58</f>
        <v>ADHWA ENDORA</v>
      </c>
      <c r="E62" s="110"/>
      <c r="F62" s="120"/>
      <c r="G62" s="14"/>
      <c r="H62" s="142"/>
      <c r="I62" s="110"/>
      <c r="J62" s="120"/>
      <c r="K62" s="14"/>
      <c r="L62" s="142"/>
      <c r="M62" s="110"/>
      <c r="N62" s="120"/>
      <c r="O62" s="14"/>
      <c r="P62" s="142"/>
      <c r="Q62" s="14"/>
      <c r="R62" s="142"/>
      <c r="S62" s="14"/>
      <c r="T62" s="142"/>
      <c r="U62" s="14"/>
      <c r="V62" s="142"/>
      <c r="W62" s="14"/>
      <c r="X62" s="142"/>
      <c r="Y62" s="14"/>
      <c r="Z62" s="142"/>
      <c r="AA62" s="14"/>
      <c r="AB62" s="142"/>
      <c r="AC62" s="14"/>
      <c r="AD62" s="142"/>
      <c r="AE62" s="14"/>
      <c r="AF62" s="142"/>
      <c r="AG62" s="14"/>
      <c r="AH62" s="142"/>
      <c r="AI62" s="14"/>
      <c r="AJ62" s="142"/>
      <c r="AK62" s="107"/>
    </row>
    <row r="63" spans="1:37" ht="16.5" customHeight="1" x14ac:dyDescent="0.2">
      <c r="A63" s="6"/>
      <c r="B63" s="135">
        <f t="shared" si="29"/>
        <v>3</v>
      </c>
      <c r="C63" s="21">
        <f>'Kelas XI'!C59</f>
        <v>16079</v>
      </c>
      <c r="D63" s="159" t="str">
        <f>'Kelas XI'!D59</f>
        <v>AHMAD DAIROBI</v>
      </c>
      <c r="E63" s="110"/>
      <c r="F63" s="120"/>
      <c r="G63" s="14"/>
      <c r="H63" s="142"/>
      <c r="I63" s="110"/>
      <c r="J63" s="120"/>
      <c r="K63" s="14"/>
      <c r="L63" s="142"/>
      <c r="M63" s="110"/>
      <c r="N63" s="120"/>
      <c r="O63" s="14"/>
      <c r="P63" s="142"/>
      <c r="Q63" s="14"/>
      <c r="R63" s="142"/>
      <c r="S63" s="14"/>
      <c r="T63" s="142"/>
      <c r="U63" s="14"/>
      <c r="V63" s="142"/>
      <c r="W63" s="14"/>
      <c r="X63" s="142"/>
      <c r="Y63" s="14"/>
      <c r="Z63" s="142"/>
      <c r="AA63" s="14"/>
      <c r="AB63" s="142"/>
      <c r="AC63" s="14"/>
      <c r="AD63" s="142"/>
      <c r="AE63" s="14"/>
      <c r="AF63" s="142"/>
      <c r="AG63" s="14"/>
      <c r="AH63" s="142"/>
      <c r="AI63" s="14"/>
      <c r="AJ63" s="142"/>
      <c r="AK63" s="107"/>
    </row>
    <row r="64" spans="1:37" ht="16.5" customHeight="1" x14ac:dyDescent="0.2">
      <c r="B64" s="135">
        <f t="shared" si="29"/>
        <v>4</v>
      </c>
      <c r="C64" s="21">
        <f>'Kelas XI'!C60</f>
        <v>16224</v>
      </c>
      <c r="D64" s="159" t="str">
        <f>'Kelas XI'!D60</f>
        <v>AHMAD FAQIH MUHAJIR</v>
      </c>
      <c r="E64" s="110"/>
      <c r="F64" s="120"/>
      <c r="G64" s="14"/>
      <c r="H64" s="142"/>
      <c r="I64" s="110"/>
      <c r="J64" s="120"/>
      <c r="K64" s="14"/>
      <c r="L64" s="142"/>
      <c r="M64" s="110"/>
      <c r="N64" s="120"/>
      <c r="O64" s="14"/>
      <c r="P64" s="142"/>
      <c r="Q64" s="14"/>
      <c r="R64" s="142"/>
      <c r="S64" s="14"/>
      <c r="T64" s="142"/>
      <c r="U64" s="14"/>
      <c r="V64" s="142"/>
      <c r="W64" s="14"/>
      <c r="X64" s="142"/>
      <c r="Y64" s="14"/>
      <c r="Z64" s="142"/>
      <c r="AA64" s="14"/>
      <c r="AB64" s="142"/>
      <c r="AC64" s="14"/>
      <c r="AD64" s="142"/>
      <c r="AE64" s="14"/>
      <c r="AF64" s="142"/>
      <c r="AG64" s="14"/>
      <c r="AH64" s="142"/>
      <c r="AI64" s="14"/>
      <c r="AJ64" s="142"/>
      <c r="AK64" s="107"/>
    </row>
    <row r="65" spans="1:37" ht="16.5" customHeight="1" x14ac:dyDescent="0.2">
      <c r="A65" s="6"/>
      <c r="B65" s="135">
        <f t="shared" si="29"/>
        <v>5</v>
      </c>
      <c r="C65" s="21">
        <f>'Kelas XI'!C61</f>
        <v>16153</v>
      </c>
      <c r="D65" s="159" t="str">
        <f>'Kelas XI'!D61</f>
        <v>AHMAD KHOIRUN ALI NABIL</v>
      </c>
      <c r="E65" s="110"/>
      <c r="F65" s="120"/>
      <c r="G65" s="14"/>
      <c r="H65" s="142"/>
      <c r="I65" s="110"/>
      <c r="J65" s="120"/>
      <c r="K65" s="14"/>
      <c r="L65" s="142"/>
      <c r="M65" s="110"/>
      <c r="N65" s="120"/>
      <c r="O65" s="14"/>
      <c r="P65" s="142"/>
      <c r="Q65" s="14"/>
      <c r="R65" s="142"/>
      <c r="S65" s="14"/>
      <c r="T65" s="142"/>
      <c r="U65" s="14"/>
      <c r="V65" s="142"/>
      <c r="W65" s="14"/>
      <c r="X65" s="142"/>
      <c r="Y65" s="14"/>
      <c r="Z65" s="142"/>
      <c r="AA65" s="14"/>
      <c r="AB65" s="142"/>
      <c r="AC65" s="14"/>
      <c r="AD65" s="142"/>
      <c r="AE65" s="14"/>
      <c r="AF65" s="142"/>
      <c r="AG65" s="14"/>
      <c r="AH65" s="142"/>
      <c r="AI65" s="14"/>
      <c r="AJ65" s="142"/>
      <c r="AK65" s="107"/>
    </row>
    <row r="66" spans="1:37" ht="16.5" customHeight="1" x14ac:dyDescent="0.2">
      <c r="A66" s="6"/>
      <c r="B66" s="135">
        <f t="shared" si="29"/>
        <v>6</v>
      </c>
      <c r="C66" s="21">
        <f>'Kelas XI'!C62</f>
        <v>16082</v>
      </c>
      <c r="D66" s="159" t="str">
        <f>'Kelas XI'!D62</f>
        <v>AL MULTAZAM YAHYA MUNDHORY</v>
      </c>
      <c r="E66" s="110"/>
      <c r="F66" s="120"/>
      <c r="G66" s="14"/>
      <c r="H66" s="142"/>
      <c r="I66" s="110"/>
      <c r="J66" s="120"/>
      <c r="K66" s="14"/>
      <c r="L66" s="142"/>
      <c r="M66" s="110"/>
      <c r="N66" s="120"/>
      <c r="O66" s="14"/>
      <c r="P66" s="142"/>
      <c r="Q66" s="14"/>
      <c r="R66" s="142"/>
      <c r="S66" s="14"/>
      <c r="T66" s="142"/>
      <c r="U66" s="14"/>
      <c r="V66" s="142"/>
      <c r="W66" s="14"/>
      <c r="X66" s="142"/>
      <c r="Y66" s="14"/>
      <c r="Z66" s="142"/>
      <c r="AA66" s="14"/>
      <c r="AB66" s="142"/>
      <c r="AC66" s="14"/>
      <c r="AD66" s="142"/>
      <c r="AE66" s="14"/>
      <c r="AF66" s="142"/>
      <c r="AG66" s="14"/>
      <c r="AH66" s="142"/>
      <c r="AI66" s="14"/>
      <c r="AJ66" s="142"/>
      <c r="AK66" s="107"/>
    </row>
    <row r="67" spans="1:37" ht="16.5" customHeight="1" x14ac:dyDescent="0.2">
      <c r="A67" s="6"/>
      <c r="B67" s="135">
        <f t="shared" si="29"/>
        <v>7</v>
      </c>
      <c r="C67" s="21">
        <f>'Kelas XI'!C63</f>
        <v>16154</v>
      </c>
      <c r="D67" s="159" t="str">
        <f>'Kelas XI'!D63</f>
        <v>ARYO IMRON FAROQ</v>
      </c>
      <c r="E67" s="110"/>
      <c r="F67" s="120"/>
      <c r="G67" s="14"/>
      <c r="H67" s="142"/>
      <c r="I67" s="110"/>
      <c r="J67" s="120"/>
      <c r="K67" s="14"/>
      <c r="L67" s="142"/>
      <c r="M67" s="110"/>
      <c r="N67" s="120"/>
      <c r="O67" s="14"/>
      <c r="P67" s="142"/>
      <c r="Q67" s="14"/>
      <c r="R67" s="142"/>
      <c r="S67" s="14"/>
      <c r="T67" s="142"/>
      <c r="U67" s="14"/>
      <c r="V67" s="142"/>
      <c r="W67" s="14"/>
      <c r="X67" s="142"/>
      <c r="Y67" s="14"/>
      <c r="Z67" s="142"/>
      <c r="AA67" s="14"/>
      <c r="AB67" s="142"/>
      <c r="AC67" s="14"/>
      <c r="AD67" s="142"/>
      <c r="AE67" s="14"/>
      <c r="AF67" s="142"/>
      <c r="AG67" s="14"/>
      <c r="AH67" s="142"/>
      <c r="AI67" s="14"/>
      <c r="AJ67" s="142"/>
      <c r="AK67" s="107"/>
    </row>
    <row r="68" spans="1:37" ht="16.5" customHeight="1" x14ac:dyDescent="0.2">
      <c r="A68" s="6"/>
      <c r="B68" s="135">
        <f t="shared" si="29"/>
        <v>8</v>
      </c>
      <c r="C68" s="21">
        <f>'Kelas XI'!C64</f>
        <v>16382</v>
      </c>
      <c r="D68" s="159" t="str">
        <f>'Kelas XI'!D64</f>
        <v>AYDIN ABQARI IKHSAN</v>
      </c>
      <c r="E68" s="110"/>
      <c r="F68" s="120"/>
      <c r="G68" s="14"/>
      <c r="H68" s="142"/>
      <c r="I68" s="110"/>
      <c r="J68" s="120"/>
      <c r="K68" s="14"/>
      <c r="L68" s="142"/>
      <c r="M68" s="110"/>
      <c r="N68" s="120"/>
      <c r="O68" s="14"/>
      <c r="P68" s="142"/>
      <c r="Q68" s="14"/>
      <c r="R68" s="142"/>
      <c r="S68" s="14"/>
      <c r="T68" s="142"/>
      <c r="U68" s="14"/>
      <c r="V68" s="142"/>
      <c r="W68" s="14"/>
      <c r="X68" s="142"/>
      <c r="Y68" s="14"/>
      <c r="Z68" s="142"/>
      <c r="AA68" s="14"/>
      <c r="AB68" s="142"/>
      <c r="AC68" s="14"/>
      <c r="AD68" s="142"/>
      <c r="AE68" s="14"/>
      <c r="AF68" s="142"/>
      <c r="AG68" s="14"/>
      <c r="AH68" s="142"/>
      <c r="AI68" s="14"/>
      <c r="AJ68" s="142"/>
      <c r="AK68" s="107"/>
    </row>
    <row r="69" spans="1:37" ht="16.5" customHeight="1" x14ac:dyDescent="0.2">
      <c r="A69" s="6"/>
      <c r="B69" s="135">
        <f t="shared" si="29"/>
        <v>9</v>
      </c>
      <c r="C69" s="21">
        <f>'Kelas XI'!C65</f>
        <v>16125</v>
      </c>
      <c r="D69" s="159" t="str">
        <f>'Kelas XI'!D65</f>
        <v>BAGAS KAMIL KHAIRAN</v>
      </c>
      <c r="E69" s="110"/>
      <c r="F69" s="120"/>
      <c r="G69" s="14"/>
      <c r="H69" s="142"/>
      <c r="I69" s="110"/>
      <c r="J69" s="120"/>
      <c r="K69" s="14"/>
      <c r="L69" s="142"/>
      <c r="M69" s="110"/>
      <c r="N69" s="120"/>
      <c r="O69" s="14"/>
      <c r="P69" s="142"/>
      <c r="Q69" s="14"/>
      <c r="R69" s="142"/>
      <c r="S69" s="14"/>
      <c r="T69" s="142"/>
      <c r="U69" s="14"/>
      <c r="V69" s="142"/>
      <c r="W69" s="14"/>
      <c r="X69" s="142"/>
      <c r="Y69" s="14"/>
      <c r="Z69" s="142"/>
      <c r="AA69" s="14"/>
      <c r="AB69" s="142"/>
      <c r="AC69" s="14"/>
      <c r="AD69" s="142"/>
      <c r="AE69" s="14"/>
      <c r="AF69" s="142"/>
      <c r="AG69" s="14"/>
      <c r="AH69" s="142"/>
      <c r="AI69" s="14"/>
      <c r="AJ69" s="142"/>
      <c r="AK69" s="107"/>
    </row>
    <row r="70" spans="1:37" ht="16.5" customHeight="1" x14ac:dyDescent="0.2">
      <c r="A70" s="6"/>
      <c r="B70" s="135">
        <f t="shared" si="29"/>
        <v>10</v>
      </c>
      <c r="C70" s="21">
        <f>'Kelas XI'!C66</f>
        <v>16156</v>
      </c>
      <c r="D70" s="159" t="str">
        <f>'Kelas XI'!D66</f>
        <v>DERAHID TRI WICAKSONO</v>
      </c>
      <c r="E70" s="110"/>
      <c r="F70" s="120"/>
      <c r="G70" s="14"/>
      <c r="H70" s="142"/>
      <c r="I70" s="110"/>
      <c r="J70" s="120"/>
      <c r="K70" s="14"/>
      <c r="L70" s="142"/>
      <c r="M70" s="110"/>
      <c r="N70" s="120"/>
      <c r="O70" s="14"/>
      <c r="P70" s="142"/>
      <c r="Q70" s="14"/>
      <c r="R70" s="142"/>
      <c r="S70" s="14"/>
      <c r="T70" s="142"/>
      <c r="U70" s="14"/>
      <c r="V70" s="142"/>
      <c r="W70" s="14"/>
      <c r="X70" s="142"/>
      <c r="Y70" s="14"/>
      <c r="Z70" s="142"/>
      <c r="AA70" s="14"/>
      <c r="AB70" s="142"/>
      <c r="AC70" s="14"/>
      <c r="AD70" s="142"/>
      <c r="AE70" s="14"/>
      <c r="AF70" s="142"/>
      <c r="AG70" s="14"/>
      <c r="AH70" s="142"/>
      <c r="AI70" s="14"/>
      <c r="AJ70" s="142"/>
      <c r="AK70" s="107"/>
    </row>
    <row r="71" spans="1:37" ht="16.5" customHeight="1" x14ac:dyDescent="0.2">
      <c r="A71" s="6"/>
      <c r="B71" s="135">
        <f t="shared" si="29"/>
        <v>11</v>
      </c>
      <c r="C71" s="21">
        <f>'Kelas XI'!C67</f>
        <v>16129</v>
      </c>
      <c r="D71" s="159" t="str">
        <f>'Kelas XI'!D67</f>
        <v>DIMAS FAHDIANSYAH</v>
      </c>
      <c r="E71" s="110"/>
      <c r="F71" s="120"/>
      <c r="G71" s="14"/>
      <c r="H71" s="142"/>
      <c r="I71" s="110"/>
      <c r="J71" s="120"/>
      <c r="K71" s="14"/>
      <c r="L71" s="142"/>
      <c r="M71" s="110"/>
      <c r="N71" s="120"/>
      <c r="O71" s="14"/>
      <c r="P71" s="142"/>
      <c r="Q71" s="14"/>
      <c r="R71" s="142"/>
      <c r="S71" s="14"/>
      <c r="T71" s="142"/>
      <c r="U71" s="14"/>
      <c r="V71" s="142"/>
      <c r="W71" s="14"/>
      <c r="X71" s="142"/>
      <c r="Y71" s="14"/>
      <c r="Z71" s="142"/>
      <c r="AA71" s="14"/>
      <c r="AB71" s="142"/>
      <c r="AC71" s="14"/>
      <c r="AD71" s="142"/>
      <c r="AE71" s="14"/>
      <c r="AF71" s="142"/>
      <c r="AG71" s="14"/>
      <c r="AH71" s="142"/>
      <c r="AI71" s="14"/>
      <c r="AJ71" s="142"/>
      <c r="AK71" s="107"/>
    </row>
    <row r="72" spans="1:37" ht="16.5" customHeight="1" x14ac:dyDescent="0.2">
      <c r="A72" s="6"/>
      <c r="B72" s="135">
        <f t="shared" si="29"/>
        <v>12</v>
      </c>
      <c r="C72" s="21">
        <f>'Kelas XI'!C68</f>
        <v>16159</v>
      </c>
      <c r="D72" s="159" t="str">
        <f>'Kelas XI'!D68</f>
        <v>FAIZAL AINURROFIQ 'IRFANY</v>
      </c>
      <c r="E72" s="110"/>
      <c r="F72" s="120"/>
      <c r="G72" s="14"/>
      <c r="H72" s="142"/>
      <c r="I72" s="110"/>
      <c r="J72" s="120"/>
      <c r="K72" s="14"/>
      <c r="L72" s="142"/>
      <c r="M72" s="110"/>
      <c r="N72" s="120"/>
      <c r="O72" s="14"/>
      <c r="P72" s="142"/>
      <c r="Q72" s="14"/>
      <c r="R72" s="142"/>
      <c r="S72" s="14"/>
      <c r="T72" s="142"/>
      <c r="U72" s="14"/>
      <c r="V72" s="142"/>
      <c r="W72" s="14"/>
      <c r="X72" s="142"/>
      <c r="Y72" s="14"/>
      <c r="Z72" s="142"/>
      <c r="AA72" s="14"/>
      <c r="AB72" s="142"/>
      <c r="AC72" s="14"/>
      <c r="AD72" s="142"/>
      <c r="AE72" s="14"/>
      <c r="AF72" s="142"/>
      <c r="AG72" s="14"/>
      <c r="AH72" s="142"/>
      <c r="AI72" s="14"/>
      <c r="AJ72" s="142"/>
      <c r="AK72" s="107"/>
    </row>
    <row r="73" spans="1:37" ht="16.5" customHeight="1" x14ac:dyDescent="0.2">
      <c r="A73" s="6"/>
      <c r="B73" s="135">
        <f t="shared" si="29"/>
        <v>13</v>
      </c>
      <c r="C73" s="21">
        <f>'Kelas XI'!C69</f>
        <v>16160</v>
      </c>
      <c r="D73" s="159" t="str">
        <f>'Kelas XI'!D69</f>
        <v>FARHAN FAJRUL MUNAWAR</v>
      </c>
      <c r="E73" s="110"/>
      <c r="F73" s="120"/>
      <c r="G73" s="14"/>
      <c r="H73" s="142"/>
      <c r="I73" s="110"/>
      <c r="J73" s="120"/>
      <c r="K73" s="14"/>
      <c r="L73" s="142"/>
      <c r="M73" s="110"/>
      <c r="N73" s="120"/>
      <c r="O73" s="14"/>
      <c r="P73" s="142"/>
      <c r="Q73" s="14"/>
      <c r="R73" s="142"/>
      <c r="S73" s="14"/>
      <c r="T73" s="142"/>
      <c r="U73" s="14"/>
      <c r="V73" s="142"/>
      <c r="W73" s="14"/>
      <c r="X73" s="142"/>
      <c r="Y73" s="14"/>
      <c r="Z73" s="142"/>
      <c r="AA73" s="14"/>
      <c r="AB73" s="142"/>
      <c r="AC73" s="14"/>
      <c r="AD73" s="142"/>
      <c r="AE73" s="14"/>
      <c r="AF73" s="142"/>
      <c r="AG73" s="14"/>
      <c r="AH73" s="142"/>
      <c r="AI73" s="14"/>
      <c r="AJ73" s="142"/>
      <c r="AK73" s="107"/>
    </row>
    <row r="74" spans="1:37" ht="16.5" customHeight="1" x14ac:dyDescent="0.2">
      <c r="A74" s="6"/>
      <c r="B74" s="135">
        <f t="shared" si="29"/>
        <v>14</v>
      </c>
      <c r="C74" s="21">
        <f>'Kelas XI'!C70</f>
        <v>16091</v>
      </c>
      <c r="D74" s="159" t="str">
        <f>'Kelas XI'!D70</f>
        <v>FARROS ARKAN XAVIER FADLI</v>
      </c>
      <c r="E74" s="110"/>
      <c r="F74" s="120"/>
      <c r="G74" s="14"/>
      <c r="H74" s="142"/>
      <c r="I74" s="110"/>
      <c r="J74" s="120"/>
      <c r="K74" s="14"/>
      <c r="L74" s="142"/>
      <c r="M74" s="110"/>
      <c r="N74" s="120"/>
      <c r="O74" s="14"/>
      <c r="P74" s="142"/>
      <c r="Q74" s="14"/>
      <c r="R74" s="142"/>
      <c r="S74" s="14"/>
      <c r="T74" s="142"/>
      <c r="U74" s="14"/>
      <c r="V74" s="142"/>
      <c r="W74" s="14"/>
      <c r="X74" s="142"/>
      <c r="Y74" s="14"/>
      <c r="Z74" s="142"/>
      <c r="AA74" s="14"/>
      <c r="AB74" s="142"/>
      <c r="AC74" s="14"/>
      <c r="AD74" s="142"/>
      <c r="AE74" s="14"/>
      <c r="AF74" s="142"/>
      <c r="AG74" s="14"/>
      <c r="AH74" s="142"/>
      <c r="AI74" s="14"/>
      <c r="AJ74" s="142"/>
      <c r="AK74" s="107"/>
    </row>
    <row r="75" spans="1:37" ht="16.5" customHeight="1" x14ac:dyDescent="0.2">
      <c r="A75" s="6"/>
      <c r="B75" s="135">
        <f t="shared" si="29"/>
        <v>15</v>
      </c>
      <c r="C75" s="21">
        <f>'Kelas XI'!C71</f>
        <v>16096</v>
      </c>
      <c r="D75" s="159" t="str">
        <f>'Kelas XI'!D71</f>
        <v>IMAM HAKIKI</v>
      </c>
      <c r="E75" s="110"/>
      <c r="F75" s="120"/>
      <c r="G75" s="14"/>
      <c r="H75" s="142"/>
      <c r="I75" s="110"/>
      <c r="J75" s="120"/>
      <c r="K75" s="14"/>
      <c r="L75" s="142"/>
      <c r="M75" s="110"/>
      <c r="N75" s="120"/>
      <c r="O75" s="14"/>
      <c r="P75" s="142"/>
      <c r="Q75" s="14"/>
      <c r="R75" s="142"/>
      <c r="S75" s="14"/>
      <c r="T75" s="142"/>
      <c r="U75" s="14"/>
      <c r="V75" s="142"/>
      <c r="W75" s="14"/>
      <c r="X75" s="142"/>
      <c r="Y75" s="14"/>
      <c r="Z75" s="142"/>
      <c r="AA75" s="14"/>
      <c r="AB75" s="142"/>
      <c r="AC75" s="14"/>
      <c r="AD75" s="142"/>
      <c r="AE75" s="14"/>
      <c r="AF75" s="142"/>
      <c r="AG75" s="14"/>
      <c r="AH75" s="142"/>
      <c r="AI75" s="14"/>
      <c r="AJ75" s="142"/>
      <c r="AK75" s="107"/>
    </row>
    <row r="76" spans="1:37" ht="16.5" customHeight="1" x14ac:dyDescent="0.2">
      <c r="A76" s="6"/>
      <c r="B76" s="135">
        <f t="shared" si="29"/>
        <v>16</v>
      </c>
      <c r="C76" s="21">
        <f>'Kelas XI'!C72</f>
        <v>16132</v>
      </c>
      <c r="D76" s="159" t="str">
        <f>'Kelas XI'!D72</f>
        <v>ISHLAH ZAIDI</v>
      </c>
      <c r="E76" s="110"/>
      <c r="F76" s="120"/>
      <c r="G76" s="14"/>
      <c r="H76" s="142"/>
      <c r="I76" s="110"/>
      <c r="J76" s="120"/>
      <c r="K76" s="14"/>
      <c r="L76" s="142"/>
      <c r="M76" s="110"/>
      <c r="N76" s="120"/>
      <c r="O76" s="14"/>
      <c r="P76" s="142"/>
      <c r="Q76" s="14"/>
      <c r="R76" s="142"/>
      <c r="S76" s="14"/>
      <c r="T76" s="142"/>
      <c r="U76" s="14"/>
      <c r="V76" s="142"/>
      <c r="W76" s="14"/>
      <c r="X76" s="142"/>
      <c r="Y76" s="14"/>
      <c r="Z76" s="142"/>
      <c r="AA76" s="14"/>
      <c r="AB76" s="142"/>
      <c r="AC76" s="14"/>
      <c r="AD76" s="142"/>
      <c r="AE76" s="14"/>
      <c r="AF76" s="142"/>
      <c r="AG76" s="14"/>
      <c r="AH76" s="142"/>
      <c r="AI76" s="14"/>
      <c r="AJ76" s="142"/>
      <c r="AK76" s="107"/>
    </row>
    <row r="77" spans="1:37" ht="16.5" customHeight="1" x14ac:dyDescent="0.2">
      <c r="A77" s="6"/>
      <c r="B77" s="135">
        <f t="shared" si="29"/>
        <v>17</v>
      </c>
      <c r="C77" s="21">
        <f>'Kelas XI'!C73</f>
        <v>16167</v>
      </c>
      <c r="D77" s="159" t="str">
        <f>'Kelas XI'!D73</f>
        <v>JAZMI NAUFAL ZHAFIR</v>
      </c>
      <c r="E77" s="110"/>
      <c r="F77" s="120"/>
      <c r="G77" s="14"/>
      <c r="H77" s="142"/>
      <c r="I77" s="110"/>
      <c r="J77" s="120"/>
      <c r="K77" s="14"/>
      <c r="L77" s="142"/>
      <c r="M77" s="110"/>
      <c r="N77" s="120"/>
      <c r="O77" s="14"/>
      <c r="P77" s="142"/>
      <c r="Q77" s="14"/>
      <c r="R77" s="142"/>
      <c r="S77" s="14"/>
      <c r="T77" s="142"/>
      <c r="U77" s="14"/>
      <c r="V77" s="142"/>
      <c r="W77" s="14"/>
      <c r="X77" s="142"/>
      <c r="Y77" s="14"/>
      <c r="Z77" s="142"/>
      <c r="AA77" s="14"/>
      <c r="AB77" s="142"/>
      <c r="AC77" s="14"/>
      <c r="AD77" s="142"/>
      <c r="AE77" s="14"/>
      <c r="AF77" s="142"/>
      <c r="AG77" s="14"/>
      <c r="AH77" s="142"/>
      <c r="AI77" s="14"/>
      <c r="AJ77" s="142"/>
      <c r="AK77" s="107"/>
    </row>
    <row r="78" spans="1:37" ht="16.5" customHeight="1" x14ac:dyDescent="0.2">
      <c r="A78" s="6"/>
      <c r="B78" s="135">
        <f t="shared" si="29"/>
        <v>18</v>
      </c>
      <c r="C78" s="21">
        <f>'Kelas XI'!C74</f>
        <v>16235</v>
      </c>
      <c r="D78" s="159" t="str">
        <f>'Kelas XI'!D74</f>
        <v>JOSHUA RIZQI RAHMAT</v>
      </c>
      <c r="E78" s="110"/>
      <c r="F78" s="120"/>
      <c r="G78" s="14"/>
      <c r="H78" s="142"/>
      <c r="I78" s="110"/>
      <c r="J78" s="120"/>
      <c r="K78" s="14"/>
      <c r="L78" s="142"/>
      <c r="M78" s="110"/>
      <c r="N78" s="120"/>
      <c r="O78" s="14"/>
      <c r="P78" s="142"/>
      <c r="Q78" s="14"/>
      <c r="R78" s="142"/>
      <c r="S78" s="14"/>
      <c r="T78" s="142"/>
      <c r="U78" s="14"/>
      <c r="V78" s="142"/>
      <c r="W78" s="14"/>
      <c r="X78" s="142"/>
      <c r="Y78" s="14"/>
      <c r="Z78" s="142"/>
      <c r="AA78" s="14"/>
      <c r="AB78" s="142"/>
      <c r="AC78" s="14"/>
      <c r="AD78" s="142"/>
      <c r="AE78" s="14"/>
      <c r="AF78" s="142"/>
      <c r="AG78" s="14"/>
      <c r="AH78" s="142"/>
      <c r="AI78" s="14"/>
      <c r="AJ78" s="142"/>
      <c r="AK78" s="107"/>
    </row>
    <row r="79" spans="1:37" ht="16.5" customHeight="1" x14ac:dyDescent="0.2">
      <c r="A79" s="6"/>
      <c r="B79" s="135">
        <f t="shared" si="29"/>
        <v>19</v>
      </c>
      <c r="C79" s="21">
        <f>'Kelas XI'!C75</f>
        <v>16169</v>
      </c>
      <c r="D79" s="159" t="str">
        <f>'Kelas XI'!D75</f>
        <v>MAHDIVIEKA AHMAD JZAYDON IRWAN JUNIOR</v>
      </c>
      <c r="E79" s="110"/>
      <c r="F79" s="120"/>
      <c r="G79" s="14"/>
      <c r="H79" s="142"/>
      <c r="I79" s="110"/>
      <c r="J79" s="120"/>
      <c r="K79" s="14"/>
      <c r="L79" s="142"/>
      <c r="M79" s="110"/>
      <c r="N79" s="120"/>
      <c r="O79" s="14"/>
      <c r="P79" s="142"/>
      <c r="Q79" s="14"/>
      <c r="R79" s="142"/>
      <c r="S79" s="14"/>
      <c r="T79" s="142"/>
      <c r="U79" s="14"/>
      <c r="V79" s="142"/>
      <c r="W79" s="14"/>
      <c r="X79" s="142"/>
      <c r="Y79" s="14"/>
      <c r="Z79" s="142"/>
      <c r="AA79" s="14"/>
      <c r="AB79" s="142"/>
      <c r="AC79" s="14"/>
      <c r="AD79" s="142"/>
      <c r="AE79" s="14"/>
      <c r="AF79" s="142"/>
      <c r="AG79" s="14"/>
      <c r="AH79" s="142"/>
      <c r="AI79" s="14"/>
      <c r="AJ79" s="142"/>
      <c r="AK79" s="107"/>
    </row>
    <row r="80" spans="1:37" ht="16.5" customHeight="1" x14ac:dyDescent="0.2">
      <c r="A80" s="6"/>
      <c r="B80" s="135">
        <f t="shared" si="29"/>
        <v>20</v>
      </c>
      <c r="C80" s="21">
        <f>'Kelas XI'!C76</f>
        <v>16099</v>
      </c>
      <c r="D80" s="159" t="str">
        <f>'Kelas XI'!D76</f>
        <v>MAULANA MARZUQ RIDWANUSSALAM</v>
      </c>
      <c r="E80" s="110"/>
      <c r="F80" s="120"/>
      <c r="G80" s="14"/>
      <c r="H80" s="142"/>
      <c r="I80" s="110"/>
      <c r="J80" s="120"/>
      <c r="K80" s="14"/>
      <c r="L80" s="142"/>
      <c r="M80" s="110"/>
      <c r="N80" s="120"/>
      <c r="O80" s="14"/>
      <c r="P80" s="142"/>
      <c r="Q80" s="14"/>
      <c r="R80" s="142"/>
      <c r="S80" s="14"/>
      <c r="T80" s="142"/>
      <c r="U80" s="14"/>
      <c r="V80" s="142"/>
      <c r="W80" s="14"/>
      <c r="X80" s="142"/>
      <c r="Y80" s="14"/>
      <c r="Z80" s="142"/>
      <c r="AA80" s="14"/>
      <c r="AB80" s="142"/>
      <c r="AC80" s="14"/>
      <c r="AD80" s="142"/>
      <c r="AE80" s="14"/>
      <c r="AF80" s="142"/>
      <c r="AG80" s="14"/>
      <c r="AH80" s="142"/>
      <c r="AI80" s="14"/>
      <c r="AJ80" s="142"/>
      <c r="AK80" s="107"/>
    </row>
    <row r="81" spans="1:37" ht="16.5" customHeight="1" x14ac:dyDescent="0.2">
      <c r="A81" s="6"/>
      <c r="B81" s="135">
        <f t="shared" si="29"/>
        <v>21</v>
      </c>
      <c r="C81" s="21">
        <f>'Kelas XI'!C77</f>
        <v>16205</v>
      </c>
      <c r="D81" s="159" t="str">
        <f>'Kelas XI'!D77</f>
        <v>MOH. ILHAM CAHYO NEGORO</v>
      </c>
      <c r="E81" s="110"/>
      <c r="F81" s="120"/>
      <c r="G81" s="14"/>
      <c r="H81" s="142"/>
      <c r="I81" s="110"/>
      <c r="J81" s="120"/>
      <c r="K81" s="14"/>
      <c r="L81" s="142"/>
      <c r="M81" s="110"/>
      <c r="N81" s="120"/>
      <c r="O81" s="14"/>
      <c r="P81" s="142"/>
      <c r="Q81" s="14"/>
      <c r="R81" s="142"/>
      <c r="S81" s="14"/>
      <c r="T81" s="142"/>
      <c r="U81" s="14"/>
      <c r="V81" s="142"/>
      <c r="W81" s="14"/>
      <c r="X81" s="142"/>
      <c r="Y81" s="14"/>
      <c r="Z81" s="142"/>
      <c r="AA81" s="14"/>
      <c r="AB81" s="142"/>
      <c r="AC81" s="14"/>
      <c r="AD81" s="142"/>
      <c r="AE81" s="14"/>
      <c r="AF81" s="142"/>
      <c r="AG81" s="14"/>
      <c r="AH81" s="142"/>
      <c r="AI81" s="14"/>
      <c r="AJ81" s="142"/>
      <c r="AK81" s="107"/>
    </row>
    <row r="82" spans="1:37" ht="16.5" customHeight="1" x14ac:dyDescent="0.2">
      <c r="A82" s="6"/>
      <c r="B82" s="135">
        <f t="shared" si="29"/>
        <v>22</v>
      </c>
      <c r="C82" s="21">
        <f>'Kelas XI'!C78</f>
        <v>16240</v>
      </c>
      <c r="D82" s="159" t="str">
        <f>'Kelas XI'!D78</f>
        <v>MOHAMMAD FACHRI AFANDI</v>
      </c>
      <c r="E82" s="110"/>
      <c r="F82" s="120"/>
      <c r="G82" s="14"/>
      <c r="H82" s="142"/>
      <c r="I82" s="110"/>
      <c r="J82" s="120"/>
      <c r="K82" s="14"/>
      <c r="L82" s="142"/>
      <c r="M82" s="110"/>
      <c r="N82" s="120"/>
      <c r="O82" s="14"/>
      <c r="P82" s="142"/>
      <c r="Q82" s="14"/>
      <c r="R82" s="142"/>
      <c r="S82" s="14"/>
      <c r="T82" s="142"/>
      <c r="U82" s="14"/>
      <c r="V82" s="142"/>
      <c r="W82" s="14"/>
      <c r="X82" s="142"/>
      <c r="Y82" s="14"/>
      <c r="Z82" s="142"/>
      <c r="AA82" s="14"/>
      <c r="AB82" s="142"/>
      <c r="AC82" s="14"/>
      <c r="AD82" s="142"/>
      <c r="AE82" s="14"/>
      <c r="AF82" s="142"/>
      <c r="AG82" s="14"/>
      <c r="AH82" s="142"/>
      <c r="AI82" s="14"/>
      <c r="AJ82" s="142"/>
      <c r="AK82" s="107"/>
    </row>
    <row r="83" spans="1:37" ht="16.5" customHeight="1" x14ac:dyDescent="0.2">
      <c r="A83" s="6"/>
      <c r="B83" s="135">
        <f t="shared" si="29"/>
        <v>23</v>
      </c>
      <c r="C83" s="21">
        <f>'Kelas XI'!C79</f>
        <v>16140</v>
      </c>
      <c r="D83" s="159" t="str">
        <f>'Kelas XI'!D79</f>
        <v>MUHAMMAD CHAIDARIL KAFABIHI</v>
      </c>
      <c r="E83" s="110"/>
      <c r="F83" s="120"/>
      <c r="G83" s="14"/>
      <c r="H83" s="142"/>
      <c r="I83" s="110"/>
      <c r="J83" s="120"/>
      <c r="K83" s="14"/>
      <c r="L83" s="142"/>
      <c r="M83" s="110"/>
      <c r="N83" s="120"/>
      <c r="O83" s="14"/>
      <c r="P83" s="142"/>
      <c r="Q83" s="14"/>
      <c r="R83" s="142"/>
      <c r="S83" s="14"/>
      <c r="T83" s="142"/>
      <c r="U83" s="14"/>
      <c r="V83" s="142"/>
      <c r="W83" s="14"/>
      <c r="X83" s="142"/>
      <c r="Y83" s="14"/>
      <c r="Z83" s="142"/>
      <c r="AA83" s="14"/>
      <c r="AB83" s="142"/>
      <c r="AC83" s="14"/>
      <c r="AD83" s="142"/>
      <c r="AE83" s="14"/>
      <c r="AF83" s="142"/>
      <c r="AG83" s="14"/>
      <c r="AH83" s="142"/>
      <c r="AI83" s="14"/>
      <c r="AJ83" s="142"/>
      <c r="AK83" s="107"/>
    </row>
    <row r="84" spans="1:37" ht="16.5" customHeight="1" x14ac:dyDescent="0.2">
      <c r="A84" s="6"/>
      <c r="B84" s="135">
        <f t="shared" si="29"/>
        <v>24</v>
      </c>
      <c r="C84" s="21">
        <f>'Kelas XI'!C80</f>
        <v>16176</v>
      </c>
      <c r="D84" s="159" t="str">
        <f>'Kelas XI'!D80</f>
        <v>MUHAMMAD FAHRI SUDRAJAT</v>
      </c>
      <c r="E84" s="110"/>
      <c r="F84" s="120"/>
      <c r="G84" s="14"/>
      <c r="H84" s="142"/>
      <c r="I84" s="110"/>
      <c r="J84" s="120"/>
      <c r="K84" s="14"/>
      <c r="L84" s="142"/>
      <c r="M84" s="110"/>
      <c r="N84" s="120"/>
      <c r="O84" s="14"/>
      <c r="P84" s="142"/>
      <c r="Q84" s="14"/>
      <c r="R84" s="142"/>
      <c r="S84" s="14"/>
      <c r="T84" s="142"/>
      <c r="U84" s="14"/>
      <c r="V84" s="142"/>
      <c r="W84" s="14"/>
      <c r="X84" s="142"/>
      <c r="Y84" s="14"/>
      <c r="Z84" s="142"/>
      <c r="AA84" s="14"/>
      <c r="AB84" s="142"/>
      <c r="AC84" s="14"/>
      <c r="AD84" s="142"/>
      <c r="AE84" s="14"/>
      <c r="AF84" s="142"/>
      <c r="AG84" s="14"/>
      <c r="AH84" s="142"/>
      <c r="AI84" s="14"/>
      <c r="AJ84" s="142"/>
      <c r="AK84" s="107"/>
    </row>
    <row r="85" spans="1:37" ht="16.5" customHeight="1" x14ac:dyDescent="0.2">
      <c r="A85" s="6"/>
      <c r="B85" s="135">
        <f t="shared" si="29"/>
        <v>25</v>
      </c>
      <c r="C85" s="21">
        <f>'Kelas XI'!C81</f>
        <v>16243</v>
      </c>
      <c r="D85" s="159" t="str">
        <f>'Kelas XI'!D81</f>
        <v>MUHAMMAD HADZIQUL AZKA</v>
      </c>
      <c r="E85" s="110"/>
      <c r="F85" s="120"/>
      <c r="G85" s="14"/>
      <c r="H85" s="142"/>
      <c r="I85" s="110"/>
      <c r="J85" s="120"/>
      <c r="K85" s="14"/>
      <c r="L85" s="142"/>
      <c r="M85" s="110"/>
      <c r="N85" s="120"/>
      <c r="O85" s="14"/>
      <c r="P85" s="142"/>
      <c r="Q85" s="14"/>
      <c r="R85" s="142"/>
      <c r="S85" s="14"/>
      <c r="T85" s="142"/>
      <c r="U85" s="14"/>
      <c r="V85" s="142"/>
      <c r="W85" s="14"/>
      <c r="X85" s="142"/>
      <c r="Y85" s="14"/>
      <c r="Z85" s="142"/>
      <c r="AA85" s="14"/>
      <c r="AB85" s="142"/>
      <c r="AC85" s="14"/>
      <c r="AD85" s="142"/>
      <c r="AE85" s="14"/>
      <c r="AF85" s="142"/>
      <c r="AG85" s="14"/>
      <c r="AH85" s="142"/>
      <c r="AI85" s="14"/>
      <c r="AJ85" s="142"/>
      <c r="AK85" s="107"/>
    </row>
    <row r="86" spans="1:37" ht="16.5" customHeight="1" x14ac:dyDescent="0.2">
      <c r="A86" s="6"/>
      <c r="B86" s="135">
        <f t="shared" si="29"/>
        <v>26</v>
      </c>
      <c r="C86" s="21">
        <f>'Kelas XI'!C82</f>
        <v>16106</v>
      </c>
      <c r="D86" s="159" t="str">
        <f>'Kelas XI'!D82</f>
        <v>MUHAMMAD IQBAL UBAYDILLAH</v>
      </c>
      <c r="E86" s="110"/>
      <c r="F86" s="120"/>
      <c r="G86" s="14"/>
      <c r="H86" s="142"/>
      <c r="I86" s="110"/>
      <c r="J86" s="120"/>
      <c r="K86" s="14"/>
      <c r="L86" s="142"/>
      <c r="M86" s="110"/>
      <c r="N86" s="120"/>
      <c r="O86" s="14"/>
      <c r="P86" s="142"/>
      <c r="Q86" s="14"/>
      <c r="R86" s="142"/>
      <c r="S86" s="14"/>
      <c r="T86" s="142"/>
      <c r="U86" s="14"/>
      <c r="V86" s="142"/>
      <c r="W86" s="14"/>
      <c r="X86" s="142"/>
      <c r="Y86" s="14"/>
      <c r="Z86" s="142"/>
      <c r="AA86" s="14"/>
      <c r="AB86" s="142"/>
      <c r="AC86" s="14"/>
      <c r="AD86" s="142"/>
      <c r="AE86" s="14"/>
      <c r="AF86" s="142"/>
      <c r="AG86" s="14"/>
      <c r="AH86" s="142"/>
      <c r="AI86" s="14"/>
      <c r="AJ86" s="142"/>
      <c r="AK86" s="107"/>
    </row>
    <row r="87" spans="1:37" ht="16.5" customHeight="1" x14ac:dyDescent="0.2">
      <c r="A87" s="6"/>
      <c r="B87" s="135">
        <f t="shared" si="29"/>
        <v>27</v>
      </c>
      <c r="C87" s="21">
        <f>'Kelas XI'!C83</f>
        <v>16135</v>
      </c>
      <c r="D87" s="159" t="str">
        <f>'Kelas XI'!D83</f>
        <v>MUHAMMAD KHOIRUL AZAM</v>
      </c>
      <c r="E87" s="110"/>
      <c r="F87" s="120"/>
      <c r="G87" s="14"/>
      <c r="H87" s="142"/>
      <c r="I87" s="110"/>
      <c r="J87" s="120"/>
      <c r="K87" s="14"/>
      <c r="L87" s="142"/>
      <c r="M87" s="110"/>
      <c r="N87" s="120"/>
      <c r="O87" s="14"/>
      <c r="P87" s="142"/>
      <c r="Q87" s="14"/>
      <c r="R87" s="142"/>
      <c r="S87" s="14"/>
      <c r="T87" s="142"/>
      <c r="U87" s="14"/>
      <c r="V87" s="142"/>
      <c r="W87" s="14"/>
      <c r="X87" s="142"/>
      <c r="Y87" s="14"/>
      <c r="Z87" s="142"/>
      <c r="AA87" s="14"/>
      <c r="AB87" s="142"/>
      <c r="AC87" s="14"/>
      <c r="AD87" s="142"/>
      <c r="AE87" s="14"/>
      <c r="AF87" s="142"/>
      <c r="AG87" s="14"/>
      <c r="AH87" s="142"/>
      <c r="AI87" s="14"/>
      <c r="AJ87" s="142"/>
      <c r="AK87" s="107"/>
    </row>
    <row r="88" spans="1:37" ht="16.5" customHeight="1" x14ac:dyDescent="0.2">
      <c r="A88" s="6"/>
      <c r="B88" s="135">
        <f t="shared" si="29"/>
        <v>28</v>
      </c>
      <c r="C88" s="21">
        <f>'Kelas XI'!C84</f>
        <v>16143</v>
      </c>
      <c r="D88" s="159" t="str">
        <f>'Kelas XI'!D84</f>
        <v>MUHAMMAD MARZUKI MUBAROK</v>
      </c>
      <c r="E88" s="110"/>
      <c r="F88" s="120"/>
      <c r="G88" s="14"/>
      <c r="H88" s="142"/>
      <c r="I88" s="110"/>
      <c r="J88" s="120"/>
      <c r="K88" s="14"/>
      <c r="L88" s="142"/>
      <c r="M88" s="110"/>
      <c r="N88" s="120"/>
      <c r="O88" s="14"/>
      <c r="P88" s="142"/>
      <c r="Q88" s="14"/>
      <c r="R88" s="142"/>
      <c r="S88" s="14"/>
      <c r="T88" s="142"/>
      <c r="U88" s="14"/>
      <c r="V88" s="142"/>
      <c r="W88" s="14"/>
      <c r="X88" s="142"/>
      <c r="Y88" s="14"/>
      <c r="Z88" s="142"/>
      <c r="AA88" s="14"/>
      <c r="AB88" s="142"/>
      <c r="AC88" s="14"/>
      <c r="AD88" s="142"/>
      <c r="AE88" s="14"/>
      <c r="AF88" s="142"/>
      <c r="AG88" s="14"/>
      <c r="AH88" s="142"/>
      <c r="AI88" s="14"/>
      <c r="AJ88" s="142"/>
      <c r="AK88" s="107"/>
    </row>
    <row r="89" spans="1:37" ht="16.5" customHeight="1" x14ac:dyDescent="0.2">
      <c r="A89" s="6"/>
      <c r="B89" s="135">
        <f t="shared" si="29"/>
        <v>29</v>
      </c>
      <c r="C89" s="21">
        <f>'Kelas XI'!C85</f>
        <v>16178</v>
      </c>
      <c r="D89" s="159" t="str">
        <f>'Kelas XI'!D85</f>
        <v>MUHAMMAD NAUFAL ZAKY AZ-ZAUHARY</v>
      </c>
      <c r="E89" s="110"/>
      <c r="F89" s="120"/>
      <c r="G89" s="14"/>
      <c r="H89" s="142"/>
      <c r="I89" s="110"/>
      <c r="J89" s="120"/>
      <c r="K89" s="14"/>
      <c r="L89" s="142"/>
      <c r="M89" s="110"/>
      <c r="N89" s="120"/>
      <c r="O89" s="14"/>
      <c r="P89" s="142"/>
      <c r="Q89" s="14"/>
      <c r="R89" s="142"/>
      <c r="S89" s="14"/>
      <c r="T89" s="142"/>
      <c r="U89" s="14"/>
      <c r="V89" s="142"/>
      <c r="W89" s="14"/>
      <c r="X89" s="142"/>
      <c r="Y89" s="14"/>
      <c r="Z89" s="142"/>
      <c r="AA89" s="14"/>
      <c r="AB89" s="142"/>
      <c r="AC89" s="14"/>
      <c r="AD89" s="142"/>
      <c r="AE89" s="14"/>
      <c r="AF89" s="142"/>
      <c r="AG89" s="14"/>
      <c r="AH89" s="142"/>
      <c r="AI89" s="14"/>
      <c r="AJ89" s="142"/>
      <c r="AK89" s="107"/>
    </row>
    <row r="90" spans="1:37" ht="16.5" customHeight="1" x14ac:dyDescent="0.2">
      <c r="A90" s="6"/>
      <c r="B90" s="135">
        <f t="shared" si="29"/>
        <v>30</v>
      </c>
      <c r="C90" s="21">
        <f>'Kelas XI'!C86</f>
        <v>16109</v>
      </c>
      <c r="D90" s="159" t="str">
        <f>'Kelas XI'!D86</f>
        <v>MUHAMMAD PANJI HERMAWAN</v>
      </c>
      <c r="E90" s="110"/>
      <c r="F90" s="120"/>
      <c r="G90" s="14"/>
      <c r="H90" s="142"/>
      <c r="I90" s="110"/>
      <c r="J90" s="120"/>
      <c r="K90" s="14"/>
      <c r="L90" s="142"/>
      <c r="M90" s="110"/>
      <c r="N90" s="120"/>
      <c r="O90" s="14"/>
      <c r="P90" s="142"/>
      <c r="Q90" s="14"/>
      <c r="R90" s="142"/>
      <c r="S90" s="14"/>
      <c r="T90" s="142"/>
      <c r="U90" s="14"/>
      <c r="V90" s="142"/>
      <c r="W90" s="14"/>
      <c r="X90" s="142"/>
      <c r="Y90" s="14"/>
      <c r="Z90" s="142"/>
      <c r="AA90" s="14"/>
      <c r="AB90" s="142"/>
      <c r="AC90" s="14"/>
      <c r="AD90" s="142"/>
      <c r="AE90" s="14"/>
      <c r="AF90" s="142"/>
      <c r="AG90" s="14"/>
      <c r="AH90" s="142"/>
      <c r="AI90" s="14"/>
      <c r="AJ90" s="142"/>
      <c r="AK90" s="107"/>
    </row>
    <row r="91" spans="1:37" ht="16.5" customHeight="1" x14ac:dyDescent="0.2">
      <c r="A91" s="6"/>
      <c r="B91" s="135">
        <f t="shared" si="29"/>
        <v>31</v>
      </c>
      <c r="C91" s="21">
        <f>'Kelas XI'!C87</f>
        <v>16145</v>
      </c>
      <c r="D91" s="159" t="str">
        <f>'Kelas XI'!D87</f>
        <v>MUHAMMAD RIZIEQ NAUFAL AR-RASYID</v>
      </c>
      <c r="E91" s="110"/>
      <c r="F91" s="120"/>
      <c r="G91" s="14"/>
      <c r="H91" s="142"/>
      <c r="I91" s="110"/>
      <c r="J91" s="120"/>
      <c r="K91" s="14"/>
      <c r="L91" s="142"/>
      <c r="M91" s="110"/>
      <c r="N91" s="120"/>
      <c r="O91" s="14"/>
      <c r="P91" s="142"/>
      <c r="Q91" s="14"/>
      <c r="R91" s="142"/>
      <c r="S91" s="14"/>
      <c r="T91" s="142"/>
      <c r="U91" s="14"/>
      <c r="V91" s="142"/>
      <c r="W91" s="14"/>
      <c r="X91" s="142"/>
      <c r="Y91" s="14"/>
      <c r="Z91" s="142"/>
      <c r="AA91" s="14"/>
      <c r="AB91" s="142"/>
      <c r="AC91" s="14"/>
      <c r="AD91" s="142"/>
      <c r="AE91" s="14"/>
      <c r="AF91" s="142"/>
      <c r="AG91" s="14"/>
      <c r="AH91" s="142"/>
      <c r="AI91" s="14"/>
      <c r="AJ91" s="142"/>
      <c r="AK91" s="107"/>
    </row>
    <row r="92" spans="1:37" ht="16.5" customHeight="1" x14ac:dyDescent="0.2">
      <c r="A92" s="6"/>
      <c r="B92" s="135">
        <f t="shared" si="29"/>
        <v>32</v>
      </c>
      <c r="C92" s="21">
        <f>'Kelas XI'!C88</f>
        <v>16244</v>
      </c>
      <c r="D92" s="159" t="str">
        <f>'Kelas XI'!D88</f>
        <v>MUHAMMAD WILDAN AZ-ZAKI</v>
      </c>
      <c r="E92" s="110"/>
      <c r="F92" s="120"/>
      <c r="G92" s="14"/>
      <c r="H92" s="142"/>
      <c r="I92" s="110"/>
      <c r="J92" s="120"/>
      <c r="K92" s="14"/>
      <c r="L92" s="142"/>
      <c r="M92" s="110"/>
      <c r="N92" s="120"/>
      <c r="O92" s="14"/>
      <c r="P92" s="142"/>
      <c r="Q92" s="14"/>
      <c r="R92" s="142"/>
      <c r="S92" s="14"/>
      <c r="T92" s="142"/>
      <c r="U92" s="14"/>
      <c r="V92" s="142"/>
      <c r="W92" s="14"/>
      <c r="X92" s="142"/>
      <c r="Y92" s="14"/>
      <c r="Z92" s="142"/>
      <c r="AA92" s="14"/>
      <c r="AB92" s="142"/>
      <c r="AC92" s="14"/>
      <c r="AD92" s="142"/>
      <c r="AE92" s="14"/>
      <c r="AF92" s="142"/>
      <c r="AG92" s="14"/>
      <c r="AH92" s="142"/>
      <c r="AI92" s="14"/>
      <c r="AJ92" s="142"/>
      <c r="AK92" s="107"/>
    </row>
    <row r="93" spans="1:37" ht="16.5" customHeight="1" x14ac:dyDescent="0.2">
      <c r="A93" s="6"/>
      <c r="B93" s="135">
        <f t="shared" si="29"/>
        <v>33</v>
      </c>
      <c r="C93" s="21">
        <f>'Kelas XI'!C89</f>
        <v>16246</v>
      </c>
      <c r="D93" s="159" t="str">
        <f>'Kelas XI'!D89</f>
        <v>NAUFAL MIRZA AWWABI</v>
      </c>
      <c r="E93" s="110"/>
      <c r="F93" s="120"/>
      <c r="G93" s="14"/>
      <c r="H93" s="142"/>
      <c r="I93" s="110"/>
      <c r="J93" s="120"/>
      <c r="K93" s="14"/>
      <c r="L93" s="142"/>
      <c r="M93" s="110"/>
      <c r="N93" s="120"/>
      <c r="O93" s="14"/>
      <c r="P93" s="142"/>
      <c r="Q93" s="14"/>
      <c r="R93" s="142"/>
      <c r="S93" s="14"/>
      <c r="T93" s="142"/>
      <c r="U93" s="14"/>
      <c r="V93" s="142"/>
      <c r="W93" s="14"/>
      <c r="X93" s="142"/>
      <c r="Y93" s="14"/>
      <c r="Z93" s="142"/>
      <c r="AA93" s="14"/>
      <c r="AB93" s="142"/>
      <c r="AC93" s="14"/>
      <c r="AD93" s="142"/>
      <c r="AE93" s="14"/>
      <c r="AF93" s="142"/>
      <c r="AG93" s="14"/>
      <c r="AH93" s="142"/>
      <c r="AI93" s="14"/>
      <c r="AJ93" s="142"/>
      <c r="AK93" s="107"/>
    </row>
    <row r="94" spans="1:37" ht="16.5" customHeight="1" x14ac:dyDescent="0.2">
      <c r="A94" s="6"/>
      <c r="B94" s="135">
        <f t="shared" si="29"/>
        <v>34</v>
      </c>
      <c r="C94" s="21">
        <f>'Kelas XI'!C90</f>
        <v>16219</v>
      </c>
      <c r="D94" s="159" t="str">
        <f>'Kelas XI'!D90</f>
        <v>RIDHO NATA JAGAD</v>
      </c>
      <c r="E94" s="110"/>
      <c r="F94" s="120"/>
      <c r="G94" s="14"/>
      <c r="H94" s="142"/>
      <c r="I94" s="110"/>
      <c r="J94" s="120"/>
      <c r="K94" s="14"/>
      <c r="L94" s="142"/>
      <c r="M94" s="110"/>
      <c r="N94" s="120"/>
      <c r="O94" s="14"/>
      <c r="P94" s="142"/>
      <c r="Q94" s="14"/>
      <c r="R94" s="142"/>
      <c r="S94" s="14"/>
      <c r="T94" s="142"/>
      <c r="U94" s="14"/>
      <c r="V94" s="142"/>
      <c r="W94" s="14"/>
      <c r="X94" s="142"/>
      <c r="Y94" s="14"/>
      <c r="Z94" s="142"/>
      <c r="AA94" s="14"/>
      <c r="AB94" s="142"/>
      <c r="AC94" s="14"/>
      <c r="AD94" s="142"/>
      <c r="AE94" s="14"/>
      <c r="AF94" s="142"/>
      <c r="AG94" s="14"/>
      <c r="AH94" s="142"/>
      <c r="AI94" s="14"/>
      <c r="AJ94" s="142"/>
      <c r="AK94" s="107"/>
    </row>
    <row r="95" spans="1:37" ht="16.5" customHeight="1" x14ac:dyDescent="0.2">
      <c r="A95" s="6"/>
      <c r="B95" s="135">
        <f t="shared" si="29"/>
        <v>35</v>
      </c>
      <c r="C95" s="21">
        <f>'Kelas XI'!C91</f>
        <v>0</v>
      </c>
      <c r="D95" s="159">
        <f>'Kelas XI'!D91</f>
        <v>0</v>
      </c>
      <c r="E95" s="110"/>
      <c r="F95" s="120"/>
      <c r="G95" s="14"/>
      <c r="H95" s="142"/>
      <c r="I95" s="110"/>
      <c r="J95" s="120"/>
      <c r="K95" s="14"/>
      <c r="L95" s="142"/>
      <c r="M95" s="110"/>
      <c r="N95" s="120"/>
      <c r="O95" s="14"/>
      <c r="P95" s="142"/>
      <c r="Q95" s="14"/>
      <c r="R95" s="142"/>
      <c r="S95" s="14"/>
      <c r="T95" s="142"/>
      <c r="U95" s="14"/>
      <c r="V95" s="142"/>
      <c r="W95" s="14"/>
      <c r="X95" s="142"/>
      <c r="Y95" s="14"/>
      <c r="Z95" s="142"/>
      <c r="AA95" s="14"/>
      <c r="AB95" s="142"/>
      <c r="AC95" s="14"/>
      <c r="AD95" s="142"/>
      <c r="AE95" s="14"/>
      <c r="AF95" s="142"/>
      <c r="AG95" s="14"/>
      <c r="AH95" s="142"/>
      <c r="AI95" s="14"/>
      <c r="AJ95" s="142"/>
      <c r="AK95" s="107"/>
    </row>
    <row r="96" spans="1:37" ht="16.5" customHeight="1" x14ac:dyDescent="0.2">
      <c r="A96" s="6"/>
      <c r="B96" s="135">
        <f t="shared" si="29"/>
        <v>36</v>
      </c>
      <c r="C96" s="21">
        <f>'Kelas XI'!C92</f>
        <v>0</v>
      </c>
      <c r="D96" s="159">
        <f>'Kelas XI'!D92</f>
        <v>0</v>
      </c>
      <c r="E96" s="110"/>
      <c r="F96" s="120"/>
      <c r="G96" s="14"/>
      <c r="H96" s="142"/>
      <c r="I96" s="110"/>
      <c r="J96" s="120"/>
      <c r="K96" s="14"/>
      <c r="L96" s="142"/>
      <c r="M96" s="110"/>
      <c r="N96" s="120"/>
      <c r="O96" s="14"/>
      <c r="P96" s="142"/>
      <c r="Q96" s="14"/>
      <c r="R96" s="142"/>
      <c r="S96" s="14"/>
      <c r="T96" s="142"/>
      <c r="U96" s="14"/>
      <c r="V96" s="142"/>
      <c r="W96" s="14"/>
      <c r="X96" s="142"/>
      <c r="Y96" s="14"/>
      <c r="Z96" s="142"/>
      <c r="AA96" s="14"/>
      <c r="AB96" s="142"/>
      <c r="AC96" s="14"/>
      <c r="AD96" s="142"/>
      <c r="AE96" s="14"/>
      <c r="AF96" s="142"/>
      <c r="AG96" s="14"/>
      <c r="AH96" s="142"/>
      <c r="AI96" s="14"/>
      <c r="AJ96" s="142"/>
      <c r="AK96" s="107"/>
    </row>
    <row r="97" spans="1:37" ht="16.5" customHeight="1" x14ac:dyDescent="0.2">
      <c r="A97" s="6"/>
      <c r="B97" s="135">
        <f t="shared" si="29"/>
        <v>37</v>
      </c>
      <c r="C97" s="21">
        <f>'Kelas XI'!C93</f>
        <v>0</v>
      </c>
      <c r="D97" s="159">
        <f>'Kelas XI'!D93</f>
        <v>0</v>
      </c>
      <c r="E97" s="110"/>
      <c r="F97" s="120"/>
      <c r="G97" s="14"/>
      <c r="H97" s="142"/>
      <c r="I97" s="110"/>
      <c r="J97" s="120"/>
      <c r="K97" s="14"/>
      <c r="L97" s="142"/>
      <c r="M97" s="110"/>
      <c r="N97" s="120"/>
      <c r="O97" s="14"/>
      <c r="P97" s="142"/>
      <c r="Q97" s="14"/>
      <c r="R97" s="142"/>
      <c r="S97" s="14"/>
      <c r="T97" s="142"/>
      <c r="U97" s="14"/>
      <c r="V97" s="142"/>
      <c r="W97" s="14"/>
      <c r="X97" s="142"/>
      <c r="Y97" s="14"/>
      <c r="Z97" s="142"/>
      <c r="AA97" s="14"/>
      <c r="AB97" s="142"/>
      <c r="AC97" s="14"/>
      <c r="AD97" s="142"/>
      <c r="AE97" s="14"/>
      <c r="AF97" s="142"/>
      <c r="AG97" s="14"/>
      <c r="AH97" s="142"/>
      <c r="AI97" s="14"/>
      <c r="AJ97" s="142"/>
      <c r="AK97" s="107"/>
    </row>
    <row r="98" spans="1:37" ht="16.5" customHeight="1" x14ac:dyDescent="0.2">
      <c r="A98" s="6"/>
      <c r="B98" s="135">
        <f t="shared" si="29"/>
        <v>38</v>
      </c>
      <c r="C98" s="21">
        <f>'Kelas XI'!C94</f>
        <v>0</v>
      </c>
      <c r="D98" s="159">
        <f>'Kelas XI'!D94</f>
        <v>0</v>
      </c>
      <c r="E98" s="110"/>
      <c r="F98" s="120"/>
      <c r="G98" s="14"/>
      <c r="H98" s="142"/>
      <c r="I98" s="110"/>
      <c r="J98" s="120"/>
      <c r="K98" s="14"/>
      <c r="L98" s="142"/>
      <c r="M98" s="110"/>
      <c r="N98" s="120"/>
      <c r="O98" s="14"/>
      <c r="P98" s="142"/>
      <c r="Q98" s="14"/>
      <c r="R98" s="142"/>
      <c r="S98" s="14"/>
      <c r="T98" s="142"/>
      <c r="U98" s="14"/>
      <c r="V98" s="142"/>
      <c r="W98" s="14"/>
      <c r="X98" s="142"/>
      <c r="Y98" s="14"/>
      <c r="Z98" s="142"/>
      <c r="AA98" s="14"/>
      <c r="AB98" s="142"/>
      <c r="AC98" s="14"/>
      <c r="AD98" s="142"/>
      <c r="AE98" s="14"/>
      <c r="AF98" s="142"/>
      <c r="AG98" s="14"/>
      <c r="AH98" s="142"/>
      <c r="AI98" s="14"/>
      <c r="AJ98" s="142"/>
      <c r="AK98" s="107"/>
    </row>
    <row r="99" spans="1:37" ht="16.5" customHeight="1" x14ac:dyDescent="0.2">
      <c r="A99" s="6"/>
      <c r="B99" s="135">
        <f t="shared" si="29"/>
        <v>39</v>
      </c>
      <c r="C99" s="21">
        <f>'Kelas XI'!C95</f>
        <v>0</v>
      </c>
      <c r="D99" s="159">
        <f>'Kelas XI'!D95</f>
        <v>0</v>
      </c>
      <c r="E99" s="110"/>
      <c r="F99" s="120"/>
      <c r="G99" s="14"/>
      <c r="H99" s="142"/>
      <c r="I99" s="110"/>
      <c r="J99" s="120"/>
      <c r="K99" s="14"/>
      <c r="L99" s="142"/>
      <c r="M99" s="110"/>
      <c r="N99" s="120"/>
      <c r="O99" s="14"/>
      <c r="P99" s="142"/>
      <c r="Q99" s="14"/>
      <c r="R99" s="142"/>
      <c r="S99" s="14"/>
      <c r="T99" s="142"/>
      <c r="U99" s="14"/>
      <c r="V99" s="142"/>
      <c r="W99" s="14"/>
      <c r="X99" s="142"/>
      <c r="Y99" s="14"/>
      <c r="Z99" s="142"/>
      <c r="AA99" s="14"/>
      <c r="AB99" s="142"/>
      <c r="AC99" s="14"/>
      <c r="AD99" s="142"/>
      <c r="AE99" s="14"/>
      <c r="AF99" s="142"/>
      <c r="AG99" s="14"/>
      <c r="AH99" s="142"/>
      <c r="AI99" s="14"/>
      <c r="AJ99" s="142"/>
      <c r="AK99" s="107"/>
    </row>
    <row r="100" spans="1:37" ht="16.5" customHeight="1" thickBot="1" x14ac:dyDescent="0.25">
      <c r="A100" s="6"/>
      <c r="B100" s="143">
        <f t="shared" si="29"/>
        <v>40</v>
      </c>
      <c r="C100" s="143">
        <f>'Kelas XI'!C96</f>
        <v>0</v>
      </c>
      <c r="D100" s="198">
        <f>'Kelas XI'!D96</f>
        <v>0</v>
      </c>
      <c r="E100" s="112"/>
      <c r="F100" s="122"/>
      <c r="G100" s="18"/>
      <c r="H100" s="146"/>
      <c r="I100" s="112"/>
      <c r="J100" s="122"/>
      <c r="K100" s="18"/>
      <c r="L100" s="146"/>
      <c r="M100" s="112"/>
      <c r="N100" s="122"/>
      <c r="O100" s="18"/>
      <c r="P100" s="146"/>
      <c r="Q100" s="18"/>
      <c r="R100" s="146"/>
      <c r="S100" s="18"/>
      <c r="T100" s="146"/>
      <c r="U100" s="18"/>
      <c r="V100" s="146"/>
      <c r="W100" s="18"/>
      <c r="X100" s="146"/>
      <c r="Y100" s="18"/>
      <c r="Z100" s="146"/>
      <c r="AA100" s="140"/>
      <c r="AB100" s="140"/>
      <c r="AC100" s="18"/>
      <c r="AD100" s="146"/>
      <c r="AE100" s="18"/>
      <c r="AF100" s="146"/>
      <c r="AG100" s="18"/>
      <c r="AH100" s="146"/>
      <c r="AI100" s="18"/>
      <c r="AJ100" s="146"/>
      <c r="AK100" s="107"/>
    </row>
    <row r="101" spans="1:37" ht="16.5" customHeight="1" x14ac:dyDescent="0.2">
      <c r="A101" s="6"/>
      <c r="B101" s="8"/>
      <c r="C101" s="20"/>
      <c r="D101" s="23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149"/>
      <c r="AK101" s="6"/>
    </row>
    <row r="102" spans="1:37" ht="16.5" customHeight="1" thickBo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150"/>
      <c r="AK102" s="6"/>
    </row>
    <row r="103" spans="1:37" ht="16.5" customHeight="1" x14ac:dyDescent="0.2">
      <c r="A103" s="6"/>
      <c r="B103" s="279"/>
      <c r="C103" s="280"/>
      <c r="D103" s="283" t="s">
        <v>3</v>
      </c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284"/>
      <c r="AD103" s="284"/>
      <c r="AE103" s="284"/>
      <c r="AF103" s="284"/>
      <c r="AG103" s="284"/>
      <c r="AH103" s="284"/>
      <c r="AI103" s="284"/>
      <c r="AJ103" s="285"/>
      <c r="AK103" s="107"/>
    </row>
    <row r="104" spans="1:37" ht="16.5" customHeight="1" x14ac:dyDescent="0.2">
      <c r="A104" s="6"/>
      <c r="B104" s="281"/>
      <c r="C104" s="282"/>
      <c r="D104" s="286" t="s">
        <v>4</v>
      </c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7"/>
      <c r="AH104" s="287"/>
      <c r="AI104" s="287"/>
      <c r="AJ104" s="288"/>
      <c r="AK104" s="107"/>
    </row>
    <row r="105" spans="1:37" ht="16.5" customHeight="1" x14ac:dyDescent="0.2">
      <c r="A105" s="6"/>
      <c r="B105" s="281"/>
      <c r="C105" s="282"/>
      <c r="D105" s="286" t="s">
        <v>547</v>
      </c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7"/>
      <c r="AH105" s="287"/>
      <c r="AI105" s="287"/>
      <c r="AJ105" s="288"/>
      <c r="AK105" s="107"/>
    </row>
    <row r="106" spans="1:37" ht="16.5" customHeight="1" thickBot="1" x14ac:dyDescent="0.25">
      <c r="A106" s="6"/>
      <c r="B106" s="281"/>
      <c r="C106" s="282"/>
      <c r="D106" s="289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90"/>
      <c r="AB106" s="290"/>
      <c r="AC106" s="290"/>
      <c r="AD106" s="290"/>
      <c r="AE106" s="290"/>
      <c r="AF106" s="290"/>
      <c r="AG106" s="290"/>
      <c r="AH106" s="290"/>
      <c r="AI106" s="290"/>
      <c r="AJ106" s="291"/>
      <c r="AK106" s="107"/>
    </row>
    <row r="107" spans="1:37" ht="16.5" customHeight="1" thickBot="1" x14ac:dyDescent="0.25">
      <c r="A107" s="6"/>
      <c r="B107" s="292"/>
      <c r="C107" s="293"/>
      <c r="D107" s="9" t="s">
        <v>554</v>
      </c>
      <c r="E107" s="10" t="s">
        <v>11</v>
      </c>
      <c r="F107" s="10"/>
      <c r="G107" s="10"/>
      <c r="H107" s="10"/>
      <c r="I107" s="10"/>
      <c r="J107" s="149"/>
      <c r="K107" s="10"/>
      <c r="L107" s="10"/>
      <c r="M107" s="10"/>
      <c r="N107" s="10"/>
      <c r="O107" s="10"/>
      <c r="P107" s="10"/>
      <c r="Q107" s="10"/>
      <c r="R107" s="10"/>
      <c r="S107" s="10" t="str">
        <f>'Kelas XI'!F102</f>
        <v>Wali Kelas   : EVA DESSY PINASTI, S. Si</v>
      </c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58"/>
      <c r="AK107" s="107"/>
    </row>
    <row r="108" spans="1:37" ht="16.5" customHeight="1" thickBot="1" x14ac:dyDescent="0.25">
      <c r="A108" s="6"/>
      <c r="B108" s="294" t="s">
        <v>6</v>
      </c>
      <c r="C108" s="294"/>
      <c r="D108" s="295" t="s">
        <v>7</v>
      </c>
      <c r="E108" s="292" t="s">
        <v>519</v>
      </c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  <c r="Q108" s="298"/>
      <c r="R108" s="298"/>
      <c r="S108" s="298"/>
      <c r="T108" s="298"/>
      <c r="U108" s="298"/>
      <c r="V108" s="298"/>
      <c r="W108" s="298"/>
      <c r="X108" s="298"/>
      <c r="Y108" s="298"/>
      <c r="Z108" s="298"/>
      <c r="AA108" s="298"/>
      <c r="AB108" s="298"/>
      <c r="AC108" s="298"/>
      <c r="AD108" s="298"/>
      <c r="AE108" s="298"/>
      <c r="AF108" s="298"/>
      <c r="AG108" s="298"/>
      <c r="AH108" s="298"/>
      <c r="AI108" s="298"/>
      <c r="AJ108" s="293"/>
      <c r="AK108" s="107"/>
    </row>
    <row r="109" spans="1:37" ht="16.5" customHeight="1" thickBot="1" x14ac:dyDescent="0.25">
      <c r="A109" s="6"/>
      <c r="B109" s="295" t="s">
        <v>8</v>
      </c>
      <c r="C109" s="295" t="s">
        <v>9</v>
      </c>
      <c r="D109" s="296"/>
      <c r="E109" s="292">
        <f>E8</f>
        <v>17</v>
      </c>
      <c r="F109" s="298"/>
      <c r="G109" s="292">
        <f>E109+1</f>
        <v>18</v>
      </c>
      <c r="H109" s="298"/>
      <c r="I109" s="292">
        <f t="shared" ref="I109" si="30">G109+1</f>
        <v>19</v>
      </c>
      <c r="J109" s="298"/>
      <c r="K109" s="292">
        <f t="shared" ref="K109" si="31">I109+1</f>
        <v>20</v>
      </c>
      <c r="L109" s="298"/>
      <c r="M109" s="292">
        <f t="shared" ref="M109" si="32">K109+1</f>
        <v>21</v>
      </c>
      <c r="N109" s="298"/>
      <c r="O109" s="292">
        <f t="shared" ref="O109" si="33">M109+1</f>
        <v>22</v>
      </c>
      <c r="P109" s="298"/>
      <c r="Q109" s="292">
        <f t="shared" ref="Q109" si="34">O109+1</f>
        <v>23</v>
      </c>
      <c r="R109" s="298"/>
      <c r="S109" s="292">
        <f t="shared" ref="S109" si="35">Q109+1</f>
        <v>24</v>
      </c>
      <c r="T109" s="298"/>
      <c r="U109" s="292">
        <f t="shared" ref="U109" si="36">S109+1</f>
        <v>25</v>
      </c>
      <c r="V109" s="298"/>
      <c r="W109" s="292">
        <f t="shared" ref="W109" si="37">U109+1</f>
        <v>26</v>
      </c>
      <c r="X109" s="298"/>
      <c r="Y109" s="292">
        <f t="shared" ref="Y109" si="38">W109+1</f>
        <v>27</v>
      </c>
      <c r="Z109" s="298"/>
      <c r="AA109" s="292">
        <f t="shared" ref="AA109" si="39">Y109+1</f>
        <v>28</v>
      </c>
      <c r="AB109" s="298"/>
      <c r="AC109" s="292">
        <f t="shared" ref="AC109" si="40">AA109+1</f>
        <v>29</v>
      </c>
      <c r="AD109" s="298"/>
      <c r="AE109" s="292">
        <f t="shared" ref="AE109" si="41">AC109+1</f>
        <v>30</v>
      </c>
      <c r="AF109" s="298"/>
      <c r="AG109" s="292">
        <f t="shared" ref="AG109" si="42">AE109+1</f>
        <v>31</v>
      </c>
      <c r="AH109" s="298"/>
      <c r="AI109" s="292">
        <f t="shared" ref="AI109" si="43">AG109+1</f>
        <v>32</v>
      </c>
      <c r="AJ109" s="298"/>
      <c r="AK109" s="107"/>
    </row>
    <row r="110" spans="1:37" ht="23.25" customHeight="1" thickBot="1" x14ac:dyDescent="0.25">
      <c r="A110" s="6"/>
      <c r="B110" s="297"/>
      <c r="C110" s="297"/>
      <c r="D110" s="297"/>
      <c r="E110" s="108" t="s">
        <v>13</v>
      </c>
      <c r="F110" s="108" t="s">
        <v>14</v>
      </c>
      <c r="G110" s="108" t="s">
        <v>13</v>
      </c>
      <c r="H110" s="108" t="s">
        <v>14</v>
      </c>
      <c r="I110" s="108" t="s">
        <v>13</v>
      </c>
      <c r="J110" s="108" t="s">
        <v>14</v>
      </c>
      <c r="K110" s="108" t="s">
        <v>13</v>
      </c>
      <c r="L110" s="108" t="s">
        <v>14</v>
      </c>
      <c r="M110" s="108" t="s">
        <v>13</v>
      </c>
      <c r="N110" s="108" t="s">
        <v>14</v>
      </c>
      <c r="O110" s="108" t="s">
        <v>13</v>
      </c>
      <c r="P110" s="108" t="s">
        <v>14</v>
      </c>
      <c r="Q110" s="108" t="s">
        <v>13</v>
      </c>
      <c r="R110" s="108" t="s">
        <v>14</v>
      </c>
      <c r="S110" s="108" t="s">
        <v>13</v>
      </c>
      <c r="T110" s="108" t="s">
        <v>14</v>
      </c>
      <c r="U110" s="108" t="s">
        <v>13</v>
      </c>
      <c r="V110" s="108" t="s">
        <v>14</v>
      </c>
      <c r="W110" s="108" t="s">
        <v>13</v>
      </c>
      <c r="X110" s="108" t="s">
        <v>14</v>
      </c>
      <c r="Y110" s="108" t="s">
        <v>13</v>
      </c>
      <c r="Z110" s="108" t="s">
        <v>14</v>
      </c>
      <c r="AA110" s="108" t="s">
        <v>13</v>
      </c>
      <c r="AB110" s="108" t="s">
        <v>14</v>
      </c>
      <c r="AC110" s="108" t="s">
        <v>13</v>
      </c>
      <c r="AD110" s="108" t="s">
        <v>14</v>
      </c>
      <c r="AE110" s="108" t="s">
        <v>13</v>
      </c>
      <c r="AF110" s="108" t="s">
        <v>14</v>
      </c>
      <c r="AG110" s="108" t="s">
        <v>13</v>
      </c>
      <c r="AH110" s="108" t="s">
        <v>14</v>
      </c>
      <c r="AI110" s="108" t="s">
        <v>13</v>
      </c>
      <c r="AJ110" s="108" t="s">
        <v>14</v>
      </c>
      <c r="AK110" s="107"/>
    </row>
    <row r="111" spans="1:37" ht="16.5" customHeight="1" x14ac:dyDescent="0.2">
      <c r="A111" s="6"/>
      <c r="B111" s="21">
        <v>1</v>
      </c>
      <c r="C111" s="21">
        <f>'Kelas XI'!C105</f>
        <v>16115</v>
      </c>
      <c r="D111" s="34" t="str">
        <f>'Kelas XI'!D105</f>
        <v>ABDUL KARIM KHISANI</v>
      </c>
      <c r="E111" s="12"/>
      <c r="F111" s="13"/>
      <c r="G111" s="12"/>
      <c r="H111" s="13"/>
      <c r="I111" s="12"/>
      <c r="J111" s="13"/>
      <c r="K111" s="12"/>
      <c r="L111" s="13"/>
      <c r="M111" s="12"/>
      <c r="N111" s="13"/>
      <c r="O111" s="12"/>
      <c r="P111" s="13"/>
      <c r="Q111" s="12"/>
      <c r="R111" s="13"/>
      <c r="S111" s="12"/>
      <c r="T111" s="13"/>
      <c r="U111" s="12"/>
      <c r="V111" s="13"/>
      <c r="W111" s="12"/>
      <c r="X111" s="13"/>
      <c r="Y111" s="12"/>
      <c r="Z111" s="13"/>
      <c r="AA111" s="12"/>
      <c r="AB111" s="13"/>
      <c r="AC111" s="12"/>
      <c r="AD111" s="13"/>
      <c r="AE111" s="12"/>
      <c r="AF111" s="13"/>
      <c r="AG111" s="12"/>
      <c r="AH111" s="13"/>
      <c r="AI111" s="12"/>
      <c r="AJ111" s="13"/>
      <c r="AK111" s="107"/>
    </row>
    <row r="112" spans="1:37" ht="16.5" customHeight="1" x14ac:dyDescent="0.2">
      <c r="A112" s="6"/>
      <c r="B112" s="135">
        <f t="shared" ref="B112:B149" si="44">B111+1</f>
        <v>2</v>
      </c>
      <c r="C112" s="21">
        <f>'Kelas XI'!C106</f>
        <v>16151</v>
      </c>
      <c r="D112" s="34" t="str">
        <f>'Kelas XI'!D106</f>
        <v>ACHMAD CHARIRI FAZALMUTTAQI</v>
      </c>
      <c r="E112" s="14"/>
      <c r="F112" s="15"/>
      <c r="G112" s="14"/>
      <c r="H112" s="15"/>
      <c r="I112" s="14"/>
      <c r="J112" s="15"/>
      <c r="K112" s="14"/>
      <c r="L112" s="15"/>
      <c r="M112" s="14"/>
      <c r="N112" s="15"/>
      <c r="O112" s="14"/>
      <c r="P112" s="15"/>
      <c r="Q112" s="14"/>
      <c r="R112" s="15"/>
      <c r="S112" s="14"/>
      <c r="T112" s="15"/>
      <c r="U112" s="14"/>
      <c r="V112" s="15"/>
      <c r="W112" s="14"/>
      <c r="X112" s="15"/>
      <c r="Y112" s="14"/>
      <c r="Z112" s="15"/>
      <c r="AA112" s="14"/>
      <c r="AB112" s="15"/>
      <c r="AC112" s="14"/>
      <c r="AD112" s="15"/>
      <c r="AE112" s="14"/>
      <c r="AF112" s="15"/>
      <c r="AG112" s="14"/>
      <c r="AH112" s="15"/>
      <c r="AI112" s="14"/>
      <c r="AJ112" s="15"/>
      <c r="AK112" s="107"/>
    </row>
    <row r="113" spans="1:37" ht="16.5" customHeight="1" x14ac:dyDescent="0.2">
      <c r="A113" s="6"/>
      <c r="B113" s="135">
        <f t="shared" si="44"/>
        <v>3</v>
      </c>
      <c r="C113" s="21">
        <f>'Kelas XI'!C107</f>
        <v>16084</v>
      </c>
      <c r="D113" s="34" t="str">
        <f>'Kelas XI'!D107</f>
        <v>ANANDA RISCO RAMADANI</v>
      </c>
      <c r="E113" s="14"/>
      <c r="F113" s="15"/>
      <c r="G113" s="14"/>
      <c r="H113" s="15"/>
      <c r="I113" s="14"/>
      <c r="J113" s="15"/>
      <c r="K113" s="14"/>
      <c r="L113" s="15"/>
      <c r="M113" s="14"/>
      <c r="N113" s="15"/>
      <c r="O113" s="14"/>
      <c r="P113" s="15"/>
      <c r="Q113" s="14"/>
      <c r="R113" s="15"/>
      <c r="S113" s="14"/>
      <c r="T113" s="15"/>
      <c r="U113" s="14"/>
      <c r="V113" s="15"/>
      <c r="W113" s="14"/>
      <c r="X113" s="15"/>
      <c r="Y113" s="14"/>
      <c r="Z113" s="15"/>
      <c r="AA113" s="14"/>
      <c r="AB113" s="15"/>
      <c r="AC113" s="14"/>
      <c r="AD113" s="15"/>
      <c r="AE113" s="14"/>
      <c r="AF113" s="15"/>
      <c r="AG113" s="14"/>
      <c r="AH113" s="15"/>
      <c r="AI113" s="14"/>
      <c r="AJ113" s="15"/>
      <c r="AK113" s="107"/>
    </row>
    <row r="114" spans="1:37" ht="16.5" customHeight="1" x14ac:dyDescent="0.2">
      <c r="A114" s="6"/>
      <c r="B114" s="135">
        <f t="shared" si="44"/>
        <v>4</v>
      </c>
      <c r="C114" s="21">
        <f>'Kelas XI'!C108</f>
        <v>16085</v>
      </c>
      <c r="D114" s="34" t="str">
        <f>'Kelas XI'!D108</f>
        <v>ANDANA ATTARIKSA</v>
      </c>
      <c r="E114" s="14"/>
      <c r="F114" s="15"/>
      <c r="G114" s="14"/>
      <c r="H114" s="15"/>
      <c r="I114" s="14"/>
      <c r="J114" s="15"/>
      <c r="K114" s="14"/>
      <c r="L114" s="15"/>
      <c r="M114" s="14"/>
      <c r="N114" s="15"/>
      <c r="O114" s="14"/>
      <c r="P114" s="15"/>
      <c r="Q114" s="14"/>
      <c r="R114" s="15"/>
      <c r="S114" s="14"/>
      <c r="T114" s="15"/>
      <c r="U114" s="14"/>
      <c r="V114" s="15"/>
      <c r="W114" s="14"/>
      <c r="X114" s="15"/>
      <c r="Y114" s="14"/>
      <c r="Z114" s="15"/>
      <c r="AA114" s="14"/>
      <c r="AB114" s="15"/>
      <c r="AC114" s="14"/>
      <c r="AD114" s="15"/>
      <c r="AE114" s="14"/>
      <c r="AF114" s="15"/>
      <c r="AG114" s="14"/>
      <c r="AH114" s="15"/>
      <c r="AI114" s="14"/>
      <c r="AJ114" s="15"/>
      <c r="AK114" s="107"/>
    </row>
    <row r="115" spans="1:37" ht="16.5" customHeight="1" x14ac:dyDescent="0.2">
      <c r="A115" s="6"/>
      <c r="B115" s="135">
        <f t="shared" si="44"/>
        <v>5</v>
      </c>
      <c r="C115" s="21">
        <f>'Kelas XI'!C109</f>
        <v>16123</v>
      </c>
      <c r="D115" s="34" t="str">
        <f>'Kelas XI'!D109</f>
        <v>AUFAA RAKHA BAGUS PUTRA ERWANTO</v>
      </c>
      <c r="E115" s="14"/>
      <c r="F115" s="15"/>
      <c r="G115" s="14"/>
      <c r="H115" s="15"/>
      <c r="I115" s="14"/>
      <c r="J115" s="15"/>
      <c r="K115" s="14"/>
      <c r="L115" s="15"/>
      <c r="M115" s="14"/>
      <c r="N115" s="15"/>
      <c r="O115" s="14"/>
      <c r="P115" s="15"/>
      <c r="Q115" s="14"/>
      <c r="R115" s="15"/>
      <c r="S115" s="14"/>
      <c r="T115" s="15"/>
      <c r="U115" s="14"/>
      <c r="V115" s="15"/>
      <c r="W115" s="14"/>
      <c r="X115" s="15"/>
      <c r="Y115" s="14"/>
      <c r="Z115" s="15"/>
      <c r="AA115" s="14"/>
      <c r="AB115" s="15"/>
      <c r="AC115" s="14"/>
      <c r="AD115" s="15"/>
      <c r="AE115" s="14"/>
      <c r="AF115" s="15"/>
      <c r="AG115" s="14"/>
      <c r="AH115" s="15"/>
      <c r="AI115" s="14"/>
      <c r="AJ115" s="15"/>
      <c r="AK115" s="107"/>
    </row>
    <row r="116" spans="1:37" ht="16.5" customHeight="1" x14ac:dyDescent="0.2">
      <c r="A116" s="6"/>
      <c r="B116" s="135">
        <f t="shared" si="44"/>
        <v>6</v>
      </c>
      <c r="C116" s="21">
        <f>'Kelas XI'!C110</f>
        <v>16229</v>
      </c>
      <c r="D116" s="34" t="str">
        <f>'Kelas XI'!D110</f>
        <v>BIMA ABDUL ROZAK</v>
      </c>
      <c r="E116" s="14"/>
      <c r="F116" s="15"/>
      <c r="G116" s="14"/>
      <c r="H116" s="15"/>
      <c r="I116" s="14"/>
      <c r="J116" s="15"/>
      <c r="K116" s="14"/>
      <c r="L116" s="15"/>
      <c r="M116" s="14"/>
      <c r="N116" s="15"/>
      <c r="O116" s="14"/>
      <c r="P116" s="15"/>
      <c r="Q116" s="14"/>
      <c r="R116" s="15"/>
      <c r="S116" s="14"/>
      <c r="T116" s="15"/>
      <c r="U116" s="14"/>
      <c r="V116" s="15"/>
      <c r="W116" s="14"/>
      <c r="X116" s="15"/>
      <c r="Y116" s="14"/>
      <c r="Z116" s="15"/>
      <c r="AA116" s="14"/>
      <c r="AB116" s="15"/>
      <c r="AC116" s="14"/>
      <c r="AD116" s="15"/>
      <c r="AE116" s="14"/>
      <c r="AF116" s="15"/>
      <c r="AG116" s="14"/>
      <c r="AH116" s="15"/>
      <c r="AI116" s="14"/>
      <c r="AJ116" s="15"/>
      <c r="AK116" s="107"/>
    </row>
    <row r="117" spans="1:37" ht="16.5" customHeight="1" x14ac:dyDescent="0.2">
      <c r="A117" s="6"/>
      <c r="B117" s="135">
        <f t="shared" si="44"/>
        <v>7</v>
      </c>
      <c r="C117" s="21">
        <f>'Kelas XI'!C111</f>
        <v>16192</v>
      </c>
      <c r="D117" s="34" t="str">
        <f>'Kelas XI'!D111</f>
        <v>BINTANG ARYA PUDANA</v>
      </c>
      <c r="E117" s="14"/>
      <c r="F117" s="15"/>
      <c r="G117" s="14"/>
      <c r="H117" s="15"/>
      <c r="I117" s="14"/>
      <c r="J117" s="15"/>
      <c r="K117" s="14"/>
      <c r="L117" s="15"/>
      <c r="M117" s="14"/>
      <c r="N117" s="15"/>
      <c r="O117" s="14"/>
      <c r="P117" s="15"/>
      <c r="Q117" s="14"/>
      <c r="R117" s="15"/>
      <c r="S117" s="14"/>
      <c r="T117" s="15"/>
      <c r="U117" s="14"/>
      <c r="V117" s="15"/>
      <c r="W117" s="14"/>
      <c r="X117" s="15"/>
      <c r="Y117" s="14"/>
      <c r="Z117" s="15"/>
      <c r="AA117" s="14"/>
      <c r="AB117" s="15"/>
      <c r="AC117" s="14"/>
      <c r="AD117" s="15"/>
      <c r="AE117" s="14"/>
      <c r="AF117" s="15"/>
      <c r="AG117" s="14"/>
      <c r="AH117" s="15"/>
      <c r="AI117" s="14"/>
      <c r="AJ117" s="15"/>
      <c r="AK117" s="107"/>
    </row>
    <row r="118" spans="1:37" ht="16.5" customHeight="1" x14ac:dyDescent="0.2">
      <c r="A118" s="6"/>
      <c r="B118" s="135">
        <f t="shared" si="44"/>
        <v>8</v>
      </c>
      <c r="C118" s="21">
        <f>'Kelas XI'!C112</f>
        <v>16193</v>
      </c>
      <c r="D118" s="34" t="str">
        <f>'Kelas XI'!D112</f>
        <v>DANISWARA WISHNU HANANIA</v>
      </c>
      <c r="E118" s="14"/>
      <c r="F118" s="15"/>
      <c r="G118" s="14"/>
      <c r="H118" s="15"/>
      <c r="I118" s="14"/>
      <c r="J118" s="15"/>
      <c r="K118" s="14"/>
      <c r="L118" s="15"/>
      <c r="M118" s="14"/>
      <c r="N118" s="15"/>
      <c r="O118" s="14"/>
      <c r="P118" s="15"/>
      <c r="Q118" s="14"/>
      <c r="R118" s="15"/>
      <c r="S118" s="14"/>
      <c r="T118" s="15"/>
      <c r="U118" s="14"/>
      <c r="V118" s="15"/>
      <c r="W118" s="14"/>
      <c r="X118" s="15"/>
      <c r="Y118" s="14"/>
      <c r="Z118" s="15"/>
      <c r="AA118" s="14"/>
      <c r="AB118" s="15"/>
      <c r="AC118" s="14"/>
      <c r="AD118" s="15"/>
      <c r="AE118" s="14"/>
      <c r="AF118" s="15"/>
      <c r="AG118" s="14"/>
      <c r="AH118" s="15"/>
      <c r="AI118" s="14"/>
      <c r="AJ118" s="15"/>
      <c r="AK118" s="107"/>
    </row>
    <row r="119" spans="1:37" ht="16.5" customHeight="1" x14ac:dyDescent="0.2">
      <c r="A119" s="6"/>
      <c r="B119" s="135">
        <f t="shared" si="44"/>
        <v>9</v>
      </c>
      <c r="C119" s="21">
        <f>'Kelas XI'!C113</f>
        <v>16195</v>
      </c>
      <c r="D119" s="34" t="str">
        <f>'Kelas XI'!D113</f>
        <v>EKA BAYU WICAKSONO</v>
      </c>
      <c r="E119" s="14"/>
      <c r="F119" s="15"/>
      <c r="G119" s="14"/>
      <c r="H119" s="15"/>
      <c r="I119" s="14"/>
      <c r="J119" s="15"/>
      <c r="K119" s="14"/>
      <c r="L119" s="15"/>
      <c r="M119" s="14"/>
      <c r="N119" s="15"/>
      <c r="O119" s="14"/>
      <c r="P119" s="15"/>
      <c r="Q119" s="14"/>
      <c r="R119" s="15"/>
      <c r="S119" s="14"/>
      <c r="T119" s="15"/>
      <c r="U119" s="14"/>
      <c r="V119" s="15"/>
      <c r="W119" s="14"/>
      <c r="X119" s="15"/>
      <c r="Y119" s="14"/>
      <c r="Z119" s="15"/>
      <c r="AA119" s="14"/>
      <c r="AB119" s="15"/>
      <c r="AC119" s="14"/>
      <c r="AD119" s="15"/>
      <c r="AE119" s="14"/>
      <c r="AF119" s="15"/>
      <c r="AG119" s="14"/>
      <c r="AH119" s="15"/>
      <c r="AI119" s="14"/>
      <c r="AJ119" s="15"/>
      <c r="AK119" s="107"/>
    </row>
    <row r="120" spans="1:37" ht="16.5" customHeight="1" x14ac:dyDescent="0.2">
      <c r="A120" s="6"/>
      <c r="B120" s="135">
        <f t="shared" si="44"/>
        <v>10</v>
      </c>
      <c r="C120" s="21">
        <f>'Kelas XI'!C114</f>
        <v>16088</v>
      </c>
      <c r="D120" s="34" t="str">
        <f>'Kelas XI'!D114</f>
        <v>FAIZ MUFLIHUL KHAIR</v>
      </c>
      <c r="E120" s="14"/>
      <c r="F120" s="15"/>
      <c r="G120" s="14"/>
      <c r="H120" s="15"/>
      <c r="I120" s="14"/>
      <c r="J120" s="15"/>
      <c r="K120" s="14"/>
      <c r="L120" s="15"/>
      <c r="M120" s="14"/>
      <c r="N120" s="15"/>
      <c r="O120" s="14"/>
      <c r="P120" s="15"/>
      <c r="Q120" s="14"/>
      <c r="R120" s="15"/>
      <c r="S120" s="14"/>
      <c r="T120" s="15"/>
      <c r="U120" s="14"/>
      <c r="V120" s="15"/>
      <c r="W120" s="14"/>
      <c r="X120" s="15"/>
      <c r="Y120" s="14"/>
      <c r="Z120" s="15"/>
      <c r="AA120" s="14"/>
      <c r="AB120" s="15"/>
      <c r="AC120" s="14"/>
      <c r="AD120" s="15"/>
      <c r="AE120" s="14"/>
      <c r="AF120" s="15"/>
      <c r="AG120" s="14"/>
      <c r="AH120" s="15"/>
      <c r="AI120" s="14"/>
      <c r="AJ120" s="15"/>
      <c r="AK120" s="107"/>
    </row>
    <row r="121" spans="1:37" ht="16.5" customHeight="1" x14ac:dyDescent="0.2">
      <c r="A121" s="6"/>
      <c r="B121" s="135">
        <f t="shared" si="44"/>
        <v>11</v>
      </c>
      <c r="C121" s="21">
        <f>'Kelas XI'!C115</f>
        <v>16092</v>
      </c>
      <c r="D121" s="34" t="str">
        <f>'Kelas XI'!D115</f>
        <v>FATHAHILLAH KHOLIQ FURQANI</v>
      </c>
      <c r="E121" s="14"/>
      <c r="F121" s="15"/>
      <c r="G121" s="14"/>
      <c r="H121" s="15"/>
      <c r="I121" s="14"/>
      <c r="J121" s="15"/>
      <c r="K121" s="14"/>
      <c r="L121" s="15"/>
      <c r="M121" s="14"/>
      <c r="N121" s="15"/>
      <c r="O121" s="14"/>
      <c r="P121" s="15"/>
      <c r="Q121" s="14"/>
      <c r="R121" s="15"/>
      <c r="S121" s="14"/>
      <c r="T121" s="15"/>
      <c r="U121" s="14"/>
      <c r="V121" s="15"/>
      <c r="W121" s="14"/>
      <c r="X121" s="15"/>
      <c r="Y121" s="14"/>
      <c r="Z121" s="15"/>
      <c r="AA121" s="14"/>
      <c r="AB121" s="15"/>
      <c r="AC121" s="14"/>
      <c r="AD121" s="15"/>
      <c r="AE121" s="14"/>
      <c r="AF121" s="15"/>
      <c r="AG121" s="14"/>
      <c r="AH121" s="15"/>
      <c r="AI121" s="14"/>
      <c r="AJ121" s="15"/>
      <c r="AK121" s="107"/>
    </row>
    <row r="122" spans="1:37" ht="16.5" customHeight="1" x14ac:dyDescent="0.2">
      <c r="A122" s="6"/>
      <c r="B122" s="135">
        <f t="shared" si="44"/>
        <v>12</v>
      </c>
      <c r="C122" s="21">
        <f>'Kelas XI'!C116</f>
        <v>16165</v>
      </c>
      <c r="D122" s="34" t="str">
        <f>'Kelas XI'!D116</f>
        <v>GITO NUGROHO</v>
      </c>
      <c r="E122" s="14"/>
      <c r="F122" s="15"/>
      <c r="G122" s="14"/>
      <c r="H122" s="15"/>
      <c r="I122" s="14"/>
      <c r="J122" s="15"/>
      <c r="K122" s="14"/>
      <c r="L122" s="15"/>
      <c r="M122" s="14"/>
      <c r="N122" s="15"/>
      <c r="O122" s="14"/>
      <c r="P122" s="15"/>
      <c r="Q122" s="14"/>
      <c r="R122" s="15"/>
      <c r="S122" s="14"/>
      <c r="T122" s="15"/>
      <c r="U122" s="14"/>
      <c r="V122" s="15"/>
      <c r="W122" s="14"/>
      <c r="X122" s="15"/>
      <c r="Y122" s="14"/>
      <c r="Z122" s="15"/>
      <c r="AA122" s="14"/>
      <c r="AB122" s="15"/>
      <c r="AC122" s="14"/>
      <c r="AD122" s="15"/>
      <c r="AE122" s="14"/>
      <c r="AF122" s="15"/>
      <c r="AG122" s="14"/>
      <c r="AH122" s="15"/>
      <c r="AI122" s="14"/>
      <c r="AJ122" s="15"/>
      <c r="AK122" s="107"/>
    </row>
    <row r="123" spans="1:37" ht="16.5" customHeight="1" x14ac:dyDescent="0.2">
      <c r="A123" s="6"/>
      <c r="B123" s="135">
        <f t="shared" si="44"/>
        <v>13</v>
      </c>
      <c r="C123" s="21">
        <f>'Kelas XI'!C117</f>
        <v>16197</v>
      </c>
      <c r="D123" s="34" t="str">
        <f>'Kelas XI'!D117</f>
        <v>HAFIZ WIJAYA RAHADIAN</v>
      </c>
      <c r="E123" s="14"/>
      <c r="F123" s="15"/>
      <c r="G123" s="14"/>
      <c r="H123" s="15"/>
      <c r="I123" s="14"/>
      <c r="J123" s="15"/>
      <c r="K123" s="14"/>
      <c r="L123" s="15"/>
      <c r="M123" s="14"/>
      <c r="N123" s="15"/>
      <c r="O123" s="14"/>
      <c r="P123" s="15"/>
      <c r="Q123" s="14"/>
      <c r="R123" s="15"/>
      <c r="S123" s="14"/>
      <c r="T123" s="15"/>
      <c r="U123" s="14"/>
      <c r="V123" s="15"/>
      <c r="W123" s="14"/>
      <c r="X123" s="15"/>
      <c r="Y123" s="14"/>
      <c r="Z123" s="15"/>
      <c r="AA123" s="14"/>
      <c r="AB123" s="15"/>
      <c r="AC123" s="14"/>
      <c r="AD123" s="15"/>
      <c r="AE123" s="14"/>
      <c r="AF123" s="15"/>
      <c r="AG123" s="14"/>
      <c r="AH123" s="15"/>
      <c r="AI123" s="14"/>
      <c r="AJ123" s="15"/>
      <c r="AK123" s="107"/>
    </row>
    <row r="124" spans="1:37" ht="16.5" customHeight="1" x14ac:dyDescent="0.2">
      <c r="A124" s="6"/>
      <c r="B124" s="135">
        <f t="shared" si="44"/>
        <v>14</v>
      </c>
      <c r="C124" s="21">
        <f>'Kelas XI'!C118</f>
        <v>16200</v>
      </c>
      <c r="D124" s="34" t="str">
        <f>'Kelas XI'!D118</f>
        <v>HUMAM SHOLAHUDDIN AMAR</v>
      </c>
      <c r="E124" s="14"/>
      <c r="F124" s="15"/>
      <c r="G124" s="14"/>
      <c r="H124" s="15"/>
      <c r="I124" s="14"/>
      <c r="J124" s="15"/>
      <c r="K124" s="14"/>
      <c r="L124" s="15"/>
      <c r="M124" s="14"/>
      <c r="N124" s="15"/>
      <c r="O124" s="14"/>
      <c r="P124" s="15"/>
      <c r="Q124" s="14"/>
      <c r="R124" s="15"/>
      <c r="S124" s="14"/>
      <c r="T124" s="15"/>
      <c r="U124" s="14"/>
      <c r="V124" s="15"/>
      <c r="W124" s="14"/>
      <c r="X124" s="15"/>
      <c r="Y124" s="14"/>
      <c r="Z124" s="15"/>
      <c r="AA124" s="14"/>
      <c r="AB124" s="15"/>
      <c r="AC124" s="14"/>
      <c r="AD124" s="15"/>
      <c r="AE124" s="14"/>
      <c r="AF124" s="15"/>
      <c r="AG124" s="14"/>
      <c r="AH124" s="15"/>
      <c r="AI124" s="14"/>
      <c r="AJ124" s="15"/>
      <c r="AK124" s="107"/>
    </row>
    <row r="125" spans="1:37" ht="16.5" customHeight="1" x14ac:dyDescent="0.2">
      <c r="A125" s="6"/>
      <c r="B125" s="135">
        <f t="shared" si="44"/>
        <v>15</v>
      </c>
      <c r="C125" s="21">
        <f>'Kelas XI'!C119</f>
        <v>16168</v>
      </c>
      <c r="D125" s="34" t="str">
        <f>'Kelas XI'!D119</f>
        <v>KHARIM ABDILLAH RAJI</v>
      </c>
      <c r="E125" s="14"/>
      <c r="F125" s="15"/>
      <c r="G125" s="14"/>
      <c r="H125" s="15"/>
      <c r="I125" s="14"/>
      <c r="J125" s="15"/>
      <c r="K125" s="14"/>
      <c r="L125" s="15"/>
      <c r="M125" s="14"/>
      <c r="N125" s="15"/>
      <c r="O125" s="14"/>
      <c r="P125" s="15"/>
      <c r="Q125" s="14"/>
      <c r="R125" s="15"/>
      <c r="S125" s="14"/>
      <c r="T125" s="15"/>
      <c r="U125" s="14"/>
      <c r="V125" s="15"/>
      <c r="W125" s="14"/>
      <c r="X125" s="15"/>
      <c r="Y125" s="14"/>
      <c r="Z125" s="15"/>
      <c r="AA125" s="14"/>
      <c r="AB125" s="15"/>
      <c r="AC125" s="14"/>
      <c r="AD125" s="15"/>
      <c r="AE125" s="14"/>
      <c r="AF125" s="15"/>
      <c r="AG125" s="14"/>
      <c r="AH125" s="15"/>
      <c r="AI125" s="14"/>
      <c r="AJ125" s="15"/>
      <c r="AK125" s="107"/>
    </row>
    <row r="126" spans="1:37" ht="16.5" customHeight="1" x14ac:dyDescent="0.2">
      <c r="A126" s="6"/>
      <c r="B126" s="135">
        <f t="shared" si="44"/>
        <v>16</v>
      </c>
      <c r="C126" s="21">
        <f>'Kelas XI'!C120</f>
        <v>16236</v>
      </c>
      <c r="D126" s="34" t="str">
        <f>'Kelas XI'!D120</f>
        <v>LEO DWI SATRIA</v>
      </c>
      <c r="E126" s="14"/>
      <c r="F126" s="15"/>
      <c r="G126" s="14"/>
      <c r="H126" s="15"/>
      <c r="I126" s="14"/>
      <c r="J126" s="15"/>
      <c r="K126" s="14"/>
      <c r="L126" s="15"/>
      <c r="M126" s="14"/>
      <c r="N126" s="15"/>
      <c r="O126" s="14"/>
      <c r="P126" s="15"/>
      <c r="Q126" s="14"/>
      <c r="R126" s="15"/>
      <c r="S126" s="14"/>
      <c r="T126" s="15"/>
      <c r="U126" s="14"/>
      <c r="V126" s="15"/>
      <c r="W126" s="14"/>
      <c r="X126" s="15"/>
      <c r="Y126" s="14"/>
      <c r="Z126" s="15"/>
      <c r="AA126" s="14"/>
      <c r="AB126" s="15"/>
      <c r="AC126" s="14"/>
      <c r="AD126" s="15"/>
      <c r="AE126" s="14"/>
      <c r="AF126" s="15"/>
      <c r="AG126" s="14"/>
      <c r="AH126" s="15"/>
      <c r="AI126" s="14"/>
      <c r="AJ126" s="15"/>
      <c r="AK126" s="107"/>
    </row>
    <row r="127" spans="1:37" ht="16.5" customHeight="1" x14ac:dyDescent="0.2">
      <c r="A127" s="6"/>
      <c r="B127" s="135">
        <f t="shared" si="44"/>
        <v>17</v>
      </c>
      <c r="C127" s="21">
        <f>'Kelas XI'!C121</f>
        <v>16237</v>
      </c>
      <c r="D127" s="34" t="str">
        <f>'Kelas XI'!D121</f>
        <v>M. IBRA OUGUSTIUS CAHYO</v>
      </c>
      <c r="E127" s="14"/>
      <c r="F127" s="15"/>
      <c r="G127" s="14"/>
      <c r="H127" s="15"/>
      <c r="I127" s="14"/>
      <c r="J127" s="15"/>
      <c r="K127" s="14"/>
      <c r="L127" s="15"/>
      <c r="M127" s="14"/>
      <c r="N127" s="15"/>
      <c r="O127" s="14"/>
      <c r="P127" s="15"/>
      <c r="Q127" s="14"/>
      <c r="R127" s="15"/>
      <c r="S127" s="14"/>
      <c r="T127" s="15"/>
      <c r="U127" s="14"/>
      <c r="V127" s="15"/>
      <c r="W127" s="14"/>
      <c r="X127" s="15"/>
      <c r="Y127" s="14"/>
      <c r="Z127" s="15"/>
      <c r="AA127" s="14"/>
      <c r="AB127" s="15"/>
      <c r="AC127" s="14"/>
      <c r="AD127" s="15"/>
      <c r="AE127" s="14"/>
      <c r="AF127" s="15"/>
      <c r="AG127" s="14"/>
      <c r="AH127" s="15"/>
      <c r="AI127" s="14"/>
      <c r="AJ127" s="15"/>
      <c r="AK127" s="107"/>
    </row>
    <row r="128" spans="1:37" ht="16.5" customHeight="1" x14ac:dyDescent="0.2">
      <c r="A128" s="6"/>
      <c r="B128" s="135">
        <f t="shared" si="44"/>
        <v>18</v>
      </c>
      <c r="C128" s="21">
        <f>'Kelas XI'!C122</f>
        <v>16203</v>
      </c>
      <c r="D128" s="34" t="str">
        <f>'Kelas XI'!D122</f>
        <v>M. ZAKI BIMA NUR RAHMAN</v>
      </c>
      <c r="E128" s="14"/>
      <c r="F128" s="15"/>
      <c r="G128" s="14"/>
      <c r="H128" s="15"/>
      <c r="I128" s="14"/>
      <c r="J128" s="15"/>
      <c r="K128" s="14"/>
      <c r="L128" s="15"/>
      <c r="M128" s="14"/>
      <c r="N128" s="15"/>
      <c r="O128" s="14"/>
      <c r="P128" s="15"/>
      <c r="Q128" s="14"/>
      <c r="R128" s="15"/>
      <c r="S128" s="14"/>
      <c r="T128" s="15"/>
      <c r="U128" s="14"/>
      <c r="V128" s="15"/>
      <c r="W128" s="14"/>
      <c r="X128" s="15"/>
      <c r="Y128" s="14"/>
      <c r="Z128" s="15"/>
      <c r="AA128" s="14"/>
      <c r="AB128" s="15"/>
      <c r="AC128" s="14"/>
      <c r="AD128" s="15"/>
      <c r="AE128" s="14"/>
      <c r="AF128" s="15"/>
      <c r="AG128" s="14"/>
      <c r="AH128" s="15"/>
      <c r="AI128" s="14"/>
      <c r="AJ128" s="15"/>
      <c r="AK128" s="107"/>
    </row>
    <row r="129" spans="1:37" ht="16.5" customHeight="1" x14ac:dyDescent="0.2">
      <c r="A129" s="6"/>
      <c r="B129" s="135">
        <f t="shared" si="44"/>
        <v>19</v>
      </c>
      <c r="C129" s="21">
        <f>'Kelas XI'!C123</f>
        <v>16137</v>
      </c>
      <c r="D129" s="34" t="str">
        <f>'Kelas XI'!D123</f>
        <v>MAULANA AZKA RAFIE</v>
      </c>
      <c r="E129" s="14"/>
      <c r="F129" s="15"/>
      <c r="G129" s="14"/>
      <c r="H129" s="15"/>
      <c r="I129" s="14"/>
      <c r="J129" s="15"/>
      <c r="K129" s="14"/>
      <c r="L129" s="15"/>
      <c r="M129" s="14"/>
      <c r="N129" s="15"/>
      <c r="O129" s="14"/>
      <c r="P129" s="15"/>
      <c r="Q129" s="14"/>
      <c r="R129" s="15"/>
      <c r="S129" s="14"/>
      <c r="T129" s="15"/>
      <c r="U129" s="14"/>
      <c r="V129" s="15"/>
      <c r="W129" s="14"/>
      <c r="X129" s="15"/>
      <c r="Y129" s="14"/>
      <c r="Z129" s="15"/>
      <c r="AA129" s="14"/>
      <c r="AB129" s="15"/>
      <c r="AC129" s="14"/>
      <c r="AD129" s="15"/>
      <c r="AE129" s="14"/>
      <c r="AF129" s="15"/>
      <c r="AG129" s="14"/>
      <c r="AH129" s="15"/>
      <c r="AI129" s="14"/>
      <c r="AJ129" s="15"/>
      <c r="AK129" s="107"/>
    </row>
    <row r="130" spans="1:37" ht="16.5" customHeight="1" x14ac:dyDescent="0.2">
      <c r="A130" s="6"/>
      <c r="B130" s="135">
        <f t="shared" si="44"/>
        <v>20</v>
      </c>
      <c r="C130" s="21">
        <f>'Kelas XI'!C124</f>
        <v>16170</v>
      </c>
      <c r="D130" s="34" t="str">
        <f>'Kelas XI'!D124</f>
        <v>MICHAEL RAFA THORIQ KEMAL</v>
      </c>
      <c r="E130" s="14"/>
      <c r="F130" s="15"/>
      <c r="G130" s="14"/>
      <c r="H130" s="15"/>
      <c r="I130" s="14"/>
      <c r="J130" s="15"/>
      <c r="K130" s="14"/>
      <c r="L130" s="15"/>
      <c r="M130" s="14"/>
      <c r="N130" s="15"/>
      <c r="O130" s="14"/>
      <c r="P130" s="15"/>
      <c r="Q130" s="14"/>
      <c r="R130" s="15"/>
      <c r="S130" s="14"/>
      <c r="T130" s="15"/>
      <c r="U130" s="14"/>
      <c r="V130" s="15"/>
      <c r="W130" s="14"/>
      <c r="X130" s="15"/>
      <c r="Y130" s="14"/>
      <c r="Z130" s="15"/>
      <c r="AA130" s="14"/>
      <c r="AB130" s="15"/>
      <c r="AC130" s="14"/>
      <c r="AD130" s="15"/>
      <c r="AE130" s="14"/>
      <c r="AF130" s="15"/>
      <c r="AG130" s="14"/>
      <c r="AH130" s="15"/>
      <c r="AI130" s="14"/>
      <c r="AJ130" s="15"/>
      <c r="AK130" s="107"/>
    </row>
    <row r="131" spans="1:37" ht="16.5" customHeight="1" x14ac:dyDescent="0.2">
      <c r="A131" s="6"/>
      <c r="B131" s="135">
        <f t="shared" si="44"/>
        <v>21</v>
      </c>
      <c r="C131" s="21">
        <f>'Kelas XI'!C125</f>
        <v>16104</v>
      </c>
      <c r="D131" s="34" t="str">
        <f>'Kelas XI'!D125</f>
        <v>MUHAMMAD ADIB ALBASID</v>
      </c>
      <c r="E131" s="14"/>
      <c r="F131" s="15"/>
      <c r="G131" s="14"/>
      <c r="H131" s="15"/>
      <c r="I131" s="14"/>
      <c r="J131" s="15"/>
      <c r="K131" s="14"/>
      <c r="L131" s="15"/>
      <c r="M131" s="14"/>
      <c r="N131" s="15"/>
      <c r="O131" s="14"/>
      <c r="P131" s="15"/>
      <c r="Q131" s="14"/>
      <c r="R131" s="15"/>
      <c r="S131" s="14"/>
      <c r="T131" s="15"/>
      <c r="U131" s="14"/>
      <c r="V131" s="15"/>
      <c r="W131" s="14"/>
      <c r="X131" s="15"/>
      <c r="Y131" s="14"/>
      <c r="Z131" s="15"/>
      <c r="AA131" s="14"/>
      <c r="AB131" s="15"/>
      <c r="AC131" s="14"/>
      <c r="AD131" s="15"/>
      <c r="AE131" s="14"/>
      <c r="AF131" s="15"/>
      <c r="AG131" s="14"/>
      <c r="AH131" s="15"/>
      <c r="AI131" s="14"/>
      <c r="AJ131" s="15"/>
      <c r="AK131" s="107"/>
    </row>
    <row r="132" spans="1:37" ht="16.5" customHeight="1" x14ac:dyDescent="0.2">
      <c r="A132" s="6"/>
      <c r="B132" s="135">
        <f t="shared" si="44"/>
        <v>22</v>
      </c>
      <c r="C132" s="21">
        <f>'Kelas XI'!C126</f>
        <v>16146</v>
      </c>
      <c r="D132" s="34" t="str">
        <f>'Kelas XI'!D126</f>
        <v>MUHAMMAD ZUHDI SYAWALI</v>
      </c>
      <c r="E132" s="14"/>
      <c r="F132" s="15"/>
      <c r="G132" s="14"/>
      <c r="H132" s="15"/>
      <c r="I132" s="14"/>
      <c r="J132" s="15"/>
      <c r="K132" s="14"/>
      <c r="L132" s="15"/>
      <c r="M132" s="14"/>
      <c r="N132" s="15"/>
      <c r="O132" s="14"/>
      <c r="P132" s="15"/>
      <c r="Q132" s="14"/>
      <c r="R132" s="15"/>
      <c r="S132" s="14"/>
      <c r="T132" s="15"/>
      <c r="U132" s="14"/>
      <c r="V132" s="15"/>
      <c r="W132" s="14"/>
      <c r="X132" s="15"/>
      <c r="Y132" s="14"/>
      <c r="Z132" s="15"/>
      <c r="AA132" s="14"/>
      <c r="AB132" s="15"/>
      <c r="AC132" s="14"/>
      <c r="AD132" s="15"/>
      <c r="AE132" s="14"/>
      <c r="AF132" s="15"/>
      <c r="AG132" s="14"/>
      <c r="AH132" s="15"/>
      <c r="AI132" s="14"/>
      <c r="AJ132" s="15"/>
      <c r="AK132" s="107"/>
    </row>
    <row r="133" spans="1:37" ht="16.5" customHeight="1" x14ac:dyDescent="0.2">
      <c r="A133" s="6"/>
      <c r="B133" s="135">
        <f t="shared" si="44"/>
        <v>23</v>
      </c>
      <c r="C133" s="21">
        <f>'Kelas XI'!C127</f>
        <v>16217</v>
      </c>
      <c r="D133" s="34" t="str">
        <f>'Kelas XI'!D127</f>
        <v>RAFI EKA MAULANA</v>
      </c>
      <c r="E133" s="14"/>
      <c r="F133" s="15"/>
      <c r="G133" s="14"/>
      <c r="H133" s="15"/>
      <c r="I133" s="14"/>
      <c r="J133" s="15"/>
      <c r="K133" s="14"/>
      <c r="L133" s="15"/>
      <c r="M133" s="14"/>
      <c r="N133" s="15"/>
      <c r="O133" s="14"/>
      <c r="P133" s="15"/>
      <c r="Q133" s="14"/>
      <c r="R133" s="15"/>
      <c r="S133" s="14"/>
      <c r="T133" s="15"/>
      <c r="U133" s="14"/>
      <c r="V133" s="15"/>
      <c r="W133" s="14"/>
      <c r="X133" s="15"/>
      <c r="Y133" s="14"/>
      <c r="Z133" s="15"/>
      <c r="AA133" s="14"/>
      <c r="AB133" s="15"/>
      <c r="AC133" s="14"/>
      <c r="AD133" s="15"/>
      <c r="AE133" s="14"/>
      <c r="AF133" s="15"/>
      <c r="AG133" s="14"/>
      <c r="AH133" s="15"/>
      <c r="AI133" s="14"/>
      <c r="AJ133" s="15"/>
      <c r="AK133" s="107"/>
    </row>
    <row r="134" spans="1:37" ht="16.5" customHeight="1" x14ac:dyDescent="0.2">
      <c r="A134" s="6"/>
      <c r="B134" s="135">
        <f t="shared" si="44"/>
        <v>24</v>
      </c>
      <c r="C134" s="21">
        <f>'Kelas XI'!C128</f>
        <v>16252</v>
      </c>
      <c r="D134" s="34" t="str">
        <f>'Kelas XI'!D128</f>
        <v>REZA ZAKKI ASRA AL GHIFFAR</v>
      </c>
      <c r="E134" s="14"/>
      <c r="F134" s="15"/>
      <c r="G134" s="14"/>
      <c r="H134" s="15"/>
      <c r="I134" s="14"/>
      <c r="J134" s="15"/>
      <c r="K134" s="14"/>
      <c r="L134" s="15"/>
      <c r="M134" s="14"/>
      <c r="N134" s="15"/>
      <c r="O134" s="14"/>
      <c r="P134" s="15"/>
      <c r="Q134" s="14"/>
      <c r="R134" s="15"/>
      <c r="S134" s="14"/>
      <c r="T134" s="15"/>
      <c r="U134" s="14"/>
      <c r="V134" s="15"/>
      <c r="W134" s="14"/>
      <c r="X134" s="15"/>
      <c r="Y134" s="14"/>
      <c r="Z134" s="15"/>
      <c r="AA134" s="14"/>
      <c r="AB134" s="15"/>
      <c r="AC134" s="14"/>
      <c r="AD134" s="15"/>
      <c r="AE134" s="14"/>
      <c r="AF134" s="15"/>
      <c r="AG134" s="14"/>
      <c r="AH134" s="15"/>
      <c r="AI134" s="14"/>
      <c r="AJ134" s="15"/>
      <c r="AK134" s="107"/>
    </row>
    <row r="135" spans="1:37" ht="16.5" customHeight="1" x14ac:dyDescent="0.2">
      <c r="A135" s="6"/>
      <c r="B135" s="135">
        <f t="shared" si="44"/>
        <v>25</v>
      </c>
      <c r="C135" s="21">
        <f>'Kelas XI'!C129</f>
        <v>16110</v>
      </c>
      <c r="D135" s="34" t="str">
        <f>'Kelas XI'!D129</f>
        <v>SA'IF MUHAMMAD THOTI</v>
      </c>
      <c r="E135" s="14"/>
      <c r="F135" s="15"/>
      <c r="G135" s="14"/>
      <c r="H135" s="15"/>
      <c r="I135" s="14"/>
      <c r="J135" s="15"/>
      <c r="K135" s="14"/>
      <c r="L135" s="15"/>
      <c r="M135" s="14"/>
      <c r="N135" s="15"/>
      <c r="O135" s="14"/>
      <c r="P135" s="15"/>
      <c r="Q135" s="14"/>
      <c r="R135" s="15"/>
      <c r="S135" s="14"/>
      <c r="T135" s="15"/>
      <c r="U135" s="14"/>
      <c r="V135" s="15"/>
      <c r="W135" s="14"/>
      <c r="X135" s="15"/>
      <c r="Y135" s="14"/>
      <c r="Z135" s="15"/>
      <c r="AA135" s="14"/>
      <c r="AB135" s="15"/>
      <c r="AC135" s="14"/>
      <c r="AD135" s="15"/>
      <c r="AE135" s="14"/>
      <c r="AF135" s="15"/>
      <c r="AG135" s="14"/>
      <c r="AH135" s="15"/>
      <c r="AI135" s="14"/>
      <c r="AJ135" s="15"/>
      <c r="AK135" s="107"/>
    </row>
    <row r="136" spans="1:37" ht="16.5" customHeight="1" x14ac:dyDescent="0.2">
      <c r="A136" s="6"/>
      <c r="B136" s="135">
        <f t="shared" si="44"/>
        <v>26</v>
      </c>
      <c r="C136" s="21">
        <f>'Kelas XI'!C130</f>
        <v>16184</v>
      </c>
      <c r="D136" s="34" t="str">
        <f>'Kelas XI'!D130</f>
        <v>TUBAGUS AHMAD MUAYYAD MIFTAH</v>
      </c>
      <c r="E136" s="14"/>
      <c r="F136" s="15"/>
      <c r="G136" s="14"/>
      <c r="H136" s="15"/>
      <c r="I136" s="14"/>
      <c r="J136" s="15"/>
      <c r="K136" s="14"/>
      <c r="L136" s="15"/>
      <c r="M136" s="14"/>
      <c r="N136" s="15"/>
      <c r="O136" s="14"/>
      <c r="P136" s="15"/>
      <c r="Q136" s="14"/>
      <c r="R136" s="15"/>
      <c r="S136" s="14"/>
      <c r="T136" s="15"/>
      <c r="U136" s="14"/>
      <c r="V136" s="15"/>
      <c r="W136" s="14"/>
      <c r="X136" s="15"/>
      <c r="Y136" s="14"/>
      <c r="Z136" s="15"/>
      <c r="AA136" s="14"/>
      <c r="AB136" s="15"/>
      <c r="AC136" s="14"/>
      <c r="AD136" s="15"/>
      <c r="AE136" s="14"/>
      <c r="AF136" s="15"/>
      <c r="AG136" s="14"/>
      <c r="AH136" s="15"/>
      <c r="AI136" s="14"/>
      <c r="AJ136" s="15"/>
      <c r="AK136" s="107"/>
    </row>
    <row r="137" spans="1:37" ht="16.5" customHeight="1" x14ac:dyDescent="0.2">
      <c r="A137" s="6"/>
      <c r="B137" s="135">
        <f t="shared" si="44"/>
        <v>27</v>
      </c>
      <c r="C137" s="21">
        <f>'Kelas XI'!C131</f>
        <v>0</v>
      </c>
      <c r="D137" s="34">
        <f>'Kelas XI'!D131</f>
        <v>0</v>
      </c>
      <c r="E137" s="14"/>
      <c r="F137" s="15"/>
      <c r="G137" s="14"/>
      <c r="H137" s="15"/>
      <c r="I137" s="14"/>
      <c r="J137" s="15"/>
      <c r="K137" s="14"/>
      <c r="L137" s="15"/>
      <c r="M137" s="14"/>
      <c r="N137" s="15"/>
      <c r="O137" s="14"/>
      <c r="P137" s="15"/>
      <c r="Q137" s="14"/>
      <c r="R137" s="15"/>
      <c r="S137" s="14"/>
      <c r="T137" s="15"/>
      <c r="U137" s="14"/>
      <c r="V137" s="15"/>
      <c r="W137" s="14"/>
      <c r="X137" s="15"/>
      <c r="Y137" s="14"/>
      <c r="Z137" s="15"/>
      <c r="AA137" s="14"/>
      <c r="AB137" s="15"/>
      <c r="AC137" s="14"/>
      <c r="AD137" s="15"/>
      <c r="AE137" s="14"/>
      <c r="AF137" s="15"/>
      <c r="AG137" s="14"/>
      <c r="AH137" s="15"/>
      <c r="AI137" s="14"/>
      <c r="AJ137" s="15"/>
      <c r="AK137" s="107"/>
    </row>
    <row r="138" spans="1:37" ht="16.5" customHeight="1" x14ac:dyDescent="0.2">
      <c r="A138" s="6"/>
      <c r="B138" s="135">
        <f t="shared" si="44"/>
        <v>28</v>
      </c>
      <c r="C138" s="21">
        <f>'Kelas XI'!C132</f>
        <v>0</v>
      </c>
      <c r="D138" s="34">
        <f>'Kelas XI'!D132</f>
        <v>0</v>
      </c>
      <c r="E138" s="14"/>
      <c r="F138" s="15"/>
      <c r="G138" s="14"/>
      <c r="H138" s="15"/>
      <c r="I138" s="14"/>
      <c r="J138" s="15"/>
      <c r="K138" s="14"/>
      <c r="L138" s="15"/>
      <c r="M138" s="14"/>
      <c r="N138" s="15"/>
      <c r="O138" s="14"/>
      <c r="P138" s="15"/>
      <c r="Q138" s="14"/>
      <c r="R138" s="15"/>
      <c r="S138" s="14"/>
      <c r="T138" s="15"/>
      <c r="U138" s="14"/>
      <c r="V138" s="15"/>
      <c r="W138" s="14"/>
      <c r="X138" s="15"/>
      <c r="Y138" s="14"/>
      <c r="Z138" s="15"/>
      <c r="AA138" s="14"/>
      <c r="AB138" s="15"/>
      <c r="AC138" s="14"/>
      <c r="AD138" s="15"/>
      <c r="AE138" s="14"/>
      <c r="AF138" s="15"/>
      <c r="AG138" s="14"/>
      <c r="AH138" s="15"/>
      <c r="AI138" s="14"/>
      <c r="AJ138" s="15"/>
      <c r="AK138" s="107"/>
    </row>
    <row r="139" spans="1:37" ht="16.5" customHeight="1" x14ac:dyDescent="0.2">
      <c r="A139" s="6"/>
      <c r="B139" s="135">
        <f t="shared" si="44"/>
        <v>29</v>
      </c>
      <c r="C139" s="21">
        <f>'Kelas XI'!C133</f>
        <v>0</v>
      </c>
      <c r="D139" s="34">
        <f>'Kelas XI'!D133</f>
        <v>0</v>
      </c>
      <c r="E139" s="16"/>
      <c r="F139" s="17"/>
      <c r="G139" s="16"/>
      <c r="H139" s="17"/>
      <c r="I139" s="16"/>
      <c r="J139" s="17"/>
      <c r="K139" s="16"/>
      <c r="L139" s="17"/>
      <c r="M139" s="16"/>
      <c r="N139" s="17"/>
      <c r="O139" s="16"/>
      <c r="P139" s="17"/>
      <c r="Q139" s="16"/>
      <c r="R139" s="17"/>
      <c r="S139" s="16"/>
      <c r="T139" s="17"/>
      <c r="U139" s="16"/>
      <c r="V139" s="17"/>
      <c r="W139" s="16"/>
      <c r="X139" s="17"/>
      <c r="Y139" s="16"/>
      <c r="Z139" s="17"/>
      <c r="AA139" s="16"/>
      <c r="AB139" s="17"/>
      <c r="AC139" s="16"/>
      <c r="AD139" s="17"/>
      <c r="AE139" s="16"/>
      <c r="AF139" s="17"/>
      <c r="AG139" s="16"/>
      <c r="AH139" s="17"/>
      <c r="AI139" s="16"/>
      <c r="AJ139" s="17"/>
      <c r="AK139" s="107"/>
    </row>
    <row r="140" spans="1:37" ht="16.5" customHeight="1" x14ac:dyDescent="0.2">
      <c r="A140" s="6"/>
      <c r="B140" s="135">
        <f t="shared" si="44"/>
        <v>30</v>
      </c>
      <c r="C140" s="21">
        <f>'Kelas XI'!C134</f>
        <v>0</v>
      </c>
      <c r="D140" s="34">
        <f>'Kelas XI'!D134</f>
        <v>0</v>
      </c>
      <c r="E140" s="16"/>
      <c r="F140" s="17"/>
      <c r="G140" s="16"/>
      <c r="H140" s="17"/>
      <c r="I140" s="16"/>
      <c r="J140" s="17"/>
      <c r="K140" s="16"/>
      <c r="L140" s="17"/>
      <c r="M140" s="16"/>
      <c r="N140" s="17"/>
      <c r="O140" s="16"/>
      <c r="P140" s="17"/>
      <c r="Q140" s="16"/>
      <c r="R140" s="17"/>
      <c r="S140" s="16"/>
      <c r="T140" s="17"/>
      <c r="U140" s="16"/>
      <c r="V140" s="17"/>
      <c r="W140" s="16"/>
      <c r="X140" s="17"/>
      <c r="Y140" s="16"/>
      <c r="Z140" s="17"/>
      <c r="AA140" s="16"/>
      <c r="AB140" s="17"/>
      <c r="AC140" s="16"/>
      <c r="AD140" s="17"/>
      <c r="AE140" s="16"/>
      <c r="AF140" s="17"/>
      <c r="AG140" s="16"/>
      <c r="AH140" s="17"/>
      <c r="AI140" s="16"/>
      <c r="AJ140" s="17"/>
      <c r="AK140" s="107"/>
    </row>
    <row r="141" spans="1:37" ht="16.5" customHeight="1" x14ac:dyDescent="0.2">
      <c r="A141" s="6"/>
      <c r="B141" s="135">
        <f t="shared" si="44"/>
        <v>31</v>
      </c>
      <c r="C141" s="21">
        <f>'Kelas XI'!C135</f>
        <v>0</v>
      </c>
      <c r="D141" s="34">
        <f>'Kelas XI'!D135</f>
        <v>0</v>
      </c>
      <c r="E141" s="16"/>
      <c r="F141" s="17"/>
      <c r="G141" s="16"/>
      <c r="H141" s="17"/>
      <c r="I141" s="16"/>
      <c r="J141" s="17"/>
      <c r="K141" s="16"/>
      <c r="L141" s="17"/>
      <c r="M141" s="16"/>
      <c r="N141" s="17"/>
      <c r="O141" s="16"/>
      <c r="P141" s="17"/>
      <c r="Q141" s="16"/>
      <c r="R141" s="17"/>
      <c r="S141" s="16"/>
      <c r="T141" s="17"/>
      <c r="U141" s="16"/>
      <c r="V141" s="17"/>
      <c r="W141" s="16"/>
      <c r="X141" s="17"/>
      <c r="Y141" s="16"/>
      <c r="Z141" s="17"/>
      <c r="AA141" s="16"/>
      <c r="AB141" s="17"/>
      <c r="AC141" s="16"/>
      <c r="AD141" s="17"/>
      <c r="AE141" s="16"/>
      <c r="AF141" s="17"/>
      <c r="AG141" s="16"/>
      <c r="AH141" s="17"/>
      <c r="AI141" s="16"/>
      <c r="AJ141" s="17"/>
      <c r="AK141" s="107"/>
    </row>
    <row r="142" spans="1:37" ht="16.5" customHeight="1" x14ac:dyDescent="0.2">
      <c r="A142" s="6"/>
      <c r="B142" s="135">
        <f t="shared" si="44"/>
        <v>32</v>
      </c>
      <c r="C142" s="21">
        <f>'Kelas XI'!C136</f>
        <v>0</v>
      </c>
      <c r="D142" s="34">
        <f>'Kelas XI'!D136</f>
        <v>0</v>
      </c>
      <c r="E142" s="16"/>
      <c r="F142" s="17"/>
      <c r="G142" s="16"/>
      <c r="H142" s="17"/>
      <c r="I142" s="16"/>
      <c r="J142" s="17"/>
      <c r="K142" s="16"/>
      <c r="L142" s="17"/>
      <c r="M142" s="16"/>
      <c r="N142" s="17"/>
      <c r="O142" s="16"/>
      <c r="P142" s="17"/>
      <c r="Q142" s="16"/>
      <c r="R142" s="17"/>
      <c r="S142" s="16"/>
      <c r="T142" s="17"/>
      <c r="U142" s="16"/>
      <c r="V142" s="17"/>
      <c r="W142" s="16"/>
      <c r="X142" s="17"/>
      <c r="Y142" s="16"/>
      <c r="Z142" s="17"/>
      <c r="AA142" s="16"/>
      <c r="AB142" s="17"/>
      <c r="AC142" s="16"/>
      <c r="AD142" s="17"/>
      <c r="AE142" s="16"/>
      <c r="AF142" s="17"/>
      <c r="AG142" s="16"/>
      <c r="AH142" s="17"/>
      <c r="AI142" s="16"/>
      <c r="AJ142" s="17"/>
      <c r="AK142" s="107"/>
    </row>
    <row r="143" spans="1:37" ht="16.5" customHeight="1" x14ac:dyDescent="0.2">
      <c r="A143" s="6"/>
      <c r="B143" s="135">
        <f t="shared" si="44"/>
        <v>33</v>
      </c>
      <c r="C143" s="21">
        <f>'Kelas XI'!C137</f>
        <v>0</v>
      </c>
      <c r="D143" s="34">
        <f>'Kelas XI'!D137</f>
        <v>0</v>
      </c>
      <c r="E143" s="16"/>
      <c r="F143" s="17"/>
      <c r="G143" s="16"/>
      <c r="H143" s="17"/>
      <c r="I143" s="16"/>
      <c r="J143" s="17"/>
      <c r="K143" s="16"/>
      <c r="L143" s="17"/>
      <c r="M143" s="16"/>
      <c r="N143" s="17"/>
      <c r="O143" s="16"/>
      <c r="P143" s="17"/>
      <c r="Q143" s="16"/>
      <c r="R143" s="17"/>
      <c r="S143" s="16"/>
      <c r="T143" s="17"/>
      <c r="U143" s="16"/>
      <c r="V143" s="17"/>
      <c r="W143" s="16"/>
      <c r="X143" s="17"/>
      <c r="Y143" s="16"/>
      <c r="Z143" s="17"/>
      <c r="AA143" s="16"/>
      <c r="AB143" s="17"/>
      <c r="AC143" s="16"/>
      <c r="AD143" s="17"/>
      <c r="AE143" s="16"/>
      <c r="AF143" s="17"/>
      <c r="AG143" s="16"/>
      <c r="AH143" s="17"/>
      <c r="AI143" s="16"/>
      <c r="AJ143" s="17"/>
      <c r="AK143" s="107"/>
    </row>
    <row r="144" spans="1:37" ht="16.5" customHeight="1" x14ac:dyDescent="0.2">
      <c r="A144" s="6"/>
      <c r="B144" s="135">
        <f t="shared" si="44"/>
        <v>34</v>
      </c>
      <c r="C144" s="21">
        <f>'Kelas XI'!C138</f>
        <v>0</v>
      </c>
      <c r="D144" s="34">
        <f>'Kelas XI'!D138</f>
        <v>0</v>
      </c>
      <c r="E144" s="16"/>
      <c r="F144" s="17"/>
      <c r="G144" s="16"/>
      <c r="H144" s="17"/>
      <c r="I144" s="16"/>
      <c r="J144" s="17"/>
      <c r="K144" s="16"/>
      <c r="L144" s="17"/>
      <c r="M144" s="16"/>
      <c r="N144" s="17"/>
      <c r="O144" s="16"/>
      <c r="P144" s="17"/>
      <c r="Q144" s="16"/>
      <c r="R144" s="17"/>
      <c r="S144" s="16"/>
      <c r="T144" s="17"/>
      <c r="U144" s="16"/>
      <c r="V144" s="17"/>
      <c r="W144" s="16"/>
      <c r="X144" s="17"/>
      <c r="Y144" s="16"/>
      <c r="Z144" s="17"/>
      <c r="AA144" s="16"/>
      <c r="AB144" s="17"/>
      <c r="AC144" s="16"/>
      <c r="AD144" s="17"/>
      <c r="AE144" s="16"/>
      <c r="AF144" s="17"/>
      <c r="AG144" s="16"/>
      <c r="AH144" s="17"/>
      <c r="AI144" s="16"/>
      <c r="AJ144" s="17"/>
      <c r="AK144" s="107"/>
    </row>
    <row r="145" spans="1:37" ht="16.5" customHeight="1" x14ac:dyDescent="0.2">
      <c r="A145" s="6"/>
      <c r="B145" s="135">
        <f t="shared" si="44"/>
        <v>35</v>
      </c>
      <c r="C145" s="21">
        <f>'Kelas XI'!C139</f>
        <v>0</v>
      </c>
      <c r="D145" s="34">
        <f>'Kelas XI'!D139</f>
        <v>0</v>
      </c>
      <c r="E145" s="16"/>
      <c r="F145" s="17"/>
      <c r="G145" s="16"/>
      <c r="H145" s="17"/>
      <c r="I145" s="16"/>
      <c r="J145" s="17"/>
      <c r="K145" s="16"/>
      <c r="L145" s="17"/>
      <c r="M145" s="16"/>
      <c r="N145" s="17"/>
      <c r="O145" s="16"/>
      <c r="P145" s="17"/>
      <c r="Q145" s="16"/>
      <c r="R145" s="17"/>
      <c r="S145" s="16"/>
      <c r="T145" s="17"/>
      <c r="U145" s="16"/>
      <c r="V145" s="17"/>
      <c r="W145" s="16"/>
      <c r="X145" s="17"/>
      <c r="Y145" s="16"/>
      <c r="Z145" s="17"/>
      <c r="AA145" s="16"/>
      <c r="AB145" s="17"/>
      <c r="AC145" s="16"/>
      <c r="AD145" s="17"/>
      <c r="AE145" s="16"/>
      <c r="AF145" s="17"/>
      <c r="AG145" s="16"/>
      <c r="AH145" s="17"/>
      <c r="AI145" s="16"/>
      <c r="AJ145" s="17"/>
      <c r="AK145" s="107"/>
    </row>
    <row r="146" spans="1:37" ht="16.5" customHeight="1" x14ac:dyDescent="0.2">
      <c r="A146" s="6"/>
      <c r="B146" s="135">
        <f t="shared" si="44"/>
        <v>36</v>
      </c>
      <c r="C146" s="21">
        <f>'Kelas XI'!C140</f>
        <v>0</v>
      </c>
      <c r="D146" s="34">
        <f>'Kelas XI'!D140</f>
        <v>0</v>
      </c>
      <c r="E146" s="16"/>
      <c r="F146" s="17"/>
      <c r="G146" s="16"/>
      <c r="H146" s="17"/>
      <c r="I146" s="16"/>
      <c r="J146" s="17"/>
      <c r="K146" s="16"/>
      <c r="L146" s="17"/>
      <c r="M146" s="16"/>
      <c r="N146" s="17"/>
      <c r="O146" s="16"/>
      <c r="P146" s="17"/>
      <c r="Q146" s="16"/>
      <c r="R146" s="17"/>
      <c r="S146" s="16"/>
      <c r="T146" s="17"/>
      <c r="U146" s="16"/>
      <c r="V146" s="17"/>
      <c r="W146" s="16"/>
      <c r="X146" s="17"/>
      <c r="Y146" s="16"/>
      <c r="Z146" s="17"/>
      <c r="AA146" s="16"/>
      <c r="AB146" s="17"/>
      <c r="AC146" s="16"/>
      <c r="AD146" s="17"/>
      <c r="AE146" s="16"/>
      <c r="AF146" s="17"/>
      <c r="AG146" s="16"/>
      <c r="AH146" s="17"/>
      <c r="AI146" s="16"/>
      <c r="AJ146" s="17"/>
      <c r="AK146" s="107"/>
    </row>
    <row r="147" spans="1:37" ht="16.5" customHeight="1" x14ac:dyDescent="0.2">
      <c r="A147" s="6"/>
      <c r="B147" s="135">
        <f t="shared" si="44"/>
        <v>37</v>
      </c>
      <c r="C147" s="21">
        <f>'Kelas XI'!C141</f>
        <v>0</v>
      </c>
      <c r="D147" s="34">
        <f>'Kelas XI'!D141</f>
        <v>0</v>
      </c>
      <c r="E147" s="16"/>
      <c r="F147" s="17"/>
      <c r="G147" s="16"/>
      <c r="H147" s="17"/>
      <c r="I147" s="16"/>
      <c r="J147" s="17"/>
      <c r="K147" s="16"/>
      <c r="L147" s="17"/>
      <c r="M147" s="16"/>
      <c r="N147" s="17"/>
      <c r="O147" s="16"/>
      <c r="P147" s="17"/>
      <c r="Q147" s="16"/>
      <c r="R147" s="17"/>
      <c r="S147" s="16"/>
      <c r="T147" s="17"/>
      <c r="U147" s="16"/>
      <c r="V147" s="17"/>
      <c r="W147" s="16"/>
      <c r="X147" s="17"/>
      <c r="Y147" s="16"/>
      <c r="Z147" s="17"/>
      <c r="AA147" s="16"/>
      <c r="AB147" s="17"/>
      <c r="AC147" s="16"/>
      <c r="AD147" s="17"/>
      <c r="AE147" s="16"/>
      <c r="AF147" s="17"/>
      <c r="AG147" s="16"/>
      <c r="AH147" s="17"/>
      <c r="AI147" s="16"/>
      <c r="AJ147" s="17"/>
      <c r="AK147" s="107"/>
    </row>
    <row r="148" spans="1:37" ht="16.5" customHeight="1" x14ac:dyDescent="0.2">
      <c r="A148" s="6"/>
      <c r="B148" s="135">
        <f t="shared" si="44"/>
        <v>38</v>
      </c>
      <c r="C148" s="21">
        <f>'Kelas XI'!C142</f>
        <v>0</v>
      </c>
      <c r="D148" s="34">
        <f>'Kelas XI'!D142</f>
        <v>0</v>
      </c>
      <c r="E148" s="16"/>
      <c r="F148" s="17"/>
      <c r="G148" s="16"/>
      <c r="H148" s="17"/>
      <c r="I148" s="16"/>
      <c r="J148" s="17"/>
      <c r="K148" s="16"/>
      <c r="L148" s="17"/>
      <c r="M148" s="16"/>
      <c r="N148" s="17"/>
      <c r="O148" s="16"/>
      <c r="P148" s="17"/>
      <c r="Q148" s="16"/>
      <c r="R148" s="17"/>
      <c r="S148" s="16"/>
      <c r="T148" s="17"/>
      <c r="U148" s="16"/>
      <c r="V148" s="17"/>
      <c r="W148" s="16"/>
      <c r="X148" s="17"/>
      <c r="Y148" s="16"/>
      <c r="Z148" s="17"/>
      <c r="AA148" s="16"/>
      <c r="AB148" s="17"/>
      <c r="AC148" s="16"/>
      <c r="AD148" s="17"/>
      <c r="AE148" s="16"/>
      <c r="AF148" s="17"/>
      <c r="AG148" s="16"/>
      <c r="AH148" s="17"/>
      <c r="AI148" s="16"/>
      <c r="AJ148" s="17"/>
      <c r="AK148" s="107"/>
    </row>
    <row r="149" spans="1:37" ht="16.5" customHeight="1" x14ac:dyDescent="0.2">
      <c r="A149" s="6"/>
      <c r="B149" s="135">
        <f t="shared" si="44"/>
        <v>39</v>
      </c>
      <c r="C149" s="21">
        <f>'Kelas XI'!C143</f>
        <v>0</v>
      </c>
      <c r="D149" s="34">
        <f>'Kelas XI'!D143</f>
        <v>0</v>
      </c>
      <c r="E149" s="16"/>
      <c r="F149" s="17"/>
      <c r="G149" s="16"/>
      <c r="H149" s="17"/>
      <c r="I149" s="16"/>
      <c r="J149" s="17"/>
      <c r="K149" s="16"/>
      <c r="L149" s="17"/>
      <c r="M149" s="16"/>
      <c r="N149" s="17"/>
      <c r="O149" s="16"/>
      <c r="P149" s="17"/>
      <c r="Q149" s="16"/>
      <c r="R149" s="17"/>
      <c r="S149" s="16"/>
      <c r="T149" s="17"/>
      <c r="U149" s="16"/>
      <c r="V149" s="17"/>
      <c r="W149" s="16"/>
      <c r="X149" s="17"/>
      <c r="Y149" s="16"/>
      <c r="Z149" s="17"/>
      <c r="AA149" s="16"/>
      <c r="AB149" s="17"/>
      <c r="AC149" s="16"/>
      <c r="AD149" s="17"/>
      <c r="AE149" s="16"/>
      <c r="AF149" s="17"/>
      <c r="AG149" s="16"/>
      <c r="AH149" s="17"/>
      <c r="AI149" s="16"/>
      <c r="AJ149" s="17"/>
      <c r="AK149" s="107"/>
    </row>
    <row r="150" spans="1:37" ht="16.5" customHeight="1" thickBot="1" x14ac:dyDescent="0.25">
      <c r="A150" s="6"/>
      <c r="B150" s="143">
        <v>40</v>
      </c>
      <c r="C150" s="144">
        <f>'Kelas XI'!C144</f>
        <v>0</v>
      </c>
      <c r="D150" s="147">
        <f>'Kelas XI'!D144</f>
        <v>0</v>
      </c>
      <c r="E150" s="18"/>
      <c r="F150" s="19"/>
      <c r="G150" s="18"/>
      <c r="H150" s="19"/>
      <c r="I150" s="18"/>
      <c r="J150" s="19"/>
      <c r="K150" s="18"/>
      <c r="L150" s="19"/>
      <c r="M150" s="18"/>
      <c r="N150" s="19"/>
      <c r="O150" s="18"/>
      <c r="P150" s="19"/>
      <c r="Q150" s="18"/>
      <c r="R150" s="19"/>
      <c r="S150" s="18"/>
      <c r="T150" s="19"/>
      <c r="U150" s="18"/>
      <c r="V150" s="19"/>
      <c r="W150" s="18"/>
      <c r="X150" s="19"/>
      <c r="Y150" s="18"/>
      <c r="Z150" s="19"/>
      <c r="AA150" s="18"/>
      <c r="AB150" s="19"/>
      <c r="AC150" s="18"/>
      <c r="AD150" s="19"/>
      <c r="AE150" s="18"/>
      <c r="AF150" s="19"/>
      <c r="AG150" s="18"/>
      <c r="AH150" s="19"/>
      <c r="AI150" s="18"/>
      <c r="AJ150" s="19"/>
      <c r="AK150" s="107"/>
    </row>
    <row r="151" spans="1:37" ht="16.5" customHeight="1" x14ac:dyDescent="0.2">
      <c r="A151" s="6"/>
      <c r="B151" s="6"/>
      <c r="C151" s="20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149"/>
      <c r="AK151" s="6"/>
    </row>
    <row r="152" spans="1:37" ht="16.5" customHeight="1" thickBo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150"/>
      <c r="AK152" s="6"/>
    </row>
    <row r="153" spans="1:37" ht="16.5" customHeight="1" x14ac:dyDescent="0.2">
      <c r="A153" s="6"/>
      <c r="B153" s="279"/>
      <c r="C153" s="280"/>
      <c r="D153" s="283" t="s">
        <v>3</v>
      </c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  <c r="AA153" s="284"/>
      <c r="AB153" s="284"/>
      <c r="AC153" s="284"/>
      <c r="AD153" s="284"/>
      <c r="AE153" s="284"/>
      <c r="AF153" s="284"/>
      <c r="AG153" s="284"/>
      <c r="AH153" s="284"/>
      <c r="AI153" s="284"/>
      <c r="AJ153" s="285"/>
      <c r="AK153" s="107"/>
    </row>
    <row r="154" spans="1:37" ht="16.5" customHeight="1" x14ac:dyDescent="0.2">
      <c r="A154" s="6"/>
      <c r="B154" s="281"/>
      <c r="C154" s="282"/>
      <c r="D154" s="286" t="s">
        <v>4</v>
      </c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87"/>
      <c r="AB154" s="287"/>
      <c r="AC154" s="287"/>
      <c r="AD154" s="287"/>
      <c r="AE154" s="287"/>
      <c r="AF154" s="287"/>
      <c r="AG154" s="287"/>
      <c r="AH154" s="287"/>
      <c r="AI154" s="287"/>
      <c r="AJ154" s="288"/>
      <c r="AK154" s="107"/>
    </row>
    <row r="155" spans="1:37" ht="16.5" customHeight="1" x14ac:dyDescent="0.2">
      <c r="A155" s="6"/>
      <c r="B155" s="281"/>
      <c r="C155" s="282"/>
      <c r="D155" s="286" t="s">
        <v>547</v>
      </c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  <c r="AA155" s="287"/>
      <c r="AB155" s="287"/>
      <c r="AC155" s="287"/>
      <c r="AD155" s="287"/>
      <c r="AE155" s="287"/>
      <c r="AF155" s="287"/>
      <c r="AG155" s="287"/>
      <c r="AH155" s="287"/>
      <c r="AI155" s="287"/>
      <c r="AJ155" s="288"/>
      <c r="AK155" s="107"/>
    </row>
    <row r="156" spans="1:37" ht="16.5" customHeight="1" thickBot="1" x14ac:dyDescent="0.25">
      <c r="A156" s="6"/>
      <c r="B156" s="281"/>
      <c r="C156" s="282"/>
      <c r="D156" s="289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90"/>
      <c r="AB156" s="290"/>
      <c r="AC156" s="290"/>
      <c r="AD156" s="290"/>
      <c r="AE156" s="290"/>
      <c r="AF156" s="290"/>
      <c r="AG156" s="290"/>
      <c r="AH156" s="290"/>
      <c r="AI156" s="290"/>
      <c r="AJ156" s="291"/>
      <c r="AK156" s="107"/>
    </row>
    <row r="157" spans="1:37" ht="16.5" customHeight="1" thickBot="1" x14ac:dyDescent="0.25">
      <c r="A157" s="6"/>
      <c r="B157" s="292"/>
      <c r="C157" s="293"/>
      <c r="D157" s="9" t="s">
        <v>553</v>
      </c>
      <c r="E157" s="10" t="s">
        <v>11</v>
      </c>
      <c r="F157" s="10"/>
      <c r="G157" s="10"/>
      <c r="H157" s="10"/>
      <c r="I157" s="10"/>
      <c r="J157" s="149"/>
      <c r="K157" s="10"/>
      <c r="L157" s="10"/>
      <c r="M157" s="10"/>
      <c r="N157" s="10"/>
      <c r="O157" s="10"/>
      <c r="P157" s="10"/>
      <c r="Q157" s="10"/>
      <c r="R157" s="10"/>
      <c r="S157" s="10" t="str">
        <f>'Kelas XI'!F150</f>
        <v>Wali Kelas   : DWI INDAH LESTARI, S.Pd</v>
      </c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58"/>
      <c r="AK157" s="107"/>
    </row>
    <row r="158" spans="1:37" ht="16.5" customHeight="1" thickBot="1" x14ac:dyDescent="0.25">
      <c r="A158" s="6"/>
      <c r="B158" s="294" t="s">
        <v>6</v>
      </c>
      <c r="C158" s="294"/>
      <c r="D158" s="295" t="s">
        <v>7</v>
      </c>
      <c r="E158" s="292" t="s">
        <v>519</v>
      </c>
      <c r="F158" s="298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  <c r="R158" s="298"/>
      <c r="S158" s="298"/>
      <c r="T158" s="298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298"/>
      <c r="AG158" s="298"/>
      <c r="AH158" s="298"/>
      <c r="AI158" s="298"/>
      <c r="AJ158" s="293"/>
      <c r="AK158" s="107"/>
    </row>
    <row r="159" spans="1:37" ht="16.5" customHeight="1" thickBot="1" x14ac:dyDescent="0.25">
      <c r="A159" s="6"/>
      <c r="B159" s="295" t="s">
        <v>8</v>
      </c>
      <c r="C159" s="295" t="s">
        <v>9</v>
      </c>
      <c r="D159" s="296"/>
      <c r="E159" s="292">
        <f>E8</f>
        <v>17</v>
      </c>
      <c r="F159" s="298"/>
      <c r="G159" s="292">
        <f>E159+1</f>
        <v>18</v>
      </c>
      <c r="H159" s="298"/>
      <c r="I159" s="292">
        <f t="shared" ref="I159" si="45">G159+1</f>
        <v>19</v>
      </c>
      <c r="J159" s="298"/>
      <c r="K159" s="292">
        <f t="shared" ref="K159" si="46">I159+1</f>
        <v>20</v>
      </c>
      <c r="L159" s="298"/>
      <c r="M159" s="292">
        <f t="shared" ref="M159" si="47">K159+1</f>
        <v>21</v>
      </c>
      <c r="N159" s="298"/>
      <c r="O159" s="292">
        <f t="shared" ref="O159" si="48">M159+1</f>
        <v>22</v>
      </c>
      <c r="P159" s="298"/>
      <c r="Q159" s="292">
        <f t="shared" ref="Q159" si="49">O159+1</f>
        <v>23</v>
      </c>
      <c r="R159" s="298"/>
      <c r="S159" s="292">
        <f t="shared" ref="S159" si="50">Q159+1</f>
        <v>24</v>
      </c>
      <c r="T159" s="298"/>
      <c r="U159" s="292">
        <f t="shared" ref="U159" si="51">S159+1</f>
        <v>25</v>
      </c>
      <c r="V159" s="298"/>
      <c r="W159" s="292">
        <f t="shared" ref="W159" si="52">U159+1</f>
        <v>26</v>
      </c>
      <c r="X159" s="298"/>
      <c r="Y159" s="292">
        <f t="shared" ref="Y159" si="53">W159+1</f>
        <v>27</v>
      </c>
      <c r="Z159" s="298"/>
      <c r="AA159" s="292">
        <f t="shared" ref="AA159" si="54">Y159+1</f>
        <v>28</v>
      </c>
      <c r="AB159" s="298"/>
      <c r="AC159" s="292">
        <f t="shared" ref="AC159" si="55">AA159+1</f>
        <v>29</v>
      </c>
      <c r="AD159" s="298"/>
      <c r="AE159" s="292">
        <f t="shared" ref="AE159" si="56">AC159+1</f>
        <v>30</v>
      </c>
      <c r="AF159" s="298"/>
      <c r="AG159" s="292">
        <f t="shared" ref="AG159" si="57">AE159+1</f>
        <v>31</v>
      </c>
      <c r="AH159" s="298"/>
      <c r="AI159" s="292">
        <f t="shared" ref="AI159" si="58">AG159+1</f>
        <v>32</v>
      </c>
      <c r="AJ159" s="298"/>
      <c r="AK159" s="107"/>
    </row>
    <row r="160" spans="1:37" ht="24" customHeight="1" thickBot="1" x14ac:dyDescent="0.25">
      <c r="A160" s="6"/>
      <c r="B160" s="297"/>
      <c r="C160" s="297"/>
      <c r="D160" s="297"/>
      <c r="E160" s="108" t="s">
        <v>13</v>
      </c>
      <c r="F160" s="108" t="s">
        <v>14</v>
      </c>
      <c r="G160" s="108" t="s">
        <v>13</v>
      </c>
      <c r="H160" s="108" t="s">
        <v>14</v>
      </c>
      <c r="I160" s="108" t="s">
        <v>13</v>
      </c>
      <c r="J160" s="108" t="s">
        <v>14</v>
      </c>
      <c r="K160" s="108" t="s">
        <v>13</v>
      </c>
      <c r="L160" s="108" t="s">
        <v>14</v>
      </c>
      <c r="M160" s="108" t="s">
        <v>13</v>
      </c>
      <c r="N160" s="108" t="s">
        <v>14</v>
      </c>
      <c r="O160" s="108" t="s">
        <v>13</v>
      </c>
      <c r="P160" s="108" t="s">
        <v>14</v>
      </c>
      <c r="Q160" s="108" t="s">
        <v>13</v>
      </c>
      <c r="R160" s="108" t="s">
        <v>14</v>
      </c>
      <c r="S160" s="108" t="s">
        <v>13</v>
      </c>
      <c r="T160" s="108" t="s">
        <v>14</v>
      </c>
      <c r="U160" s="108" t="s">
        <v>13</v>
      </c>
      <c r="V160" s="108" t="s">
        <v>14</v>
      </c>
      <c r="W160" s="108" t="s">
        <v>13</v>
      </c>
      <c r="X160" s="108" t="s">
        <v>14</v>
      </c>
      <c r="Y160" s="108" t="s">
        <v>13</v>
      </c>
      <c r="Z160" s="108" t="s">
        <v>14</v>
      </c>
      <c r="AA160" s="108" t="s">
        <v>13</v>
      </c>
      <c r="AB160" s="108" t="s">
        <v>14</v>
      </c>
      <c r="AC160" s="108" t="s">
        <v>13</v>
      </c>
      <c r="AD160" s="108" t="s">
        <v>14</v>
      </c>
      <c r="AE160" s="108" t="s">
        <v>13</v>
      </c>
      <c r="AF160" s="108" t="s">
        <v>14</v>
      </c>
      <c r="AG160" s="108" t="s">
        <v>13</v>
      </c>
      <c r="AH160" s="108" t="s">
        <v>14</v>
      </c>
      <c r="AI160" s="108" t="s">
        <v>13</v>
      </c>
      <c r="AJ160" s="108" t="s">
        <v>14</v>
      </c>
      <c r="AK160" s="107"/>
    </row>
    <row r="161" spans="1:37" ht="16.5" customHeight="1" x14ac:dyDescent="0.2">
      <c r="A161" s="6"/>
      <c r="B161" s="21">
        <v>1</v>
      </c>
      <c r="C161" s="22">
        <f>'Kelas XI'!C153</f>
        <v>16187</v>
      </c>
      <c r="D161" s="34" t="str">
        <f>'Kelas XI'!D153</f>
        <v>ACHMAD SYAUQIH RACHMAN</v>
      </c>
      <c r="E161" s="12"/>
      <c r="F161" s="13"/>
      <c r="G161" s="12"/>
      <c r="H161" s="13"/>
      <c r="I161" s="12"/>
      <c r="J161" s="13"/>
      <c r="K161" s="12"/>
      <c r="L161" s="13"/>
      <c r="M161" s="12"/>
      <c r="N161" s="13"/>
      <c r="O161" s="12"/>
      <c r="P161" s="13"/>
      <c r="Q161" s="12"/>
      <c r="R161" s="13"/>
      <c r="S161" s="12"/>
      <c r="T161" s="13"/>
      <c r="U161" s="12"/>
      <c r="V161" s="13"/>
      <c r="W161" s="12"/>
      <c r="X161" s="13"/>
      <c r="Y161" s="12"/>
      <c r="Z161" s="13"/>
      <c r="AA161" s="12"/>
      <c r="AB161" s="13"/>
      <c r="AC161" s="12"/>
      <c r="AD161" s="13"/>
      <c r="AE161" s="12"/>
      <c r="AF161" s="13"/>
      <c r="AG161" s="12"/>
      <c r="AH161" s="13"/>
      <c r="AI161" s="12"/>
      <c r="AJ161" s="13"/>
      <c r="AK161" s="107"/>
    </row>
    <row r="162" spans="1:37" ht="16.5" customHeight="1" x14ac:dyDescent="0.2">
      <c r="A162" s="6"/>
      <c r="B162" s="135">
        <f t="shared" ref="B162:B200" si="59">B161+1</f>
        <v>2</v>
      </c>
      <c r="C162" s="135">
        <f>'Kelas XI'!C154</f>
        <v>16226</v>
      </c>
      <c r="D162" s="34" t="str">
        <f>'Kelas XI'!D154</f>
        <v>AJSADAFAARO SANTOSO</v>
      </c>
      <c r="E162" s="14"/>
      <c r="F162" s="15"/>
      <c r="G162" s="14"/>
      <c r="H162" s="15"/>
      <c r="I162" s="14"/>
      <c r="J162" s="15"/>
      <c r="K162" s="14"/>
      <c r="L162" s="15"/>
      <c r="M162" s="14"/>
      <c r="N162" s="15"/>
      <c r="O162" s="14"/>
      <c r="P162" s="15"/>
      <c r="Q162" s="14"/>
      <c r="R162" s="15"/>
      <c r="S162" s="14"/>
      <c r="T162" s="15"/>
      <c r="U162" s="14"/>
      <c r="V162" s="15"/>
      <c r="W162" s="14"/>
      <c r="X162" s="15"/>
      <c r="Y162" s="14"/>
      <c r="Z162" s="15"/>
      <c r="AA162" s="14"/>
      <c r="AB162" s="15"/>
      <c r="AC162" s="14"/>
      <c r="AD162" s="15"/>
      <c r="AE162" s="14"/>
      <c r="AF162" s="15"/>
      <c r="AG162" s="14"/>
      <c r="AH162" s="15"/>
      <c r="AI162" s="14"/>
      <c r="AJ162" s="15"/>
      <c r="AK162" s="107"/>
    </row>
    <row r="163" spans="1:37" ht="16.5" customHeight="1" x14ac:dyDescent="0.2">
      <c r="A163" s="6"/>
      <c r="B163" s="135">
        <f t="shared" si="59"/>
        <v>3</v>
      </c>
      <c r="C163" s="135">
        <f>'Kelas XI'!C155</f>
        <v>16119</v>
      </c>
      <c r="D163" s="34" t="str">
        <f>'Kelas XI'!D155</f>
        <v>ALPHARD ATHA ANDHIKA</v>
      </c>
      <c r="E163" s="14"/>
      <c r="F163" s="15"/>
      <c r="G163" s="14"/>
      <c r="H163" s="15"/>
      <c r="I163" s="14"/>
      <c r="J163" s="15"/>
      <c r="K163" s="14"/>
      <c r="L163" s="15"/>
      <c r="M163" s="14"/>
      <c r="N163" s="15"/>
      <c r="O163" s="14"/>
      <c r="P163" s="15"/>
      <c r="Q163" s="14"/>
      <c r="R163" s="15"/>
      <c r="S163" s="14"/>
      <c r="T163" s="15"/>
      <c r="U163" s="14"/>
      <c r="V163" s="15"/>
      <c r="W163" s="14"/>
      <c r="X163" s="15"/>
      <c r="Y163" s="14"/>
      <c r="Z163" s="15"/>
      <c r="AA163" s="14"/>
      <c r="AB163" s="15"/>
      <c r="AC163" s="14"/>
      <c r="AD163" s="15"/>
      <c r="AE163" s="14"/>
      <c r="AF163" s="15"/>
      <c r="AG163" s="14"/>
      <c r="AH163" s="15"/>
      <c r="AI163" s="14"/>
      <c r="AJ163" s="15"/>
      <c r="AK163" s="107"/>
    </row>
    <row r="164" spans="1:37" ht="16.5" customHeight="1" x14ac:dyDescent="0.2">
      <c r="A164" s="6"/>
      <c r="B164" s="135">
        <f t="shared" si="59"/>
        <v>4</v>
      </c>
      <c r="C164" s="135">
        <f>'Kelas XI'!C156</f>
        <v>16126</v>
      </c>
      <c r="D164" s="34" t="str">
        <f>'Kelas XI'!D156</f>
        <v>BAYU ARDIYATA PRATAMA</v>
      </c>
      <c r="E164" s="14"/>
      <c r="F164" s="15"/>
      <c r="G164" s="14"/>
      <c r="H164" s="15"/>
      <c r="I164" s="14"/>
      <c r="J164" s="15"/>
      <c r="K164" s="14"/>
      <c r="L164" s="15"/>
      <c r="M164" s="14"/>
      <c r="N164" s="15"/>
      <c r="O164" s="14"/>
      <c r="P164" s="15"/>
      <c r="Q164" s="14"/>
      <c r="R164" s="15"/>
      <c r="S164" s="14"/>
      <c r="T164" s="15"/>
      <c r="U164" s="14"/>
      <c r="V164" s="15"/>
      <c r="W164" s="14"/>
      <c r="X164" s="15"/>
      <c r="Y164" s="14"/>
      <c r="Z164" s="15"/>
      <c r="AA164" s="14"/>
      <c r="AB164" s="15"/>
      <c r="AC164" s="14"/>
      <c r="AD164" s="15"/>
      <c r="AE164" s="14"/>
      <c r="AF164" s="15"/>
      <c r="AG164" s="14"/>
      <c r="AH164" s="15"/>
      <c r="AI164" s="14"/>
      <c r="AJ164" s="15"/>
      <c r="AK164" s="107"/>
    </row>
    <row r="165" spans="1:37" ht="16.5" customHeight="1" x14ac:dyDescent="0.2">
      <c r="A165" s="6"/>
      <c r="B165" s="135">
        <f t="shared" si="59"/>
        <v>5</v>
      </c>
      <c r="C165" s="135">
        <f>'Kelas XI'!C157</f>
        <v>16196</v>
      </c>
      <c r="D165" s="34" t="str">
        <f>'Kelas XI'!D157</f>
        <v>ERFAN YASRAYFALDO AL FAJRI</v>
      </c>
      <c r="E165" s="14"/>
      <c r="F165" s="15"/>
      <c r="G165" s="14"/>
      <c r="H165" s="15"/>
      <c r="I165" s="14"/>
      <c r="J165" s="15"/>
      <c r="K165" s="14"/>
      <c r="L165" s="15"/>
      <c r="M165" s="14"/>
      <c r="N165" s="15"/>
      <c r="O165" s="14"/>
      <c r="P165" s="15"/>
      <c r="Q165" s="14"/>
      <c r="R165" s="15"/>
      <c r="S165" s="14"/>
      <c r="T165" s="15"/>
      <c r="U165" s="14"/>
      <c r="V165" s="15"/>
      <c r="W165" s="14"/>
      <c r="X165" s="15"/>
      <c r="Y165" s="14"/>
      <c r="Z165" s="15"/>
      <c r="AA165" s="14"/>
      <c r="AB165" s="15"/>
      <c r="AC165" s="14"/>
      <c r="AD165" s="15"/>
      <c r="AE165" s="14"/>
      <c r="AF165" s="15"/>
      <c r="AG165" s="14"/>
      <c r="AH165" s="15"/>
      <c r="AI165" s="14"/>
      <c r="AJ165" s="15"/>
      <c r="AK165" s="107"/>
    </row>
    <row r="166" spans="1:37" ht="16.5" customHeight="1" x14ac:dyDescent="0.2">
      <c r="A166" s="6"/>
      <c r="B166" s="135">
        <f t="shared" si="59"/>
        <v>6</v>
      </c>
      <c r="C166" s="135">
        <f>'Kelas XI'!C158</f>
        <v>16380</v>
      </c>
      <c r="D166" s="34" t="str">
        <f>'Kelas XI'!D158</f>
        <v>ERLANGGA ALIFIAN NUGRAHA</v>
      </c>
      <c r="E166" s="14"/>
      <c r="F166" s="15"/>
      <c r="G166" s="14"/>
      <c r="H166" s="15"/>
      <c r="I166" s="14"/>
      <c r="J166" s="15"/>
      <c r="K166" s="14"/>
      <c r="L166" s="15"/>
      <c r="M166" s="14"/>
      <c r="N166" s="15"/>
      <c r="O166" s="14"/>
      <c r="P166" s="15"/>
      <c r="Q166" s="14"/>
      <c r="R166" s="15"/>
      <c r="S166" s="14"/>
      <c r="T166" s="15"/>
      <c r="U166" s="14"/>
      <c r="V166" s="15"/>
      <c r="W166" s="14"/>
      <c r="X166" s="15"/>
      <c r="Y166" s="14"/>
      <c r="Z166" s="15"/>
      <c r="AA166" s="14"/>
      <c r="AB166" s="15"/>
      <c r="AC166" s="14"/>
      <c r="AD166" s="15"/>
      <c r="AE166" s="14"/>
      <c r="AF166" s="15"/>
      <c r="AG166" s="14"/>
      <c r="AH166" s="15"/>
      <c r="AI166" s="14"/>
      <c r="AJ166" s="15"/>
      <c r="AK166" s="107"/>
    </row>
    <row r="167" spans="1:37" ht="16.5" customHeight="1" x14ac:dyDescent="0.2">
      <c r="A167" s="6"/>
      <c r="B167" s="135">
        <f t="shared" si="59"/>
        <v>7</v>
      </c>
      <c r="C167" s="135">
        <f>'Kelas XI'!C159</f>
        <v>16231</v>
      </c>
      <c r="D167" s="34" t="str">
        <f>'Kelas XI'!D159</f>
        <v>FACHRY AHMAD VALDANI</v>
      </c>
      <c r="E167" s="14"/>
      <c r="F167" s="15"/>
      <c r="G167" s="14"/>
      <c r="H167" s="15"/>
      <c r="I167" s="14"/>
      <c r="J167" s="15"/>
      <c r="K167" s="14"/>
      <c r="L167" s="15"/>
      <c r="M167" s="14"/>
      <c r="N167" s="15"/>
      <c r="O167" s="14"/>
      <c r="P167" s="15"/>
      <c r="Q167" s="14"/>
      <c r="R167" s="15"/>
      <c r="S167" s="14"/>
      <c r="T167" s="15"/>
      <c r="U167" s="14"/>
      <c r="V167" s="15"/>
      <c r="W167" s="14"/>
      <c r="X167" s="15"/>
      <c r="Y167" s="14"/>
      <c r="Z167" s="15"/>
      <c r="AA167" s="14"/>
      <c r="AB167" s="15"/>
      <c r="AC167" s="14"/>
      <c r="AD167" s="15"/>
      <c r="AE167" s="14"/>
      <c r="AF167" s="15"/>
      <c r="AG167" s="14"/>
      <c r="AH167" s="15"/>
      <c r="AI167" s="14"/>
      <c r="AJ167" s="15"/>
      <c r="AK167" s="107"/>
    </row>
    <row r="168" spans="1:37" ht="16.5" customHeight="1" x14ac:dyDescent="0.2">
      <c r="A168" s="6"/>
      <c r="B168" s="135">
        <f t="shared" si="59"/>
        <v>8</v>
      </c>
      <c r="C168" s="135">
        <f>'Kelas XI'!C160</f>
        <v>16161</v>
      </c>
      <c r="D168" s="34" t="str">
        <f>'Kelas XI'!D160</f>
        <v>FARHAT SYAMSI EFGAN TUHEPALY</v>
      </c>
      <c r="E168" s="14"/>
      <c r="F168" s="15"/>
      <c r="G168" s="14"/>
      <c r="H168" s="15"/>
      <c r="I168" s="14"/>
      <c r="J168" s="15"/>
      <c r="K168" s="14"/>
      <c r="L168" s="15"/>
      <c r="M168" s="14"/>
      <c r="N168" s="15"/>
      <c r="O168" s="14"/>
      <c r="P168" s="15"/>
      <c r="Q168" s="14"/>
      <c r="R168" s="15"/>
      <c r="S168" s="14"/>
      <c r="T168" s="15"/>
      <c r="U168" s="14"/>
      <c r="V168" s="15"/>
      <c r="W168" s="14"/>
      <c r="X168" s="15"/>
      <c r="Y168" s="14"/>
      <c r="Z168" s="15"/>
      <c r="AA168" s="14"/>
      <c r="AB168" s="15"/>
      <c r="AC168" s="14"/>
      <c r="AD168" s="15"/>
      <c r="AE168" s="14"/>
      <c r="AF168" s="15"/>
      <c r="AG168" s="14"/>
      <c r="AH168" s="15"/>
      <c r="AI168" s="14"/>
      <c r="AJ168" s="15"/>
      <c r="AK168" s="107"/>
    </row>
    <row r="169" spans="1:37" ht="16.5" customHeight="1" x14ac:dyDescent="0.2">
      <c r="A169" s="6"/>
      <c r="B169" s="135">
        <f t="shared" si="59"/>
        <v>9</v>
      </c>
      <c r="C169" s="135">
        <f>'Kelas XI'!C161</f>
        <v>16162</v>
      </c>
      <c r="D169" s="34" t="str">
        <f>'Kelas XI'!D161</f>
        <v>FERIS WAHYU KURNIAWAN</v>
      </c>
      <c r="E169" s="14"/>
      <c r="F169" s="15"/>
      <c r="G169" s="14"/>
      <c r="H169" s="15"/>
      <c r="I169" s="14"/>
      <c r="J169" s="15"/>
      <c r="K169" s="14"/>
      <c r="L169" s="15"/>
      <c r="M169" s="14"/>
      <c r="N169" s="15"/>
      <c r="O169" s="14"/>
      <c r="P169" s="15"/>
      <c r="Q169" s="14"/>
      <c r="R169" s="15"/>
      <c r="S169" s="14"/>
      <c r="T169" s="15"/>
      <c r="U169" s="14"/>
      <c r="V169" s="15"/>
      <c r="W169" s="14"/>
      <c r="X169" s="15"/>
      <c r="Y169" s="14"/>
      <c r="Z169" s="15"/>
      <c r="AA169" s="14"/>
      <c r="AB169" s="15"/>
      <c r="AC169" s="14"/>
      <c r="AD169" s="15"/>
      <c r="AE169" s="14"/>
      <c r="AF169" s="15"/>
      <c r="AG169" s="14"/>
      <c r="AH169" s="15"/>
      <c r="AI169" s="14"/>
      <c r="AJ169" s="15"/>
      <c r="AK169" s="107"/>
    </row>
    <row r="170" spans="1:37" ht="16.5" customHeight="1" x14ac:dyDescent="0.2">
      <c r="A170" s="6"/>
      <c r="B170" s="135">
        <f t="shared" si="59"/>
        <v>10</v>
      </c>
      <c r="C170" s="135">
        <f>'Kelas XI'!C162</f>
        <v>16093</v>
      </c>
      <c r="D170" s="34" t="str">
        <f>'Kelas XI'!D162</f>
        <v>GHAFARA JAZILO SAPUTRO</v>
      </c>
      <c r="E170" s="14"/>
      <c r="F170" s="15"/>
      <c r="G170" s="14"/>
      <c r="H170" s="15"/>
      <c r="I170" s="14"/>
      <c r="J170" s="15"/>
      <c r="K170" s="14"/>
      <c r="L170" s="15"/>
      <c r="M170" s="14"/>
      <c r="N170" s="15"/>
      <c r="O170" s="14"/>
      <c r="P170" s="15"/>
      <c r="Q170" s="14"/>
      <c r="R170" s="15"/>
      <c r="S170" s="14"/>
      <c r="T170" s="15"/>
      <c r="U170" s="14"/>
      <c r="V170" s="15"/>
      <c r="W170" s="14"/>
      <c r="X170" s="15"/>
      <c r="Y170" s="14"/>
      <c r="Z170" s="15"/>
      <c r="AA170" s="14"/>
      <c r="AB170" s="15"/>
      <c r="AC170" s="14"/>
      <c r="AD170" s="15"/>
      <c r="AE170" s="14"/>
      <c r="AF170" s="15"/>
      <c r="AG170" s="14"/>
      <c r="AH170" s="15"/>
      <c r="AI170" s="14"/>
      <c r="AJ170" s="15"/>
      <c r="AK170" s="107"/>
    </row>
    <row r="171" spans="1:37" ht="16.5" customHeight="1" x14ac:dyDescent="0.2">
      <c r="A171" s="6"/>
      <c r="B171" s="135">
        <f t="shared" si="59"/>
        <v>11</v>
      </c>
      <c r="C171" s="135">
        <f>'Kelas XI'!C163</f>
        <v>16233</v>
      </c>
      <c r="D171" s="34" t="str">
        <f>'Kelas XI'!D163</f>
        <v>HAFIDZ KAHIRUL AZZAM</v>
      </c>
      <c r="E171" s="14"/>
      <c r="F171" s="15"/>
      <c r="G171" s="14"/>
      <c r="H171" s="15"/>
      <c r="I171" s="14"/>
      <c r="J171" s="15"/>
      <c r="K171" s="14"/>
      <c r="L171" s="15"/>
      <c r="M171" s="14"/>
      <c r="N171" s="15"/>
      <c r="O171" s="14"/>
      <c r="P171" s="15"/>
      <c r="Q171" s="14"/>
      <c r="R171" s="15"/>
      <c r="S171" s="14"/>
      <c r="T171" s="15"/>
      <c r="U171" s="14"/>
      <c r="V171" s="15"/>
      <c r="W171" s="14"/>
      <c r="X171" s="15"/>
      <c r="Y171" s="14"/>
      <c r="Z171" s="15"/>
      <c r="AA171" s="14"/>
      <c r="AB171" s="15"/>
      <c r="AC171" s="14"/>
      <c r="AD171" s="15"/>
      <c r="AE171" s="14"/>
      <c r="AF171" s="15"/>
      <c r="AG171" s="14"/>
      <c r="AH171" s="15"/>
      <c r="AI171" s="14"/>
      <c r="AJ171" s="15"/>
      <c r="AK171" s="107"/>
    </row>
    <row r="172" spans="1:37" ht="16.5" customHeight="1" x14ac:dyDescent="0.2">
      <c r="A172" s="6"/>
      <c r="B172" s="135">
        <f t="shared" si="59"/>
        <v>12</v>
      </c>
      <c r="C172" s="135">
        <f>'Kelas XI'!C164</f>
        <v>16131</v>
      </c>
      <c r="D172" s="34" t="str">
        <f>'Kelas XI'!D164</f>
        <v>HAIKAL ZAKY IZZUDDIN</v>
      </c>
      <c r="E172" s="14"/>
      <c r="F172" s="15"/>
      <c r="G172" s="14"/>
      <c r="H172" s="15"/>
      <c r="I172" s="14"/>
      <c r="J172" s="15"/>
      <c r="K172" s="14"/>
      <c r="L172" s="15"/>
      <c r="M172" s="14"/>
      <c r="N172" s="15"/>
      <c r="O172" s="14"/>
      <c r="P172" s="15"/>
      <c r="Q172" s="14"/>
      <c r="R172" s="15"/>
      <c r="S172" s="14"/>
      <c r="T172" s="15"/>
      <c r="U172" s="14"/>
      <c r="V172" s="15"/>
      <c r="W172" s="14"/>
      <c r="X172" s="15"/>
      <c r="Y172" s="14"/>
      <c r="Z172" s="15"/>
      <c r="AA172" s="14"/>
      <c r="AB172" s="15"/>
      <c r="AC172" s="14"/>
      <c r="AD172" s="15"/>
      <c r="AE172" s="14"/>
      <c r="AF172" s="15"/>
      <c r="AG172" s="14"/>
      <c r="AH172" s="15"/>
      <c r="AI172" s="14"/>
      <c r="AJ172" s="15"/>
      <c r="AK172" s="107"/>
    </row>
    <row r="173" spans="1:37" ht="16.5" customHeight="1" x14ac:dyDescent="0.2">
      <c r="A173" s="6"/>
      <c r="B173" s="135">
        <f t="shared" si="59"/>
        <v>13</v>
      </c>
      <c r="C173" s="135">
        <f>'Kelas XI'!C165</f>
        <v>16234</v>
      </c>
      <c r="D173" s="34" t="str">
        <f>'Kelas XI'!D165</f>
        <v>IKHSAN SUSTARTO</v>
      </c>
      <c r="E173" s="14"/>
      <c r="F173" s="15"/>
      <c r="G173" s="14"/>
      <c r="H173" s="15"/>
      <c r="I173" s="14"/>
      <c r="J173" s="15"/>
      <c r="K173" s="14"/>
      <c r="L173" s="15"/>
      <c r="M173" s="14"/>
      <c r="N173" s="15"/>
      <c r="O173" s="14"/>
      <c r="P173" s="15"/>
      <c r="Q173" s="14"/>
      <c r="R173" s="15"/>
      <c r="S173" s="14"/>
      <c r="T173" s="15"/>
      <c r="U173" s="14"/>
      <c r="V173" s="15"/>
      <c r="W173" s="14"/>
      <c r="X173" s="15"/>
      <c r="Y173" s="14"/>
      <c r="Z173" s="15"/>
      <c r="AA173" s="14"/>
      <c r="AB173" s="15"/>
      <c r="AC173" s="14"/>
      <c r="AD173" s="15"/>
      <c r="AE173" s="14"/>
      <c r="AF173" s="15"/>
      <c r="AG173" s="14"/>
      <c r="AH173" s="15"/>
      <c r="AI173" s="14"/>
      <c r="AJ173" s="15"/>
      <c r="AK173" s="107"/>
    </row>
    <row r="174" spans="1:37" ht="16.5" customHeight="1" x14ac:dyDescent="0.2">
      <c r="A174" s="6"/>
      <c r="B174" s="135">
        <f t="shared" si="59"/>
        <v>14</v>
      </c>
      <c r="C174" s="135">
        <f>'Kelas XI'!C166</f>
        <v>16134</v>
      </c>
      <c r="D174" s="34" t="str">
        <f>'Kelas XI'!D166</f>
        <v>M AROZY AULIA HAKIM</v>
      </c>
      <c r="E174" s="14"/>
      <c r="F174" s="15"/>
      <c r="G174" s="14"/>
      <c r="H174" s="15"/>
      <c r="I174" s="14"/>
      <c r="J174" s="15"/>
      <c r="K174" s="14"/>
      <c r="L174" s="15"/>
      <c r="M174" s="14"/>
      <c r="N174" s="15"/>
      <c r="O174" s="14"/>
      <c r="P174" s="15"/>
      <c r="Q174" s="14"/>
      <c r="R174" s="15"/>
      <c r="S174" s="14"/>
      <c r="T174" s="15"/>
      <c r="U174" s="14"/>
      <c r="V174" s="15"/>
      <c r="W174" s="14"/>
      <c r="X174" s="15"/>
      <c r="Y174" s="14"/>
      <c r="Z174" s="15"/>
      <c r="AA174" s="14"/>
      <c r="AB174" s="15"/>
      <c r="AC174" s="14"/>
      <c r="AD174" s="15"/>
      <c r="AE174" s="14"/>
      <c r="AF174" s="15"/>
      <c r="AG174" s="14"/>
      <c r="AH174" s="15"/>
      <c r="AI174" s="14"/>
      <c r="AJ174" s="15"/>
      <c r="AK174" s="107"/>
    </row>
    <row r="175" spans="1:37" ht="16.5" customHeight="1" x14ac:dyDescent="0.2">
      <c r="A175" s="6"/>
      <c r="B175" s="135">
        <f t="shared" si="59"/>
        <v>15</v>
      </c>
      <c r="C175" s="135">
        <f>'Kelas XI'!C167</f>
        <v>16097</v>
      </c>
      <c r="D175" s="34" t="str">
        <f>'Kelas XI'!D167</f>
        <v>M. FITZAL ASFA MUZAKFAR</v>
      </c>
      <c r="E175" s="14"/>
      <c r="F175" s="15"/>
      <c r="G175" s="14"/>
      <c r="H175" s="15"/>
      <c r="I175" s="14"/>
      <c r="J175" s="15"/>
      <c r="K175" s="14"/>
      <c r="L175" s="15"/>
      <c r="M175" s="14"/>
      <c r="N175" s="15"/>
      <c r="O175" s="14"/>
      <c r="P175" s="15"/>
      <c r="Q175" s="14"/>
      <c r="R175" s="15"/>
      <c r="S175" s="14"/>
      <c r="T175" s="15"/>
      <c r="U175" s="14"/>
      <c r="V175" s="15"/>
      <c r="W175" s="14"/>
      <c r="X175" s="15"/>
      <c r="Y175" s="14"/>
      <c r="Z175" s="15"/>
      <c r="AA175" s="14"/>
      <c r="AB175" s="15"/>
      <c r="AC175" s="14"/>
      <c r="AD175" s="15"/>
      <c r="AE175" s="14"/>
      <c r="AF175" s="15"/>
      <c r="AG175" s="14"/>
      <c r="AH175" s="15"/>
      <c r="AI175" s="14"/>
      <c r="AJ175" s="15"/>
      <c r="AK175" s="107"/>
    </row>
    <row r="176" spans="1:37" ht="16.5" customHeight="1" x14ac:dyDescent="0.2">
      <c r="A176" s="6"/>
      <c r="B176" s="135">
        <f t="shared" si="59"/>
        <v>16</v>
      </c>
      <c r="C176" s="135">
        <f>'Kelas XI'!C168</f>
        <v>16204</v>
      </c>
      <c r="D176" s="34" t="str">
        <f>'Kelas XI'!D168</f>
        <v>M. SHOLAHUDIN AL-AYYUBI</v>
      </c>
      <c r="E176" s="14"/>
      <c r="F176" s="15"/>
      <c r="G176" s="14"/>
      <c r="H176" s="15"/>
      <c r="I176" s="14"/>
      <c r="J176" s="15"/>
      <c r="K176" s="14"/>
      <c r="L176" s="15"/>
      <c r="M176" s="14"/>
      <c r="N176" s="15"/>
      <c r="O176" s="14"/>
      <c r="P176" s="15"/>
      <c r="Q176" s="14"/>
      <c r="R176" s="15"/>
      <c r="S176" s="14"/>
      <c r="T176" s="15"/>
      <c r="U176" s="14"/>
      <c r="V176" s="15"/>
      <c r="W176" s="14"/>
      <c r="X176" s="15"/>
      <c r="Y176" s="14"/>
      <c r="Z176" s="15"/>
      <c r="AA176" s="14"/>
      <c r="AB176" s="15"/>
      <c r="AC176" s="14"/>
      <c r="AD176" s="15"/>
      <c r="AE176" s="14"/>
      <c r="AF176" s="15"/>
      <c r="AG176" s="14"/>
      <c r="AH176" s="15"/>
      <c r="AI176" s="14"/>
      <c r="AJ176" s="15"/>
      <c r="AK176" s="107"/>
    </row>
    <row r="177" spans="1:37" ht="16.5" customHeight="1" x14ac:dyDescent="0.2">
      <c r="A177" s="6"/>
      <c r="B177" s="135">
        <f t="shared" si="59"/>
        <v>17</v>
      </c>
      <c r="C177" s="135">
        <f>'Kelas XI'!C169</f>
        <v>16136</v>
      </c>
      <c r="D177" s="34" t="str">
        <f>'Kelas XI'!D169</f>
        <v>M. ZAHWAN AINURROFIQ</v>
      </c>
      <c r="E177" s="14"/>
      <c r="F177" s="15"/>
      <c r="G177" s="14"/>
      <c r="H177" s="15"/>
      <c r="I177" s="14"/>
      <c r="J177" s="15"/>
      <c r="K177" s="14"/>
      <c r="L177" s="15"/>
      <c r="M177" s="14"/>
      <c r="N177" s="15"/>
      <c r="O177" s="14"/>
      <c r="P177" s="15"/>
      <c r="Q177" s="14"/>
      <c r="R177" s="15"/>
      <c r="S177" s="14"/>
      <c r="T177" s="15"/>
      <c r="U177" s="14"/>
      <c r="V177" s="15"/>
      <c r="W177" s="14"/>
      <c r="X177" s="15"/>
      <c r="Y177" s="14"/>
      <c r="Z177" s="15"/>
      <c r="AA177" s="14"/>
      <c r="AB177" s="15"/>
      <c r="AC177" s="14"/>
      <c r="AD177" s="15"/>
      <c r="AE177" s="14"/>
      <c r="AF177" s="15"/>
      <c r="AG177" s="14"/>
      <c r="AH177" s="15"/>
      <c r="AI177" s="14"/>
      <c r="AJ177" s="15"/>
      <c r="AK177" s="107"/>
    </row>
    <row r="178" spans="1:37" ht="16.5" customHeight="1" x14ac:dyDescent="0.2">
      <c r="A178" s="6"/>
      <c r="B178" s="135">
        <f t="shared" si="59"/>
        <v>18</v>
      </c>
      <c r="C178" s="135">
        <f>'Kelas XI'!C170</f>
        <v>16100</v>
      </c>
      <c r="D178" s="34" t="str">
        <f>'Kelas XI'!D170</f>
        <v>MOH. ALFAN FAHRIZA</v>
      </c>
      <c r="E178" s="14"/>
      <c r="F178" s="15"/>
      <c r="G178" s="14"/>
      <c r="H178" s="15"/>
      <c r="I178" s="14"/>
      <c r="J178" s="15"/>
      <c r="K178" s="14"/>
      <c r="L178" s="15"/>
      <c r="M178" s="14"/>
      <c r="N178" s="15"/>
      <c r="O178" s="14"/>
      <c r="P178" s="15"/>
      <c r="Q178" s="14"/>
      <c r="R178" s="15"/>
      <c r="S178" s="14"/>
      <c r="T178" s="15"/>
      <c r="U178" s="14"/>
      <c r="V178" s="15"/>
      <c r="W178" s="14"/>
      <c r="X178" s="15"/>
      <c r="Y178" s="14"/>
      <c r="Z178" s="15"/>
      <c r="AA178" s="14"/>
      <c r="AB178" s="15"/>
      <c r="AC178" s="14"/>
      <c r="AD178" s="15"/>
      <c r="AE178" s="14"/>
      <c r="AF178" s="15"/>
      <c r="AG178" s="14"/>
      <c r="AH178" s="15"/>
      <c r="AI178" s="14"/>
      <c r="AJ178" s="15"/>
      <c r="AK178" s="107"/>
    </row>
    <row r="179" spans="1:37" ht="16.5" customHeight="1" x14ac:dyDescent="0.2">
      <c r="A179" s="6"/>
      <c r="B179" s="135">
        <f t="shared" si="59"/>
        <v>19</v>
      </c>
      <c r="C179" s="135">
        <f>'Kelas XI'!C171</f>
        <v>16206</v>
      </c>
      <c r="D179" s="34" t="str">
        <f>'Kelas XI'!D171</f>
        <v>MOHAMMAD IBRAHIM YUSUF AS-SUFI</v>
      </c>
      <c r="E179" s="14"/>
      <c r="F179" s="15"/>
      <c r="G179" s="14"/>
      <c r="H179" s="15"/>
      <c r="I179" s="14"/>
      <c r="J179" s="15"/>
      <c r="K179" s="14"/>
      <c r="L179" s="15"/>
      <c r="M179" s="14"/>
      <c r="N179" s="15"/>
      <c r="O179" s="14"/>
      <c r="P179" s="15"/>
      <c r="Q179" s="14"/>
      <c r="R179" s="15"/>
      <c r="S179" s="14"/>
      <c r="T179" s="15"/>
      <c r="U179" s="14"/>
      <c r="V179" s="15"/>
      <c r="W179" s="14"/>
      <c r="X179" s="15"/>
      <c r="Y179" s="14"/>
      <c r="Z179" s="15"/>
      <c r="AA179" s="14"/>
      <c r="AB179" s="15"/>
      <c r="AC179" s="14"/>
      <c r="AD179" s="15"/>
      <c r="AE179" s="14"/>
      <c r="AF179" s="15"/>
      <c r="AG179" s="14"/>
      <c r="AH179" s="15"/>
      <c r="AI179" s="14"/>
      <c r="AJ179" s="15"/>
      <c r="AK179" s="107"/>
    </row>
    <row r="180" spans="1:37" ht="16.5" customHeight="1" x14ac:dyDescent="0.2">
      <c r="A180" s="6"/>
      <c r="B180" s="135">
        <f t="shared" si="59"/>
        <v>20</v>
      </c>
      <c r="C180" s="135">
        <f>'Kelas XI'!C172</f>
        <v>16138</v>
      </c>
      <c r="D180" s="34" t="str">
        <f>'Kelas XI'!D172</f>
        <v>MUHAMAD AMJAD ALIF</v>
      </c>
      <c r="E180" s="14"/>
      <c r="F180" s="15"/>
      <c r="G180" s="14"/>
      <c r="H180" s="15"/>
      <c r="I180" s="14"/>
      <c r="J180" s="15"/>
      <c r="K180" s="14"/>
      <c r="L180" s="15"/>
      <c r="M180" s="14"/>
      <c r="N180" s="15"/>
      <c r="O180" s="14"/>
      <c r="P180" s="15"/>
      <c r="Q180" s="14"/>
      <c r="R180" s="15"/>
      <c r="S180" s="14"/>
      <c r="T180" s="15"/>
      <c r="U180" s="14"/>
      <c r="V180" s="15"/>
      <c r="W180" s="14"/>
      <c r="X180" s="15"/>
      <c r="Y180" s="14"/>
      <c r="Z180" s="15"/>
      <c r="AA180" s="14"/>
      <c r="AB180" s="15"/>
      <c r="AC180" s="14"/>
      <c r="AD180" s="15"/>
      <c r="AE180" s="14"/>
      <c r="AF180" s="15"/>
      <c r="AG180" s="14"/>
      <c r="AH180" s="15"/>
      <c r="AI180" s="14"/>
      <c r="AJ180" s="15"/>
      <c r="AK180" s="107"/>
    </row>
    <row r="181" spans="1:37" ht="16.5" customHeight="1" x14ac:dyDescent="0.2">
      <c r="A181" s="6"/>
      <c r="B181" s="135">
        <f t="shared" si="59"/>
        <v>21</v>
      </c>
      <c r="C181" s="135">
        <f>'Kelas XI'!C173</f>
        <v>16102</v>
      </c>
      <c r="D181" s="34" t="str">
        <f>'Kelas XI'!D173</f>
        <v>MUHAMAD DZAKI DWI PRAYOGA</v>
      </c>
      <c r="E181" s="14"/>
      <c r="F181" s="15"/>
      <c r="G181" s="14"/>
      <c r="H181" s="15"/>
      <c r="I181" s="14"/>
      <c r="J181" s="15"/>
      <c r="K181" s="14"/>
      <c r="L181" s="15"/>
      <c r="M181" s="14"/>
      <c r="N181" s="15"/>
      <c r="O181" s="14"/>
      <c r="P181" s="15"/>
      <c r="Q181" s="14"/>
      <c r="R181" s="15"/>
      <c r="S181" s="14"/>
      <c r="T181" s="15"/>
      <c r="U181" s="14"/>
      <c r="V181" s="15"/>
      <c r="W181" s="14"/>
      <c r="X181" s="15"/>
      <c r="Y181" s="14"/>
      <c r="Z181" s="15"/>
      <c r="AA181" s="14"/>
      <c r="AB181" s="15"/>
      <c r="AC181" s="14"/>
      <c r="AD181" s="15"/>
      <c r="AE181" s="14"/>
      <c r="AF181" s="15"/>
      <c r="AG181" s="14"/>
      <c r="AH181" s="15"/>
      <c r="AI181" s="14"/>
      <c r="AJ181" s="15"/>
      <c r="AK181" s="107"/>
    </row>
    <row r="182" spans="1:37" ht="16.5" customHeight="1" x14ac:dyDescent="0.2">
      <c r="A182" s="6"/>
      <c r="B182" s="135">
        <f t="shared" si="59"/>
        <v>22</v>
      </c>
      <c r="C182" s="135">
        <f>'Kelas XI'!C174</f>
        <v>16173</v>
      </c>
      <c r="D182" s="34" t="str">
        <f>'Kelas XI'!D174</f>
        <v>MUHAMMAD AIRLANGGA</v>
      </c>
      <c r="E182" s="14"/>
      <c r="F182" s="15"/>
      <c r="G182" s="14"/>
      <c r="H182" s="15"/>
      <c r="I182" s="14"/>
      <c r="J182" s="15"/>
      <c r="K182" s="14"/>
      <c r="L182" s="15"/>
      <c r="M182" s="14"/>
      <c r="N182" s="15"/>
      <c r="O182" s="14"/>
      <c r="P182" s="15"/>
      <c r="Q182" s="14"/>
      <c r="R182" s="15"/>
      <c r="S182" s="14"/>
      <c r="T182" s="15"/>
      <c r="U182" s="14"/>
      <c r="V182" s="15"/>
      <c r="W182" s="14"/>
      <c r="X182" s="15"/>
      <c r="Y182" s="14"/>
      <c r="Z182" s="15"/>
      <c r="AA182" s="14"/>
      <c r="AB182" s="15"/>
      <c r="AC182" s="14"/>
      <c r="AD182" s="15"/>
      <c r="AE182" s="14"/>
      <c r="AF182" s="15"/>
      <c r="AG182" s="14"/>
      <c r="AH182" s="15"/>
      <c r="AI182" s="14"/>
      <c r="AJ182" s="15"/>
      <c r="AK182" s="107"/>
    </row>
    <row r="183" spans="1:37" ht="16.5" customHeight="1" x14ac:dyDescent="0.2">
      <c r="A183" s="6"/>
      <c r="B183" s="135">
        <f t="shared" si="59"/>
        <v>23</v>
      </c>
      <c r="C183" s="135">
        <f>'Kelas XI'!C175</f>
        <v>16211</v>
      </c>
      <c r="D183" s="34" t="str">
        <f>'Kelas XI'!D175</f>
        <v>MUHAMMAD DAFFA KHOIRUDDIN</v>
      </c>
      <c r="E183" s="14"/>
      <c r="F183" s="15"/>
      <c r="G183" s="14"/>
      <c r="H183" s="15"/>
      <c r="I183" s="14"/>
      <c r="J183" s="15"/>
      <c r="K183" s="14"/>
      <c r="L183" s="15"/>
      <c r="M183" s="14"/>
      <c r="N183" s="15"/>
      <c r="O183" s="14"/>
      <c r="P183" s="15"/>
      <c r="Q183" s="14"/>
      <c r="R183" s="15"/>
      <c r="S183" s="14"/>
      <c r="T183" s="15"/>
      <c r="U183" s="14"/>
      <c r="V183" s="15"/>
      <c r="W183" s="14"/>
      <c r="X183" s="15"/>
      <c r="Y183" s="14"/>
      <c r="Z183" s="15"/>
      <c r="AA183" s="14"/>
      <c r="AB183" s="15"/>
      <c r="AC183" s="14"/>
      <c r="AD183" s="15"/>
      <c r="AE183" s="14"/>
      <c r="AF183" s="15"/>
      <c r="AG183" s="14"/>
      <c r="AH183" s="15"/>
      <c r="AI183" s="14"/>
      <c r="AJ183" s="15"/>
      <c r="AK183" s="107"/>
    </row>
    <row r="184" spans="1:37" ht="16.5" customHeight="1" x14ac:dyDescent="0.2">
      <c r="A184" s="6"/>
      <c r="B184" s="135">
        <f t="shared" si="59"/>
        <v>24</v>
      </c>
      <c r="C184" s="135">
        <f>'Kelas XI'!C176</f>
        <v>16177</v>
      </c>
      <c r="D184" s="34" t="str">
        <f>'Kelas XI'!D176</f>
        <v>MUHAMMAD HAIDAR FAHMI AL-FATIH</v>
      </c>
      <c r="E184" s="14"/>
      <c r="F184" s="15"/>
      <c r="G184" s="14"/>
      <c r="H184" s="15"/>
      <c r="I184" s="14"/>
      <c r="J184" s="15"/>
      <c r="K184" s="14"/>
      <c r="L184" s="15"/>
      <c r="M184" s="14"/>
      <c r="N184" s="15"/>
      <c r="O184" s="14"/>
      <c r="P184" s="15"/>
      <c r="Q184" s="14"/>
      <c r="R184" s="15"/>
      <c r="S184" s="14"/>
      <c r="T184" s="15"/>
      <c r="U184" s="14"/>
      <c r="V184" s="15"/>
      <c r="W184" s="14"/>
      <c r="X184" s="15"/>
      <c r="Y184" s="14"/>
      <c r="Z184" s="15"/>
      <c r="AA184" s="14"/>
      <c r="AB184" s="15"/>
      <c r="AC184" s="14"/>
      <c r="AD184" s="15"/>
      <c r="AE184" s="14"/>
      <c r="AF184" s="15"/>
      <c r="AG184" s="14"/>
      <c r="AH184" s="15"/>
      <c r="AI184" s="14"/>
      <c r="AJ184" s="15"/>
      <c r="AK184" s="107"/>
    </row>
    <row r="185" spans="1:37" ht="16.5" customHeight="1" x14ac:dyDescent="0.2">
      <c r="A185" s="6"/>
      <c r="B185" s="135">
        <f t="shared" si="59"/>
        <v>25</v>
      </c>
      <c r="C185" s="135">
        <f>'Kelas XI'!C177</f>
        <v>16214</v>
      </c>
      <c r="D185" s="34" t="str">
        <f>'Kelas XI'!D177</f>
        <v>MUHAMMAD ZAENAL ABIDIN</v>
      </c>
      <c r="E185" s="14"/>
      <c r="F185" s="15"/>
      <c r="G185" s="14"/>
      <c r="H185" s="15"/>
      <c r="I185" s="14"/>
      <c r="J185" s="15"/>
      <c r="K185" s="14"/>
      <c r="L185" s="15"/>
      <c r="M185" s="14"/>
      <c r="N185" s="15"/>
      <c r="O185" s="14"/>
      <c r="P185" s="15"/>
      <c r="Q185" s="14"/>
      <c r="R185" s="15"/>
      <c r="S185" s="14"/>
      <c r="T185" s="15"/>
      <c r="U185" s="14"/>
      <c r="V185" s="15"/>
      <c r="W185" s="14"/>
      <c r="X185" s="15"/>
      <c r="Y185" s="14"/>
      <c r="Z185" s="15"/>
      <c r="AA185" s="14"/>
      <c r="AB185" s="15"/>
      <c r="AC185" s="14"/>
      <c r="AD185" s="15"/>
      <c r="AE185" s="14"/>
      <c r="AF185" s="15"/>
      <c r="AG185" s="14"/>
      <c r="AH185" s="15"/>
      <c r="AI185" s="14"/>
      <c r="AJ185" s="15"/>
      <c r="AK185" s="107"/>
    </row>
    <row r="186" spans="1:37" ht="16.5" customHeight="1" x14ac:dyDescent="0.2">
      <c r="A186" s="6"/>
      <c r="B186" s="135">
        <f t="shared" si="59"/>
        <v>26</v>
      </c>
      <c r="C186" s="135">
        <f>'Kelas XI'!C178</f>
        <v>16247</v>
      </c>
      <c r="D186" s="34" t="str">
        <f>'Kelas XI'!D178</f>
        <v>NUR AINUN NAJIB</v>
      </c>
      <c r="E186" s="14"/>
      <c r="F186" s="15"/>
      <c r="G186" s="14"/>
      <c r="H186" s="15"/>
      <c r="I186" s="14"/>
      <c r="J186" s="15"/>
      <c r="K186" s="14"/>
      <c r="L186" s="15"/>
      <c r="M186" s="14"/>
      <c r="N186" s="15"/>
      <c r="O186" s="14"/>
      <c r="P186" s="15"/>
      <c r="Q186" s="14"/>
      <c r="R186" s="15"/>
      <c r="S186" s="14"/>
      <c r="T186" s="15"/>
      <c r="U186" s="14"/>
      <c r="V186" s="15"/>
      <c r="W186" s="14"/>
      <c r="X186" s="15"/>
      <c r="Y186" s="14"/>
      <c r="Z186" s="15"/>
      <c r="AA186" s="14"/>
      <c r="AB186" s="15"/>
      <c r="AC186" s="14"/>
      <c r="AD186" s="15"/>
      <c r="AE186" s="14"/>
      <c r="AF186" s="15"/>
      <c r="AG186" s="14"/>
      <c r="AH186" s="15"/>
      <c r="AI186" s="14"/>
      <c r="AJ186" s="15"/>
      <c r="AK186" s="107"/>
    </row>
    <row r="187" spans="1:37" ht="16.5" customHeight="1" x14ac:dyDescent="0.2">
      <c r="A187" s="6"/>
      <c r="B187" s="135">
        <f t="shared" si="59"/>
        <v>27</v>
      </c>
      <c r="C187" s="135">
        <f>'Kelas XI'!C179</f>
        <v>16181</v>
      </c>
      <c r="D187" s="34" t="str">
        <f>'Kelas XI'!D179</f>
        <v>RAYHAN HAMBALI</v>
      </c>
      <c r="E187" s="14"/>
      <c r="F187" s="15"/>
      <c r="G187" s="14"/>
      <c r="H187" s="15"/>
      <c r="I187" s="14"/>
      <c r="J187" s="15"/>
      <c r="K187" s="14"/>
      <c r="L187" s="15"/>
      <c r="M187" s="14"/>
      <c r="N187" s="15"/>
      <c r="O187" s="14"/>
      <c r="P187" s="15"/>
      <c r="Q187" s="14"/>
      <c r="R187" s="15"/>
      <c r="S187" s="14"/>
      <c r="T187" s="15"/>
      <c r="U187" s="14"/>
      <c r="V187" s="15"/>
      <c r="W187" s="14"/>
      <c r="X187" s="15"/>
      <c r="Y187" s="14"/>
      <c r="Z187" s="15"/>
      <c r="AA187" s="14"/>
      <c r="AB187" s="15"/>
      <c r="AC187" s="14"/>
      <c r="AD187" s="15"/>
      <c r="AE187" s="14"/>
      <c r="AF187" s="15"/>
      <c r="AG187" s="14"/>
      <c r="AH187" s="15"/>
      <c r="AI187" s="14"/>
      <c r="AJ187" s="15"/>
      <c r="AK187" s="107"/>
    </row>
    <row r="188" spans="1:37" ht="16.5" customHeight="1" x14ac:dyDescent="0.2">
      <c r="A188" s="6"/>
      <c r="B188" s="135">
        <f t="shared" si="59"/>
        <v>28</v>
      </c>
      <c r="C188" s="135">
        <f>'Kelas XI'!C180</f>
        <v>16147</v>
      </c>
      <c r="D188" s="34" t="str">
        <f>'Kelas XI'!D180</f>
        <v>REZKY ACHMAD FAHLEVI</v>
      </c>
      <c r="E188" s="16"/>
      <c r="F188" s="17"/>
      <c r="G188" s="16"/>
      <c r="H188" s="17"/>
      <c r="I188" s="16"/>
      <c r="J188" s="17"/>
      <c r="K188" s="16"/>
      <c r="L188" s="17"/>
      <c r="M188" s="16"/>
      <c r="N188" s="17"/>
      <c r="O188" s="16"/>
      <c r="P188" s="17"/>
      <c r="Q188" s="16"/>
      <c r="R188" s="17"/>
      <c r="S188" s="16"/>
      <c r="T188" s="17"/>
      <c r="U188" s="16"/>
      <c r="V188" s="17"/>
      <c r="W188" s="16"/>
      <c r="X188" s="17"/>
      <c r="Y188" s="16"/>
      <c r="Z188" s="17"/>
      <c r="AA188" s="16"/>
      <c r="AB188" s="17"/>
      <c r="AC188" s="16"/>
      <c r="AD188" s="17"/>
      <c r="AE188" s="16"/>
      <c r="AF188" s="17"/>
      <c r="AG188" s="16"/>
      <c r="AH188" s="17"/>
      <c r="AI188" s="16"/>
      <c r="AJ188" s="17"/>
      <c r="AK188" s="107"/>
    </row>
    <row r="189" spans="1:37" ht="16.5" customHeight="1" x14ac:dyDescent="0.2">
      <c r="A189" s="6"/>
      <c r="B189" s="135">
        <f t="shared" si="59"/>
        <v>29</v>
      </c>
      <c r="C189" s="135">
        <f>'Kelas XI'!C181</f>
        <v>16148</v>
      </c>
      <c r="D189" s="34" t="str">
        <f>'Kelas XI'!D181</f>
        <v>RIZKI ALAMSYAH</v>
      </c>
      <c r="E189" s="16"/>
      <c r="F189" s="17"/>
      <c r="G189" s="16"/>
      <c r="H189" s="17"/>
      <c r="I189" s="16"/>
      <c r="J189" s="17"/>
      <c r="K189" s="16"/>
      <c r="L189" s="17"/>
      <c r="M189" s="16"/>
      <c r="N189" s="17"/>
      <c r="O189" s="16"/>
      <c r="P189" s="17"/>
      <c r="Q189" s="16"/>
      <c r="R189" s="17"/>
      <c r="S189" s="16"/>
      <c r="T189" s="17"/>
      <c r="U189" s="16"/>
      <c r="V189" s="17"/>
      <c r="W189" s="16"/>
      <c r="X189" s="17"/>
      <c r="Y189" s="16"/>
      <c r="Z189" s="17"/>
      <c r="AA189" s="16"/>
      <c r="AB189" s="17"/>
      <c r="AC189" s="16"/>
      <c r="AD189" s="17"/>
      <c r="AE189" s="16"/>
      <c r="AF189" s="17"/>
      <c r="AG189" s="16"/>
      <c r="AH189" s="17"/>
      <c r="AI189" s="16"/>
      <c r="AJ189" s="17"/>
      <c r="AK189" s="107"/>
    </row>
    <row r="190" spans="1:37" ht="16.5" customHeight="1" x14ac:dyDescent="0.2">
      <c r="A190" s="6"/>
      <c r="B190" s="135">
        <f t="shared" si="59"/>
        <v>30</v>
      </c>
      <c r="C190" s="135">
        <f>'Kelas XI'!C182</f>
        <v>16182</v>
      </c>
      <c r="D190" s="34" t="str">
        <f>'Kelas XI'!D182</f>
        <v>ROBACH AKBAR MUZAKKI</v>
      </c>
      <c r="E190" s="16"/>
      <c r="F190" s="17"/>
      <c r="G190" s="16"/>
      <c r="H190" s="17"/>
      <c r="I190" s="16"/>
      <c r="J190" s="17"/>
      <c r="K190" s="16"/>
      <c r="L190" s="17"/>
      <c r="M190" s="16"/>
      <c r="N190" s="17"/>
      <c r="O190" s="16"/>
      <c r="P190" s="17"/>
      <c r="Q190" s="16"/>
      <c r="R190" s="17"/>
      <c r="S190" s="16"/>
      <c r="T190" s="17"/>
      <c r="U190" s="16"/>
      <c r="V190" s="17"/>
      <c r="W190" s="16"/>
      <c r="X190" s="17"/>
      <c r="Y190" s="16"/>
      <c r="Z190" s="17"/>
      <c r="AA190" s="16"/>
      <c r="AB190" s="17"/>
      <c r="AC190" s="16"/>
      <c r="AD190" s="17"/>
      <c r="AE190" s="16"/>
      <c r="AF190" s="17"/>
      <c r="AG190" s="16"/>
      <c r="AH190" s="17"/>
      <c r="AI190" s="16"/>
      <c r="AJ190" s="17"/>
      <c r="AK190" s="107"/>
    </row>
    <row r="191" spans="1:37" ht="16.5" customHeight="1" x14ac:dyDescent="0.2">
      <c r="A191" s="6"/>
      <c r="B191" s="135">
        <f t="shared" si="59"/>
        <v>31</v>
      </c>
      <c r="C191" s="135">
        <f>'Kelas XI'!C183</f>
        <v>16150</v>
      </c>
      <c r="D191" s="34" t="str">
        <f>'Kelas XI'!D183</f>
        <v>SHAN YARDAN REYNARD KARIM</v>
      </c>
      <c r="E191" s="16"/>
      <c r="F191" s="17"/>
      <c r="G191" s="16"/>
      <c r="H191" s="17"/>
      <c r="I191" s="16"/>
      <c r="J191" s="17"/>
      <c r="K191" s="16"/>
      <c r="L191" s="17"/>
      <c r="M191" s="16"/>
      <c r="N191" s="17"/>
      <c r="O191" s="16"/>
      <c r="P191" s="17"/>
      <c r="Q191" s="16"/>
      <c r="R191" s="17"/>
      <c r="S191" s="16"/>
      <c r="T191" s="17"/>
      <c r="U191" s="16"/>
      <c r="V191" s="17"/>
      <c r="W191" s="16"/>
      <c r="X191" s="17"/>
      <c r="Y191" s="16"/>
      <c r="Z191" s="17"/>
      <c r="AA191" s="16"/>
      <c r="AB191" s="17"/>
      <c r="AC191" s="16"/>
      <c r="AD191" s="17"/>
      <c r="AE191" s="16"/>
      <c r="AF191" s="17"/>
      <c r="AG191" s="16"/>
      <c r="AH191" s="17"/>
      <c r="AI191" s="16"/>
      <c r="AJ191" s="17"/>
      <c r="AK191" s="107"/>
    </row>
    <row r="192" spans="1:37" ht="16.5" customHeight="1" x14ac:dyDescent="0.2">
      <c r="A192" s="6"/>
      <c r="B192" s="135">
        <f t="shared" si="59"/>
        <v>32</v>
      </c>
      <c r="C192" s="135">
        <f>'Kelas XI'!C184</f>
        <v>16186</v>
      </c>
      <c r="D192" s="34" t="str">
        <f>'Kelas XI'!D184</f>
        <v>WILDAN NABIHAN</v>
      </c>
      <c r="E192" s="16"/>
      <c r="F192" s="17"/>
      <c r="G192" s="16"/>
      <c r="H192" s="17"/>
      <c r="I192" s="16"/>
      <c r="J192" s="17"/>
      <c r="K192" s="16"/>
      <c r="L192" s="17"/>
      <c r="M192" s="16"/>
      <c r="N192" s="17"/>
      <c r="O192" s="16"/>
      <c r="P192" s="17"/>
      <c r="Q192" s="16"/>
      <c r="R192" s="17"/>
      <c r="S192" s="16"/>
      <c r="T192" s="17"/>
      <c r="U192" s="16"/>
      <c r="V192" s="17"/>
      <c r="W192" s="16"/>
      <c r="X192" s="17"/>
      <c r="Y192" s="16"/>
      <c r="Z192" s="17"/>
      <c r="AA192" s="16"/>
      <c r="AB192" s="17"/>
      <c r="AC192" s="16"/>
      <c r="AD192" s="17"/>
      <c r="AE192" s="16"/>
      <c r="AF192" s="17"/>
      <c r="AG192" s="16"/>
      <c r="AH192" s="17"/>
      <c r="AI192" s="16"/>
      <c r="AJ192" s="17"/>
      <c r="AK192" s="107"/>
    </row>
    <row r="193" spans="1:37" ht="16.5" customHeight="1" x14ac:dyDescent="0.2">
      <c r="A193" s="6"/>
      <c r="B193" s="135">
        <f t="shared" si="59"/>
        <v>33</v>
      </c>
      <c r="C193" s="135">
        <f>'Kelas XI'!C185</f>
        <v>16114</v>
      </c>
      <c r="D193" s="34" t="str">
        <f>'Kelas XI'!D185</f>
        <v>ZAHIR AVICENNA</v>
      </c>
      <c r="E193" s="16"/>
      <c r="F193" s="17"/>
      <c r="G193" s="16"/>
      <c r="H193" s="17"/>
      <c r="I193" s="16"/>
      <c r="J193" s="17"/>
      <c r="K193" s="16"/>
      <c r="L193" s="17"/>
      <c r="M193" s="16"/>
      <c r="N193" s="17"/>
      <c r="O193" s="16"/>
      <c r="P193" s="17"/>
      <c r="Q193" s="16"/>
      <c r="R193" s="17"/>
      <c r="S193" s="16"/>
      <c r="T193" s="17"/>
      <c r="U193" s="16"/>
      <c r="V193" s="17"/>
      <c r="W193" s="16"/>
      <c r="X193" s="17"/>
      <c r="Y193" s="16"/>
      <c r="Z193" s="17"/>
      <c r="AA193" s="16"/>
      <c r="AB193" s="17"/>
      <c r="AC193" s="16"/>
      <c r="AD193" s="17"/>
      <c r="AE193" s="16"/>
      <c r="AF193" s="17"/>
      <c r="AG193" s="16"/>
      <c r="AH193" s="17"/>
      <c r="AI193" s="16"/>
      <c r="AJ193" s="17"/>
      <c r="AK193" s="107"/>
    </row>
    <row r="194" spans="1:37" ht="16.5" customHeight="1" x14ac:dyDescent="0.2">
      <c r="A194" s="6"/>
      <c r="B194" s="135">
        <f t="shared" si="59"/>
        <v>34</v>
      </c>
      <c r="C194" s="135">
        <f>'Kelas XI'!C186</f>
        <v>0</v>
      </c>
      <c r="D194" s="34">
        <f>'Kelas XI'!D186</f>
        <v>0</v>
      </c>
      <c r="E194" s="16"/>
      <c r="F194" s="17"/>
      <c r="G194" s="16"/>
      <c r="H194" s="17"/>
      <c r="I194" s="16"/>
      <c r="J194" s="17"/>
      <c r="K194" s="16"/>
      <c r="L194" s="17"/>
      <c r="M194" s="16"/>
      <c r="N194" s="17"/>
      <c r="O194" s="16"/>
      <c r="P194" s="17"/>
      <c r="Q194" s="16"/>
      <c r="R194" s="17"/>
      <c r="S194" s="16"/>
      <c r="T194" s="17"/>
      <c r="U194" s="16"/>
      <c r="V194" s="17"/>
      <c r="W194" s="16"/>
      <c r="X194" s="17"/>
      <c r="Y194" s="16"/>
      <c r="Z194" s="17"/>
      <c r="AA194" s="16"/>
      <c r="AB194" s="17"/>
      <c r="AC194" s="16"/>
      <c r="AD194" s="17"/>
      <c r="AE194" s="16"/>
      <c r="AF194" s="17"/>
      <c r="AG194" s="16"/>
      <c r="AH194" s="17"/>
      <c r="AI194" s="16"/>
      <c r="AJ194" s="17"/>
      <c r="AK194" s="107"/>
    </row>
    <row r="195" spans="1:37" ht="16.5" customHeight="1" x14ac:dyDescent="0.2">
      <c r="A195" s="6"/>
      <c r="B195" s="135">
        <f t="shared" si="59"/>
        <v>35</v>
      </c>
      <c r="C195" s="135">
        <f>'Kelas XI'!C187</f>
        <v>0</v>
      </c>
      <c r="D195" s="34">
        <f>'Kelas XI'!D187</f>
        <v>0</v>
      </c>
      <c r="E195" s="16"/>
      <c r="F195" s="17"/>
      <c r="G195" s="16"/>
      <c r="H195" s="17"/>
      <c r="I195" s="16"/>
      <c r="J195" s="17"/>
      <c r="K195" s="16"/>
      <c r="L195" s="17"/>
      <c r="M195" s="16"/>
      <c r="N195" s="17"/>
      <c r="O195" s="16"/>
      <c r="P195" s="17"/>
      <c r="Q195" s="16"/>
      <c r="R195" s="17"/>
      <c r="S195" s="16"/>
      <c r="T195" s="17"/>
      <c r="U195" s="16"/>
      <c r="V195" s="17"/>
      <c r="W195" s="16"/>
      <c r="X195" s="17"/>
      <c r="Y195" s="16"/>
      <c r="Z195" s="17"/>
      <c r="AA195" s="16"/>
      <c r="AB195" s="17"/>
      <c r="AC195" s="16"/>
      <c r="AD195" s="17"/>
      <c r="AE195" s="16"/>
      <c r="AF195" s="17"/>
      <c r="AG195" s="16"/>
      <c r="AH195" s="17"/>
      <c r="AI195" s="16"/>
      <c r="AJ195" s="17"/>
      <c r="AK195" s="107"/>
    </row>
    <row r="196" spans="1:37" ht="16.5" customHeight="1" x14ac:dyDescent="0.2">
      <c r="A196" s="6"/>
      <c r="B196" s="135">
        <f t="shared" si="59"/>
        <v>36</v>
      </c>
      <c r="C196" s="135">
        <f>'Kelas XI'!C188</f>
        <v>0</v>
      </c>
      <c r="D196" s="34">
        <f>'Kelas XI'!D188</f>
        <v>0</v>
      </c>
      <c r="E196" s="16"/>
      <c r="F196" s="17"/>
      <c r="G196" s="16"/>
      <c r="H196" s="17"/>
      <c r="I196" s="16"/>
      <c r="J196" s="17"/>
      <c r="K196" s="16"/>
      <c r="L196" s="17"/>
      <c r="M196" s="16"/>
      <c r="N196" s="17"/>
      <c r="O196" s="16"/>
      <c r="P196" s="17"/>
      <c r="Q196" s="16"/>
      <c r="R196" s="17"/>
      <c r="S196" s="16"/>
      <c r="T196" s="17"/>
      <c r="U196" s="16"/>
      <c r="V196" s="17"/>
      <c r="W196" s="16"/>
      <c r="X196" s="17"/>
      <c r="Y196" s="16"/>
      <c r="Z196" s="17"/>
      <c r="AA196" s="16"/>
      <c r="AB196" s="17"/>
      <c r="AC196" s="16"/>
      <c r="AD196" s="17"/>
      <c r="AE196" s="16"/>
      <c r="AF196" s="17"/>
      <c r="AG196" s="16"/>
      <c r="AH196" s="17"/>
      <c r="AI196" s="16"/>
      <c r="AJ196" s="17"/>
      <c r="AK196" s="107"/>
    </row>
    <row r="197" spans="1:37" ht="16.5" customHeight="1" x14ac:dyDescent="0.2">
      <c r="A197" s="6"/>
      <c r="B197" s="135">
        <f t="shared" si="59"/>
        <v>37</v>
      </c>
      <c r="C197" s="135">
        <f>'Kelas XI'!C189</f>
        <v>0</v>
      </c>
      <c r="D197" s="34">
        <f>'Kelas XI'!D189</f>
        <v>0</v>
      </c>
      <c r="E197" s="16"/>
      <c r="F197" s="17"/>
      <c r="G197" s="16"/>
      <c r="H197" s="17"/>
      <c r="I197" s="16"/>
      <c r="J197" s="17"/>
      <c r="K197" s="16"/>
      <c r="L197" s="17"/>
      <c r="M197" s="16"/>
      <c r="N197" s="17"/>
      <c r="O197" s="16"/>
      <c r="P197" s="17"/>
      <c r="Q197" s="16"/>
      <c r="R197" s="17"/>
      <c r="S197" s="16"/>
      <c r="T197" s="17"/>
      <c r="U197" s="16"/>
      <c r="V197" s="17"/>
      <c r="W197" s="16"/>
      <c r="X197" s="17"/>
      <c r="Y197" s="16"/>
      <c r="Z197" s="17"/>
      <c r="AA197" s="16"/>
      <c r="AB197" s="17"/>
      <c r="AC197" s="16"/>
      <c r="AD197" s="17"/>
      <c r="AE197" s="16"/>
      <c r="AF197" s="17"/>
      <c r="AG197" s="16"/>
      <c r="AH197" s="17"/>
      <c r="AI197" s="16"/>
      <c r="AJ197" s="17"/>
      <c r="AK197" s="107"/>
    </row>
    <row r="198" spans="1:37" ht="16.5" customHeight="1" x14ac:dyDescent="0.2">
      <c r="A198" s="6"/>
      <c r="B198" s="135">
        <f t="shared" si="59"/>
        <v>38</v>
      </c>
      <c r="C198" s="135">
        <f>'Kelas XI'!C190</f>
        <v>0</v>
      </c>
      <c r="D198" s="34">
        <f>'Kelas XI'!D190</f>
        <v>0</v>
      </c>
      <c r="E198" s="16"/>
      <c r="F198" s="17"/>
      <c r="G198" s="16"/>
      <c r="H198" s="17"/>
      <c r="I198" s="16"/>
      <c r="J198" s="17"/>
      <c r="K198" s="16"/>
      <c r="L198" s="17"/>
      <c r="M198" s="16"/>
      <c r="N198" s="17"/>
      <c r="O198" s="16"/>
      <c r="P198" s="17"/>
      <c r="Q198" s="16"/>
      <c r="R198" s="17"/>
      <c r="S198" s="16"/>
      <c r="T198" s="17"/>
      <c r="U198" s="16"/>
      <c r="V198" s="17"/>
      <c r="W198" s="16"/>
      <c r="X198" s="17"/>
      <c r="Y198" s="16"/>
      <c r="Z198" s="17"/>
      <c r="AA198" s="16"/>
      <c r="AB198" s="17"/>
      <c r="AC198" s="16"/>
      <c r="AD198" s="17"/>
      <c r="AE198" s="16"/>
      <c r="AF198" s="17"/>
      <c r="AG198" s="16"/>
      <c r="AH198" s="17"/>
      <c r="AI198" s="16"/>
      <c r="AJ198" s="17"/>
      <c r="AK198" s="107"/>
    </row>
    <row r="199" spans="1:37" ht="16.5" customHeight="1" x14ac:dyDescent="0.2">
      <c r="A199" s="6"/>
      <c r="B199" s="135">
        <f t="shared" si="59"/>
        <v>39</v>
      </c>
      <c r="C199" s="135">
        <f>'Kelas XI'!C191</f>
        <v>0</v>
      </c>
      <c r="D199" s="34">
        <f>'Kelas XI'!D191</f>
        <v>0</v>
      </c>
      <c r="E199" s="16"/>
      <c r="F199" s="17"/>
      <c r="G199" s="16"/>
      <c r="H199" s="17"/>
      <c r="I199" s="16"/>
      <c r="J199" s="17"/>
      <c r="K199" s="16"/>
      <c r="L199" s="17"/>
      <c r="M199" s="16"/>
      <c r="N199" s="17"/>
      <c r="O199" s="16"/>
      <c r="P199" s="17"/>
      <c r="Q199" s="16"/>
      <c r="R199" s="17"/>
      <c r="S199" s="16"/>
      <c r="T199" s="17"/>
      <c r="U199" s="16"/>
      <c r="V199" s="17"/>
      <c r="W199" s="16"/>
      <c r="X199" s="17"/>
      <c r="Y199" s="16"/>
      <c r="Z199" s="17"/>
      <c r="AA199" s="16"/>
      <c r="AB199" s="17"/>
      <c r="AC199" s="16"/>
      <c r="AD199" s="17"/>
      <c r="AE199" s="16"/>
      <c r="AF199" s="17"/>
      <c r="AG199" s="16"/>
      <c r="AH199" s="17"/>
      <c r="AI199" s="16"/>
      <c r="AJ199" s="17"/>
      <c r="AK199" s="107"/>
    </row>
    <row r="200" spans="1:37" ht="16.5" customHeight="1" thickBot="1" x14ac:dyDescent="0.25">
      <c r="A200" s="6"/>
      <c r="B200" s="143">
        <f t="shared" si="59"/>
        <v>40</v>
      </c>
      <c r="C200" s="143">
        <f>'Kelas XI'!C192</f>
        <v>0</v>
      </c>
      <c r="D200" s="147">
        <f>'Kelas XI'!D192</f>
        <v>0</v>
      </c>
      <c r="E200" s="18"/>
      <c r="F200" s="19"/>
      <c r="G200" s="18"/>
      <c r="H200" s="19"/>
      <c r="I200" s="18"/>
      <c r="J200" s="19"/>
      <c r="K200" s="18"/>
      <c r="L200" s="19"/>
      <c r="M200" s="18"/>
      <c r="N200" s="19"/>
      <c r="O200" s="18"/>
      <c r="P200" s="19"/>
      <c r="Q200" s="18"/>
      <c r="R200" s="19"/>
      <c r="S200" s="18"/>
      <c r="T200" s="19"/>
      <c r="U200" s="18"/>
      <c r="V200" s="19"/>
      <c r="W200" s="18"/>
      <c r="X200" s="19"/>
      <c r="Y200" s="18"/>
      <c r="Z200" s="19"/>
      <c r="AA200" s="18"/>
      <c r="AB200" s="19"/>
      <c r="AC200" s="18"/>
      <c r="AD200" s="19"/>
      <c r="AE200" s="18"/>
      <c r="AF200" s="19"/>
      <c r="AG200" s="18"/>
      <c r="AH200" s="19"/>
      <c r="AI200" s="18"/>
      <c r="AJ200" s="19"/>
      <c r="AK200" s="107"/>
    </row>
    <row r="201" spans="1:37" ht="16.5" customHeight="1" x14ac:dyDescent="0.2">
      <c r="A201" s="6"/>
      <c r="B201" s="6"/>
      <c r="C201" s="20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149"/>
      <c r="AK201" s="6"/>
    </row>
    <row r="202" spans="1:37" ht="16.5" customHeight="1" thickBo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150"/>
      <c r="AK202" s="6"/>
    </row>
    <row r="203" spans="1:37" ht="16.5" customHeight="1" x14ac:dyDescent="0.2">
      <c r="A203" s="6"/>
      <c r="B203" s="279"/>
      <c r="C203" s="280"/>
      <c r="D203" s="283" t="s">
        <v>3</v>
      </c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84"/>
      <c r="AB203" s="284"/>
      <c r="AC203" s="284"/>
      <c r="AD203" s="284"/>
      <c r="AE203" s="284"/>
      <c r="AF203" s="284"/>
      <c r="AG203" s="284"/>
      <c r="AH203" s="284"/>
      <c r="AI203" s="284"/>
      <c r="AJ203" s="285"/>
      <c r="AK203" s="107"/>
    </row>
    <row r="204" spans="1:37" ht="16.5" customHeight="1" x14ac:dyDescent="0.2">
      <c r="A204" s="6"/>
      <c r="B204" s="281"/>
      <c r="C204" s="282"/>
      <c r="D204" s="286" t="s">
        <v>4</v>
      </c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287"/>
      <c r="AG204" s="287"/>
      <c r="AH204" s="287"/>
      <c r="AI204" s="287"/>
      <c r="AJ204" s="288"/>
      <c r="AK204" s="107"/>
    </row>
    <row r="205" spans="1:37" ht="16.5" customHeight="1" x14ac:dyDescent="0.2">
      <c r="A205" s="6"/>
      <c r="B205" s="281"/>
      <c r="C205" s="282"/>
      <c r="D205" s="286" t="s">
        <v>547</v>
      </c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87"/>
      <c r="AB205" s="287"/>
      <c r="AC205" s="287"/>
      <c r="AD205" s="287"/>
      <c r="AE205" s="287"/>
      <c r="AF205" s="287"/>
      <c r="AG205" s="287"/>
      <c r="AH205" s="287"/>
      <c r="AI205" s="287"/>
      <c r="AJ205" s="288"/>
      <c r="AK205" s="107"/>
    </row>
    <row r="206" spans="1:37" ht="16.5" customHeight="1" thickBot="1" x14ac:dyDescent="0.25">
      <c r="A206" s="6"/>
      <c r="B206" s="281"/>
      <c r="C206" s="282"/>
      <c r="D206" s="289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0"/>
      <c r="P206" s="290"/>
      <c r="Q206" s="290"/>
      <c r="R206" s="290"/>
      <c r="S206" s="290"/>
      <c r="T206" s="290"/>
      <c r="U206" s="290"/>
      <c r="V206" s="290"/>
      <c r="W206" s="290"/>
      <c r="X206" s="290"/>
      <c r="Y206" s="290"/>
      <c r="Z206" s="290"/>
      <c r="AA206" s="290"/>
      <c r="AB206" s="290"/>
      <c r="AC206" s="290"/>
      <c r="AD206" s="290"/>
      <c r="AE206" s="290"/>
      <c r="AF206" s="290"/>
      <c r="AG206" s="290"/>
      <c r="AH206" s="290"/>
      <c r="AI206" s="290"/>
      <c r="AJ206" s="291"/>
      <c r="AK206" s="107"/>
    </row>
    <row r="207" spans="1:37" ht="16.5" customHeight="1" thickBot="1" x14ac:dyDescent="0.25">
      <c r="A207" s="6"/>
      <c r="B207" s="292"/>
      <c r="C207" s="293"/>
      <c r="D207" s="9" t="s">
        <v>825</v>
      </c>
      <c r="E207" s="10" t="s">
        <v>11</v>
      </c>
      <c r="F207" s="10"/>
      <c r="G207" s="10"/>
      <c r="H207" s="10"/>
      <c r="I207" s="10"/>
      <c r="J207" s="149"/>
      <c r="K207" s="10"/>
      <c r="L207" s="10"/>
      <c r="M207" s="10"/>
      <c r="N207" s="10"/>
      <c r="O207" s="10"/>
      <c r="P207" s="10"/>
      <c r="Q207" s="10"/>
      <c r="R207" s="10"/>
      <c r="S207" s="10" t="str">
        <f>'Kelas XI'!F198</f>
        <v>Wali Kelas   : DWI MULYANI, S.Pd</v>
      </c>
      <c r="T207" s="10"/>
      <c r="U207" s="10"/>
      <c r="V207" s="10"/>
      <c r="W207" s="10"/>
      <c r="X207" s="10"/>
      <c r="Y207" s="10"/>
      <c r="Z207" s="10"/>
      <c r="AA207" s="10"/>
      <c r="AB207" s="10"/>
      <c r="AC207" s="299"/>
      <c r="AD207" s="299"/>
      <c r="AE207" s="299"/>
      <c r="AF207" s="299"/>
      <c r="AG207" s="299"/>
      <c r="AH207" s="299"/>
      <c r="AI207" s="299"/>
      <c r="AJ207" s="300"/>
      <c r="AK207" s="107"/>
    </row>
    <row r="208" spans="1:37" ht="16.5" customHeight="1" thickBot="1" x14ac:dyDescent="0.25">
      <c r="A208" s="6"/>
      <c r="B208" s="294" t="s">
        <v>6</v>
      </c>
      <c r="C208" s="294"/>
      <c r="D208" s="295" t="s">
        <v>7</v>
      </c>
      <c r="E208" s="292" t="s">
        <v>519</v>
      </c>
      <c r="F208" s="298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  <c r="Q208" s="298"/>
      <c r="R208" s="298"/>
      <c r="S208" s="298"/>
      <c r="T208" s="298"/>
      <c r="U208" s="298"/>
      <c r="V208" s="298"/>
      <c r="W208" s="298"/>
      <c r="X208" s="298"/>
      <c r="Y208" s="298"/>
      <c r="Z208" s="298"/>
      <c r="AA208" s="298"/>
      <c r="AB208" s="298"/>
      <c r="AC208" s="298"/>
      <c r="AD208" s="298"/>
      <c r="AE208" s="298"/>
      <c r="AF208" s="298"/>
      <c r="AG208" s="298"/>
      <c r="AH208" s="298"/>
      <c r="AI208" s="298"/>
      <c r="AJ208" s="293"/>
      <c r="AK208" s="107"/>
    </row>
    <row r="209" spans="1:37" ht="16.5" customHeight="1" thickBot="1" x14ac:dyDescent="0.25">
      <c r="A209" s="6"/>
      <c r="B209" s="295" t="s">
        <v>8</v>
      </c>
      <c r="C209" s="295" t="s">
        <v>9</v>
      </c>
      <c r="D209" s="296"/>
      <c r="E209" s="292">
        <f>E8</f>
        <v>17</v>
      </c>
      <c r="F209" s="298"/>
      <c r="G209" s="292">
        <f>E209+1</f>
        <v>18</v>
      </c>
      <c r="H209" s="298"/>
      <c r="I209" s="292">
        <f t="shared" ref="I209" si="60">G209+1</f>
        <v>19</v>
      </c>
      <c r="J209" s="298"/>
      <c r="K209" s="292">
        <f t="shared" ref="K209" si="61">I209+1</f>
        <v>20</v>
      </c>
      <c r="L209" s="298"/>
      <c r="M209" s="292">
        <f t="shared" ref="M209" si="62">K209+1</f>
        <v>21</v>
      </c>
      <c r="N209" s="298"/>
      <c r="O209" s="292">
        <f t="shared" ref="O209" si="63">M209+1</f>
        <v>22</v>
      </c>
      <c r="P209" s="298"/>
      <c r="Q209" s="292">
        <f t="shared" ref="Q209" si="64">O209+1</f>
        <v>23</v>
      </c>
      <c r="R209" s="298"/>
      <c r="S209" s="292">
        <f t="shared" ref="S209" si="65">Q209+1</f>
        <v>24</v>
      </c>
      <c r="T209" s="298"/>
      <c r="U209" s="292">
        <f t="shared" ref="U209" si="66">S209+1</f>
        <v>25</v>
      </c>
      <c r="V209" s="298"/>
      <c r="W209" s="292">
        <f t="shared" ref="W209" si="67">U209+1</f>
        <v>26</v>
      </c>
      <c r="X209" s="298"/>
      <c r="Y209" s="292">
        <f t="shared" ref="Y209" si="68">W209+1</f>
        <v>27</v>
      </c>
      <c r="Z209" s="298"/>
      <c r="AA209" s="292">
        <f t="shared" ref="AA209" si="69">Y209+1</f>
        <v>28</v>
      </c>
      <c r="AB209" s="298"/>
      <c r="AC209" s="292">
        <f t="shared" ref="AC209" si="70">AA209+1</f>
        <v>29</v>
      </c>
      <c r="AD209" s="298"/>
      <c r="AE209" s="292">
        <f t="shared" ref="AE209" si="71">AC209+1</f>
        <v>30</v>
      </c>
      <c r="AF209" s="298"/>
      <c r="AG209" s="292">
        <f t="shared" ref="AG209" si="72">AE209+1</f>
        <v>31</v>
      </c>
      <c r="AH209" s="298"/>
      <c r="AI209" s="292">
        <f t="shared" ref="AI209" si="73">AG209+1</f>
        <v>32</v>
      </c>
      <c r="AJ209" s="298"/>
      <c r="AK209" s="107"/>
    </row>
    <row r="210" spans="1:37" ht="21.75" customHeight="1" thickBot="1" x14ac:dyDescent="0.25">
      <c r="A210" s="6"/>
      <c r="B210" s="297"/>
      <c r="C210" s="297"/>
      <c r="D210" s="297"/>
      <c r="E210" s="108" t="s">
        <v>13</v>
      </c>
      <c r="F210" s="108" t="s">
        <v>14</v>
      </c>
      <c r="G210" s="108" t="s">
        <v>13</v>
      </c>
      <c r="H210" s="108" t="s">
        <v>14</v>
      </c>
      <c r="I210" s="108" t="s">
        <v>13</v>
      </c>
      <c r="J210" s="108" t="s">
        <v>14</v>
      </c>
      <c r="K210" s="108" t="s">
        <v>13</v>
      </c>
      <c r="L210" s="108" t="s">
        <v>14</v>
      </c>
      <c r="M210" s="108" t="s">
        <v>13</v>
      </c>
      <c r="N210" s="108" t="s">
        <v>14</v>
      </c>
      <c r="O210" s="108" t="s">
        <v>13</v>
      </c>
      <c r="P210" s="108" t="s">
        <v>14</v>
      </c>
      <c r="Q210" s="108" t="s">
        <v>13</v>
      </c>
      <c r="R210" s="108" t="s">
        <v>14</v>
      </c>
      <c r="S210" s="108" t="s">
        <v>13</v>
      </c>
      <c r="T210" s="108" t="s">
        <v>14</v>
      </c>
      <c r="U210" s="108" t="s">
        <v>13</v>
      </c>
      <c r="V210" s="108" t="s">
        <v>14</v>
      </c>
      <c r="W210" s="108" t="s">
        <v>13</v>
      </c>
      <c r="X210" s="108" t="s">
        <v>14</v>
      </c>
      <c r="Y210" s="108" t="s">
        <v>13</v>
      </c>
      <c r="Z210" s="108" t="s">
        <v>14</v>
      </c>
      <c r="AA210" s="108" t="s">
        <v>13</v>
      </c>
      <c r="AB210" s="108" t="s">
        <v>14</v>
      </c>
      <c r="AC210" s="108" t="s">
        <v>13</v>
      </c>
      <c r="AD210" s="108" t="s">
        <v>14</v>
      </c>
      <c r="AE210" s="108" t="s">
        <v>13</v>
      </c>
      <c r="AF210" s="108" t="s">
        <v>14</v>
      </c>
      <c r="AG210" s="108" t="s">
        <v>13</v>
      </c>
      <c r="AH210" s="108" t="s">
        <v>14</v>
      </c>
      <c r="AI210" s="108" t="s">
        <v>13</v>
      </c>
      <c r="AJ210" s="108" t="s">
        <v>14</v>
      </c>
      <c r="AK210" s="107"/>
    </row>
    <row r="211" spans="1:37" ht="16.5" customHeight="1" x14ac:dyDescent="0.2">
      <c r="A211" s="6"/>
      <c r="B211" s="21">
        <v>1</v>
      </c>
      <c r="C211" s="22">
        <f>'Kelas XI'!C201</f>
        <v>16078</v>
      </c>
      <c r="D211" s="117" t="str">
        <f>'Kelas XI'!D201</f>
        <v>ACHMAD JA'FAR NAFIS AL HISYAM</v>
      </c>
      <c r="E211" s="12"/>
      <c r="F211" s="13"/>
      <c r="G211" s="12"/>
      <c r="H211" s="13"/>
      <c r="I211" s="12"/>
      <c r="J211" s="13"/>
      <c r="K211" s="12"/>
      <c r="L211" s="13"/>
      <c r="M211" s="12"/>
      <c r="N211" s="13"/>
      <c r="O211" s="12"/>
      <c r="P211" s="13"/>
      <c r="Q211" s="12"/>
      <c r="R211" s="13"/>
      <c r="S211" s="12"/>
      <c r="T211" s="13"/>
      <c r="U211" s="12"/>
      <c r="V211" s="13"/>
      <c r="W211" s="12"/>
      <c r="X211" s="13"/>
      <c r="Y211" s="12"/>
      <c r="Z211" s="13"/>
      <c r="AA211" s="12"/>
      <c r="AB211" s="13"/>
      <c r="AC211" s="12"/>
      <c r="AD211" s="13"/>
      <c r="AE211" s="12"/>
      <c r="AF211" s="13"/>
      <c r="AG211" s="12"/>
      <c r="AH211" s="13"/>
      <c r="AI211" s="12"/>
      <c r="AJ211" s="13"/>
      <c r="AK211" s="107"/>
    </row>
    <row r="212" spans="1:37" ht="16.5" customHeight="1" x14ac:dyDescent="0.2">
      <c r="A212" s="6"/>
      <c r="B212" s="135">
        <f t="shared" ref="B212:B250" si="74">B211+1</f>
        <v>2</v>
      </c>
      <c r="C212" s="135">
        <f>'Kelas XI'!C202</f>
        <v>16225</v>
      </c>
      <c r="D212" s="117" t="str">
        <f>'Kelas XI'!D202</f>
        <v>AHMAD FIRAAS</v>
      </c>
      <c r="E212" s="14"/>
      <c r="F212" s="15"/>
      <c r="G212" s="14"/>
      <c r="H212" s="15"/>
      <c r="I212" s="14"/>
      <c r="J212" s="15"/>
      <c r="K212" s="14"/>
      <c r="L212" s="15"/>
      <c r="M212" s="14"/>
      <c r="N212" s="15"/>
      <c r="O212" s="14"/>
      <c r="P212" s="15"/>
      <c r="Q212" s="14"/>
      <c r="R212" s="15"/>
      <c r="S212" s="14"/>
      <c r="T212" s="15"/>
      <c r="U212" s="14"/>
      <c r="V212" s="15"/>
      <c r="W212" s="14"/>
      <c r="X212" s="15"/>
      <c r="Y212" s="14"/>
      <c r="Z212" s="15"/>
      <c r="AA212" s="14"/>
      <c r="AB212" s="15"/>
      <c r="AC212" s="14"/>
      <c r="AD212" s="15"/>
      <c r="AE212" s="14"/>
      <c r="AF212" s="15"/>
      <c r="AG212" s="14"/>
      <c r="AH212" s="15"/>
      <c r="AI212" s="14"/>
      <c r="AJ212" s="15"/>
      <c r="AK212" s="107"/>
    </row>
    <row r="213" spans="1:37" ht="16.5" customHeight="1" x14ac:dyDescent="0.2">
      <c r="A213" s="6"/>
      <c r="B213" s="135">
        <f t="shared" si="74"/>
        <v>3</v>
      </c>
      <c r="C213" s="135">
        <f>'Kelas XI'!C203</f>
        <v>16227</v>
      </c>
      <c r="D213" s="117" t="str">
        <f>'Kelas XI'!D203</f>
        <v>ALFIANSYAH RISKY MAULANA</v>
      </c>
      <c r="E213" s="14"/>
      <c r="F213" s="15"/>
      <c r="G213" s="14"/>
      <c r="H213" s="15"/>
      <c r="I213" s="14"/>
      <c r="J213" s="15"/>
      <c r="K213" s="14"/>
      <c r="L213" s="15"/>
      <c r="M213" s="14"/>
      <c r="N213" s="15"/>
      <c r="O213" s="14"/>
      <c r="P213" s="15"/>
      <c r="Q213" s="14"/>
      <c r="R213" s="15"/>
      <c r="S213" s="14"/>
      <c r="T213" s="15"/>
      <c r="U213" s="14"/>
      <c r="V213" s="15"/>
      <c r="W213" s="14"/>
      <c r="X213" s="15"/>
      <c r="Y213" s="14"/>
      <c r="Z213" s="15"/>
      <c r="AA213" s="14"/>
      <c r="AB213" s="15"/>
      <c r="AC213" s="14"/>
      <c r="AD213" s="15"/>
      <c r="AE213" s="14"/>
      <c r="AF213" s="15"/>
      <c r="AG213" s="14"/>
      <c r="AH213" s="15"/>
      <c r="AI213" s="14"/>
      <c r="AJ213" s="15"/>
      <c r="AK213" s="107"/>
    </row>
    <row r="214" spans="1:37" ht="16.5" customHeight="1" x14ac:dyDescent="0.2">
      <c r="A214" s="6"/>
      <c r="B214" s="135">
        <f t="shared" si="74"/>
        <v>4</v>
      </c>
      <c r="C214" s="135">
        <f>'Kelas XI'!C204</f>
        <v>16083</v>
      </c>
      <c r="D214" s="117" t="str">
        <f>'Kelas XI'!D204</f>
        <v>ALVIN MASYKUR</v>
      </c>
      <c r="E214" s="14"/>
      <c r="F214" s="15"/>
      <c r="G214" s="14"/>
      <c r="H214" s="15"/>
      <c r="I214" s="14"/>
      <c r="J214" s="15"/>
      <c r="K214" s="14"/>
      <c r="L214" s="15"/>
      <c r="M214" s="14"/>
      <c r="N214" s="15"/>
      <c r="O214" s="14"/>
      <c r="P214" s="15"/>
      <c r="Q214" s="14"/>
      <c r="R214" s="15"/>
      <c r="S214" s="14"/>
      <c r="T214" s="15"/>
      <c r="U214" s="14"/>
      <c r="V214" s="15"/>
      <c r="W214" s="14"/>
      <c r="X214" s="15"/>
      <c r="Y214" s="14"/>
      <c r="Z214" s="15"/>
      <c r="AA214" s="14"/>
      <c r="AB214" s="15"/>
      <c r="AC214" s="14"/>
      <c r="AD214" s="15"/>
      <c r="AE214" s="14"/>
      <c r="AF214" s="15"/>
      <c r="AG214" s="14"/>
      <c r="AH214" s="15"/>
      <c r="AI214" s="14"/>
      <c r="AJ214" s="15"/>
      <c r="AK214" s="107"/>
    </row>
    <row r="215" spans="1:37" ht="16.5" customHeight="1" x14ac:dyDescent="0.2">
      <c r="A215" s="6"/>
      <c r="B215" s="135">
        <f t="shared" si="74"/>
        <v>5</v>
      </c>
      <c r="C215" s="135">
        <f>'Kelas XI'!C205</f>
        <v>16190</v>
      </c>
      <c r="D215" s="117" t="str">
        <f>'Kelas XI'!D205</f>
        <v>ANAS MAHESA BUANA</v>
      </c>
      <c r="E215" s="14"/>
      <c r="F215" s="15"/>
      <c r="G215" s="14"/>
      <c r="H215" s="15"/>
      <c r="I215" s="14"/>
      <c r="J215" s="15"/>
      <c r="K215" s="14"/>
      <c r="L215" s="15"/>
      <c r="M215" s="14"/>
      <c r="N215" s="15"/>
      <c r="O215" s="14"/>
      <c r="P215" s="15"/>
      <c r="Q215" s="14"/>
      <c r="R215" s="15"/>
      <c r="S215" s="14"/>
      <c r="T215" s="15"/>
      <c r="U215" s="14"/>
      <c r="V215" s="15"/>
      <c r="W215" s="14"/>
      <c r="X215" s="15"/>
      <c r="Y215" s="14"/>
      <c r="Z215" s="15"/>
      <c r="AA215" s="14"/>
      <c r="AB215" s="15"/>
      <c r="AC215" s="14"/>
      <c r="AD215" s="15"/>
      <c r="AE215" s="14"/>
      <c r="AF215" s="15"/>
      <c r="AG215" s="14"/>
      <c r="AH215" s="15"/>
      <c r="AI215" s="14"/>
      <c r="AJ215" s="15"/>
      <c r="AK215" s="107"/>
    </row>
    <row r="216" spans="1:37" ht="16.5" customHeight="1" x14ac:dyDescent="0.2">
      <c r="A216" s="6"/>
      <c r="B216" s="135">
        <f t="shared" si="74"/>
        <v>6</v>
      </c>
      <c r="C216" s="135">
        <f>'Kelas XI'!C206</f>
        <v>16228</v>
      </c>
      <c r="D216" s="117" t="str">
        <f>'Kelas XI'!D206</f>
        <v>ARKALIF MAULITIYO GOBIT</v>
      </c>
      <c r="E216" s="14"/>
      <c r="F216" s="15"/>
      <c r="G216" s="14"/>
      <c r="H216" s="15"/>
      <c r="I216" s="14"/>
      <c r="J216" s="15"/>
      <c r="K216" s="14"/>
      <c r="L216" s="15"/>
      <c r="M216" s="14"/>
      <c r="N216" s="15"/>
      <c r="O216" s="14"/>
      <c r="P216" s="15"/>
      <c r="Q216" s="14"/>
      <c r="R216" s="15"/>
      <c r="S216" s="14"/>
      <c r="T216" s="15"/>
      <c r="U216" s="14"/>
      <c r="V216" s="15"/>
      <c r="W216" s="14"/>
      <c r="X216" s="15"/>
      <c r="Y216" s="14"/>
      <c r="Z216" s="15"/>
      <c r="AA216" s="14"/>
      <c r="AB216" s="15"/>
      <c r="AC216" s="14"/>
      <c r="AD216" s="15"/>
      <c r="AE216" s="14"/>
      <c r="AF216" s="15"/>
      <c r="AG216" s="14"/>
      <c r="AH216" s="15"/>
      <c r="AI216" s="14"/>
      <c r="AJ216" s="15"/>
      <c r="AK216" s="107"/>
    </row>
    <row r="217" spans="1:37" ht="16.5" customHeight="1" x14ac:dyDescent="0.2">
      <c r="A217" s="6"/>
      <c r="B217" s="135">
        <f t="shared" si="74"/>
        <v>7</v>
      </c>
      <c r="C217" s="135">
        <f>'Kelas XI'!C207</f>
        <v>16121</v>
      </c>
      <c r="D217" s="117" t="str">
        <f>'Kelas XI'!D207</f>
        <v>ARRIZAL RUBY MAULID DEINDRA</v>
      </c>
      <c r="E217" s="14"/>
      <c r="F217" s="15"/>
      <c r="G217" s="14"/>
      <c r="H217" s="15"/>
      <c r="I217" s="14"/>
      <c r="J217" s="15"/>
      <c r="K217" s="14"/>
      <c r="L217" s="15"/>
      <c r="M217" s="14"/>
      <c r="N217" s="15"/>
      <c r="O217" s="14"/>
      <c r="P217" s="15"/>
      <c r="Q217" s="14"/>
      <c r="R217" s="15"/>
      <c r="S217" s="14"/>
      <c r="T217" s="15"/>
      <c r="U217" s="14"/>
      <c r="V217" s="15"/>
      <c r="W217" s="14"/>
      <c r="X217" s="15"/>
      <c r="Y217" s="14"/>
      <c r="Z217" s="15"/>
      <c r="AA217" s="14"/>
      <c r="AB217" s="15"/>
      <c r="AC217" s="14"/>
      <c r="AD217" s="15"/>
      <c r="AE217" s="14"/>
      <c r="AF217" s="15"/>
      <c r="AG217" s="14"/>
      <c r="AH217" s="15"/>
      <c r="AI217" s="14"/>
      <c r="AJ217" s="15"/>
      <c r="AK217" s="107"/>
    </row>
    <row r="218" spans="1:37" ht="16.5" customHeight="1" x14ac:dyDescent="0.2">
      <c r="A218" s="6"/>
      <c r="B218" s="135">
        <f t="shared" si="74"/>
        <v>8</v>
      </c>
      <c r="C218" s="135">
        <f>'Kelas XI'!C208</f>
        <v>16124</v>
      </c>
      <c r="D218" s="117" t="str">
        <f>'Kelas XI'!D208</f>
        <v>AZKA ABDUL HAKIM</v>
      </c>
      <c r="E218" s="14"/>
      <c r="F218" s="15"/>
      <c r="G218" s="14"/>
      <c r="H218" s="15"/>
      <c r="I218" s="14"/>
      <c r="J218" s="15"/>
      <c r="K218" s="14"/>
      <c r="L218" s="15"/>
      <c r="M218" s="14"/>
      <c r="N218" s="15"/>
      <c r="O218" s="14"/>
      <c r="P218" s="15"/>
      <c r="Q218" s="14"/>
      <c r="R218" s="15"/>
      <c r="S218" s="14"/>
      <c r="T218" s="15"/>
      <c r="U218" s="14"/>
      <c r="V218" s="15"/>
      <c r="W218" s="14"/>
      <c r="X218" s="15"/>
      <c r="Y218" s="14"/>
      <c r="Z218" s="15"/>
      <c r="AA218" s="14"/>
      <c r="AB218" s="15"/>
      <c r="AC218" s="14"/>
      <c r="AD218" s="15"/>
      <c r="AE218" s="14"/>
      <c r="AF218" s="15"/>
      <c r="AG218" s="14"/>
      <c r="AH218" s="15"/>
      <c r="AI218" s="14"/>
      <c r="AJ218" s="15"/>
      <c r="AK218" s="107"/>
    </row>
    <row r="219" spans="1:37" ht="16.5" customHeight="1" x14ac:dyDescent="0.2">
      <c r="A219" s="6"/>
      <c r="B219" s="135">
        <f t="shared" si="74"/>
        <v>9</v>
      </c>
      <c r="C219" s="135">
        <f>'Kelas XI'!C209</f>
        <v>16127</v>
      </c>
      <c r="D219" s="117" t="str">
        <f>'Kelas XI'!D209</f>
        <v>DAFFA DIYAULHAQ PUTRA HUDAYA</v>
      </c>
      <c r="E219" s="14"/>
      <c r="F219" s="15"/>
      <c r="G219" s="14"/>
      <c r="H219" s="15"/>
      <c r="I219" s="14"/>
      <c r="J219" s="15"/>
      <c r="K219" s="14"/>
      <c r="L219" s="15"/>
      <c r="M219" s="14"/>
      <c r="N219" s="15"/>
      <c r="O219" s="14"/>
      <c r="P219" s="15"/>
      <c r="Q219" s="14"/>
      <c r="R219" s="15"/>
      <c r="S219" s="14"/>
      <c r="T219" s="15"/>
      <c r="U219" s="14"/>
      <c r="V219" s="15"/>
      <c r="W219" s="14"/>
      <c r="X219" s="15"/>
      <c r="Y219" s="14"/>
      <c r="Z219" s="15"/>
      <c r="AA219" s="14"/>
      <c r="AB219" s="15"/>
      <c r="AC219" s="14"/>
      <c r="AD219" s="15"/>
      <c r="AE219" s="14"/>
      <c r="AF219" s="15"/>
      <c r="AG219" s="14"/>
      <c r="AH219" s="15"/>
      <c r="AI219" s="14"/>
      <c r="AJ219" s="15"/>
      <c r="AK219" s="107"/>
    </row>
    <row r="220" spans="1:37" ht="16.5" customHeight="1" x14ac:dyDescent="0.2">
      <c r="A220" s="6"/>
      <c r="B220" s="135">
        <f t="shared" si="74"/>
        <v>10</v>
      </c>
      <c r="C220" s="135">
        <f>'Kelas XI'!C210</f>
        <v>16230</v>
      </c>
      <c r="D220" s="117" t="str">
        <f>'Kelas XI'!D210</f>
        <v>DIMAS AGASTYA MAHENDRA</v>
      </c>
      <c r="E220" s="14"/>
      <c r="F220" s="15"/>
      <c r="G220" s="14"/>
      <c r="H220" s="15"/>
      <c r="I220" s="14"/>
      <c r="J220" s="15"/>
      <c r="K220" s="14"/>
      <c r="L220" s="15"/>
      <c r="M220" s="14"/>
      <c r="N220" s="15"/>
      <c r="O220" s="14"/>
      <c r="P220" s="15"/>
      <c r="Q220" s="14"/>
      <c r="R220" s="15"/>
      <c r="S220" s="14"/>
      <c r="T220" s="15"/>
      <c r="U220" s="14"/>
      <c r="V220" s="15"/>
      <c r="W220" s="14"/>
      <c r="X220" s="15"/>
      <c r="Y220" s="14"/>
      <c r="Z220" s="15"/>
      <c r="AA220" s="14"/>
      <c r="AB220" s="15"/>
      <c r="AC220" s="14"/>
      <c r="AD220" s="15"/>
      <c r="AE220" s="14"/>
      <c r="AF220" s="15"/>
      <c r="AG220" s="14"/>
      <c r="AH220" s="15"/>
      <c r="AI220" s="14"/>
      <c r="AJ220" s="15"/>
      <c r="AK220" s="107"/>
    </row>
    <row r="221" spans="1:37" ht="16.5" customHeight="1" x14ac:dyDescent="0.2">
      <c r="A221" s="6"/>
      <c r="B221" s="135">
        <f t="shared" si="74"/>
        <v>11</v>
      </c>
      <c r="C221" s="135">
        <f>'Kelas XI'!C211</f>
        <v>16130</v>
      </c>
      <c r="D221" s="117" t="str">
        <f>'Kelas XI'!D211</f>
        <v>EYVAN JAHWAR RASYDAN</v>
      </c>
      <c r="E221" s="14"/>
      <c r="F221" s="15"/>
      <c r="G221" s="14"/>
      <c r="H221" s="15"/>
      <c r="I221" s="14"/>
      <c r="J221" s="15"/>
      <c r="K221" s="14"/>
      <c r="L221" s="15"/>
      <c r="M221" s="14"/>
      <c r="N221" s="15"/>
      <c r="O221" s="14"/>
      <c r="P221" s="15"/>
      <c r="Q221" s="14"/>
      <c r="R221" s="15"/>
      <c r="S221" s="14"/>
      <c r="T221" s="15"/>
      <c r="U221" s="14"/>
      <c r="V221" s="15"/>
      <c r="W221" s="14"/>
      <c r="X221" s="15"/>
      <c r="Y221" s="14"/>
      <c r="Z221" s="15"/>
      <c r="AA221" s="14"/>
      <c r="AB221" s="15"/>
      <c r="AC221" s="14"/>
      <c r="AD221" s="15"/>
      <c r="AE221" s="14"/>
      <c r="AF221" s="15"/>
      <c r="AG221" s="14"/>
      <c r="AH221" s="15"/>
      <c r="AI221" s="14"/>
      <c r="AJ221" s="15"/>
      <c r="AK221" s="107"/>
    </row>
    <row r="222" spans="1:37" ht="16.5" customHeight="1" x14ac:dyDescent="0.2">
      <c r="A222" s="6"/>
      <c r="B222" s="135">
        <f t="shared" si="74"/>
        <v>12</v>
      </c>
      <c r="C222" s="135">
        <f>'Kelas XI'!C212</f>
        <v>16381</v>
      </c>
      <c r="D222" s="117" t="str">
        <f>'Kelas XI'!D212</f>
        <v>FAHMI IRSYAD MUKHLISON</v>
      </c>
      <c r="E222" s="14"/>
      <c r="F222" s="15"/>
      <c r="G222" s="14"/>
      <c r="H222" s="15"/>
      <c r="I222" s="14"/>
      <c r="J222" s="15"/>
      <c r="K222" s="14"/>
      <c r="L222" s="15"/>
      <c r="M222" s="14"/>
      <c r="N222" s="15"/>
      <c r="O222" s="14"/>
      <c r="P222" s="15"/>
      <c r="Q222" s="14"/>
      <c r="R222" s="15"/>
      <c r="S222" s="14"/>
      <c r="T222" s="15"/>
      <c r="U222" s="14"/>
      <c r="V222" s="15"/>
      <c r="W222" s="14"/>
      <c r="X222" s="15"/>
      <c r="Y222" s="14"/>
      <c r="Z222" s="15"/>
      <c r="AA222" s="14"/>
      <c r="AB222" s="15"/>
      <c r="AC222" s="14"/>
      <c r="AD222" s="15"/>
      <c r="AE222" s="14"/>
      <c r="AF222" s="15"/>
      <c r="AG222" s="14"/>
      <c r="AH222" s="15"/>
      <c r="AI222" s="14"/>
      <c r="AJ222" s="15"/>
      <c r="AK222" s="107"/>
    </row>
    <row r="223" spans="1:37" ht="16.5" customHeight="1" x14ac:dyDescent="0.2">
      <c r="A223" s="6"/>
      <c r="B223" s="135">
        <f t="shared" si="74"/>
        <v>13</v>
      </c>
      <c r="C223" s="135">
        <f>'Kelas XI'!C213</f>
        <v>16232</v>
      </c>
      <c r="D223" s="117" t="str">
        <f>'Kelas XI'!D213</f>
        <v>GEMA ISLAM AL GHAZALI</v>
      </c>
      <c r="E223" s="14"/>
      <c r="F223" s="15"/>
      <c r="G223" s="14"/>
      <c r="H223" s="15"/>
      <c r="I223" s="14"/>
      <c r="J223" s="15"/>
      <c r="K223" s="14"/>
      <c r="L223" s="15"/>
      <c r="M223" s="14"/>
      <c r="N223" s="15"/>
      <c r="O223" s="14"/>
      <c r="P223" s="15"/>
      <c r="Q223" s="14"/>
      <c r="R223" s="15"/>
      <c r="S223" s="14"/>
      <c r="T223" s="15"/>
      <c r="U223" s="14"/>
      <c r="V223" s="15"/>
      <c r="W223" s="14"/>
      <c r="X223" s="15"/>
      <c r="Y223" s="14"/>
      <c r="Z223" s="15"/>
      <c r="AA223" s="14"/>
      <c r="AB223" s="15"/>
      <c r="AC223" s="14"/>
      <c r="AD223" s="15"/>
      <c r="AE223" s="14"/>
      <c r="AF223" s="15"/>
      <c r="AG223" s="14"/>
      <c r="AH223" s="15"/>
      <c r="AI223" s="14"/>
      <c r="AJ223" s="15"/>
      <c r="AK223" s="107"/>
    </row>
    <row r="224" spans="1:37" ht="16.5" customHeight="1" x14ac:dyDescent="0.2">
      <c r="A224" s="6"/>
      <c r="B224" s="135">
        <f t="shared" si="74"/>
        <v>14</v>
      </c>
      <c r="C224" s="135">
        <f>'Kelas XI'!C214</f>
        <v>16094</v>
      </c>
      <c r="D224" s="117" t="str">
        <f>'Kelas XI'!D214</f>
        <v>GIAN ADINATA PRATAMA</v>
      </c>
      <c r="E224" s="14"/>
      <c r="F224" s="15"/>
      <c r="G224" s="14"/>
      <c r="H224" s="15"/>
      <c r="I224" s="14"/>
      <c r="J224" s="15"/>
      <c r="K224" s="14"/>
      <c r="L224" s="15"/>
      <c r="M224" s="14"/>
      <c r="N224" s="15"/>
      <c r="O224" s="14"/>
      <c r="P224" s="15"/>
      <c r="Q224" s="14"/>
      <c r="R224" s="15"/>
      <c r="S224" s="14"/>
      <c r="T224" s="15"/>
      <c r="U224" s="14"/>
      <c r="V224" s="15"/>
      <c r="W224" s="14"/>
      <c r="X224" s="15"/>
      <c r="Y224" s="14"/>
      <c r="Z224" s="15"/>
      <c r="AA224" s="14"/>
      <c r="AB224" s="15"/>
      <c r="AC224" s="14"/>
      <c r="AD224" s="15"/>
      <c r="AE224" s="14"/>
      <c r="AF224" s="15"/>
      <c r="AG224" s="14"/>
      <c r="AH224" s="15"/>
      <c r="AI224" s="14"/>
      <c r="AJ224" s="15"/>
      <c r="AK224" s="107"/>
    </row>
    <row r="225" spans="1:37" ht="16.5" customHeight="1" x14ac:dyDescent="0.2">
      <c r="A225" s="6"/>
      <c r="B225" s="135">
        <f t="shared" si="74"/>
        <v>15</v>
      </c>
      <c r="C225" s="135">
        <f>'Kelas XI'!C215</f>
        <v>16095</v>
      </c>
      <c r="D225" s="117" t="str">
        <f>'Kelas XI'!D215</f>
        <v>IBRA NUR KHOLIK</v>
      </c>
      <c r="E225" s="14"/>
      <c r="F225" s="15"/>
      <c r="G225" s="14"/>
      <c r="H225" s="15"/>
      <c r="I225" s="14"/>
      <c r="J225" s="15"/>
      <c r="K225" s="14"/>
      <c r="L225" s="15"/>
      <c r="M225" s="14"/>
      <c r="N225" s="15"/>
      <c r="O225" s="14"/>
      <c r="P225" s="15"/>
      <c r="Q225" s="14"/>
      <c r="R225" s="15"/>
      <c r="S225" s="14"/>
      <c r="T225" s="15"/>
      <c r="U225" s="14"/>
      <c r="V225" s="15"/>
      <c r="W225" s="14"/>
      <c r="X225" s="15"/>
      <c r="Y225" s="14"/>
      <c r="Z225" s="15"/>
      <c r="AA225" s="14"/>
      <c r="AB225" s="15"/>
      <c r="AC225" s="14"/>
      <c r="AD225" s="15"/>
      <c r="AE225" s="14"/>
      <c r="AF225" s="15"/>
      <c r="AG225" s="14"/>
      <c r="AH225" s="15"/>
      <c r="AI225" s="14"/>
      <c r="AJ225" s="15"/>
      <c r="AK225" s="107"/>
    </row>
    <row r="226" spans="1:37" ht="16.5" customHeight="1" x14ac:dyDescent="0.2">
      <c r="A226" s="6"/>
      <c r="B226" s="135">
        <f t="shared" si="74"/>
        <v>16</v>
      </c>
      <c r="C226" s="135">
        <f>'Kelas XI'!C216</f>
        <v>16101</v>
      </c>
      <c r="D226" s="117" t="str">
        <f>'Kelas XI'!D216</f>
        <v>MOHAMMAD ROSIKHUL ILMY NABAWI</v>
      </c>
      <c r="E226" s="14"/>
      <c r="F226" s="15"/>
      <c r="G226" s="14"/>
      <c r="H226" s="15"/>
      <c r="I226" s="14"/>
      <c r="J226" s="15"/>
      <c r="K226" s="14"/>
      <c r="L226" s="15"/>
      <c r="M226" s="14"/>
      <c r="N226" s="15"/>
      <c r="O226" s="14"/>
      <c r="P226" s="15"/>
      <c r="Q226" s="14"/>
      <c r="R226" s="15"/>
      <c r="S226" s="14"/>
      <c r="T226" s="15"/>
      <c r="U226" s="14"/>
      <c r="V226" s="15"/>
      <c r="W226" s="14"/>
      <c r="X226" s="15"/>
      <c r="Y226" s="14"/>
      <c r="Z226" s="15"/>
      <c r="AA226" s="14"/>
      <c r="AB226" s="15"/>
      <c r="AC226" s="14"/>
      <c r="AD226" s="15"/>
      <c r="AE226" s="14"/>
      <c r="AF226" s="15"/>
      <c r="AG226" s="14"/>
      <c r="AH226" s="15"/>
      <c r="AI226" s="14"/>
      <c r="AJ226" s="15"/>
      <c r="AK226" s="107"/>
    </row>
    <row r="227" spans="1:37" ht="16.5" customHeight="1" x14ac:dyDescent="0.2">
      <c r="A227" s="6"/>
      <c r="B227" s="135">
        <f t="shared" si="74"/>
        <v>17</v>
      </c>
      <c r="C227" s="135">
        <f>'Kelas XI'!C217</f>
        <v>16139</v>
      </c>
      <c r="D227" s="117" t="str">
        <f>'Kelas XI'!D217</f>
        <v>MUHAMAD TAQI ZIAUL FIRDAUS</v>
      </c>
      <c r="E227" s="14"/>
      <c r="F227" s="15"/>
      <c r="G227" s="14"/>
      <c r="H227" s="15"/>
      <c r="I227" s="14"/>
      <c r="J227" s="15"/>
      <c r="K227" s="14"/>
      <c r="L227" s="15"/>
      <c r="M227" s="14"/>
      <c r="N227" s="15"/>
      <c r="O227" s="14"/>
      <c r="P227" s="15"/>
      <c r="Q227" s="14"/>
      <c r="R227" s="15"/>
      <c r="S227" s="14"/>
      <c r="T227" s="15"/>
      <c r="U227" s="14"/>
      <c r="V227" s="15"/>
      <c r="W227" s="14"/>
      <c r="X227" s="15"/>
      <c r="Y227" s="14"/>
      <c r="Z227" s="15"/>
      <c r="AA227" s="14"/>
      <c r="AB227" s="15"/>
      <c r="AC227" s="14"/>
      <c r="AD227" s="15"/>
      <c r="AE227" s="14"/>
      <c r="AF227" s="15"/>
      <c r="AG227" s="14"/>
      <c r="AH227" s="15"/>
      <c r="AI227" s="14"/>
      <c r="AJ227" s="15"/>
      <c r="AK227" s="107"/>
    </row>
    <row r="228" spans="1:37" ht="16.5" customHeight="1" x14ac:dyDescent="0.2">
      <c r="A228" s="6"/>
      <c r="B228" s="135">
        <f t="shared" si="74"/>
        <v>18</v>
      </c>
      <c r="C228" s="135">
        <f>'Kelas XI'!C218</f>
        <v>16103</v>
      </c>
      <c r="D228" s="117" t="str">
        <f>'Kelas XI'!D218</f>
        <v>MUHAMMAD ABDUL FAIQ</v>
      </c>
      <c r="E228" s="14"/>
      <c r="F228" s="15"/>
      <c r="G228" s="14"/>
      <c r="H228" s="15"/>
      <c r="I228" s="14"/>
      <c r="J228" s="15"/>
      <c r="K228" s="14"/>
      <c r="L228" s="15"/>
      <c r="M228" s="14"/>
      <c r="N228" s="15"/>
      <c r="O228" s="14"/>
      <c r="P228" s="15"/>
      <c r="Q228" s="14"/>
      <c r="R228" s="15"/>
      <c r="S228" s="14"/>
      <c r="T228" s="15"/>
      <c r="U228" s="14"/>
      <c r="V228" s="15"/>
      <c r="W228" s="14"/>
      <c r="X228" s="15"/>
      <c r="Y228" s="14"/>
      <c r="Z228" s="15"/>
      <c r="AA228" s="14"/>
      <c r="AB228" s="15"/>
      <c r="AC228" s="14"/>
      <c r="AD228" s="15"/>
      <c r="AE228" s="14"/>
      <c r="AF228" s="15"/>
      <c r="AG228" s="14"/>
      <c r="AH228" s="15"/>
      <c r="AI228" s="14"/>
      <c r="AJ228" s="15"/>
      <c r="AK228" s="107"/>
    </row>
    <row r="229" spans="1:37" ht="16.5" customHeight="1" x14ac:dyDescent="0.2">
      <c r="A229" s="6"/>
      <c r="B229" s="135">
        <f t="shared" si="74"/>
        <v>19</v>
      </c>
      <c r="C229" s="135">
        <f>'Kelas XI'!C219</f>
        <v>16242</v>
      </c>
      <c r="D229" s="117" t="str">
        <f>'Kelas XI'!D219</f>
        <v>MUHAMMAD ABIL SA'AD</v>
      </c>
      <c r="E229" s="14"/>
      <c r="F229" s="15"/>
      <c r="G229" s="14"/>
      <c r="H229" s="15"/>
      <c r="I229" s="14"/>
      <c r="J229" s="15"/>
      <c r="K229" s="14"/>
      <c r="L229" s="15"/>
      <c r="M229" s="14"/>
      <c r="N229" s="15"/>
      <c r="O229" s="14"/>
      <c r="P229" s="15"/>
      <c r="Q229" s="14"/>
      <c r="R229" s="15"/>
      <c r="S229" s="14"/>
      <c r="T229" s="15"/>
      <c r="U229" s="14"/>
      <c r="V229" s="15"/>
      <c r="W229" s="14"/>
      <c r="X229" s="15"/>
      <c r="Y229" s="14"/>
      <c r="Z229" s="15"/>
      <c r="AA229" s="14"/>
      <c r="AB229" s="15"/>
      <c r="AC229" s="14"/>
      <c r="AD229" s="15"/>
      <c r="AE229" s="14"/>
      <c r="AF229" s="15"/>
      <c r="AG229" s="14"/>
      <c r="AH229" s="15"/>
      <c r="AI229" s="14"/>
      <c r="AJ229" s="15"/>
      <c r="AK229" s="107"/>
    </row>
    <row r="230" spans="1:37" ht="16.5" customHeight="1" x14ac:dyDescent="0.2">
      <c r="A230" s="6"/>
      <c r="B230" s="135">
        <f t="shared" si="74"/>
        <v>20</v>
      </c>
      <c r="C230" s="135">
        <f>'Kelas XI'!C220</f>
        <v>16209</v>
      </c>
      <c r="D230" s="117" t="str">
        <f>'Kelas XI'!D220</f>
        <v>MUHAMMAD AZKA ARKANUL HAQ</v>
      </c>
      <c r="E230" s="14"/>
      <c r="F230" s="15"/>
      <c r="G230" s="14"/>
      <c r="H230" s="15"/>
      <c r="I230" s="14"/>
      <c r="J230" s="15"/>
      <c r="K230" s="14"/>
      <c r="L230" s="15"/>
      <c r="M230" s="14"/>
      <c r="N230" s="15"/>
      <c r="O230" s="14"/>
      <c r="P230" s="15"/>
      <c r="Q230" s="14"/>
      <c r="R230" s="15"/>
      <c r="S230" s="14"/>
      <c r="T230" s="15"/>
      <c r="U230" s="14"/>
      <c r="V230" s="15"/>
      <c r="W230" s="14"/>
      <c r="X230" s="15"/>
      <c r="Y230" s="14"/>
      <c r="Z230" s="15"/>
      <c r="AA230" s="14"/>
      <c r="AB230" s="15"/>
      <c r="AC230" s="14"/>
      <c r="AD230" s="15"/>
      <c r="AE230" s="14"/>
      <c r="AF230" s="15"/>
      <c r="AG230" s="14"/>
      <c r="AH230" s="15"/>
      <c r="AI230" s="14"/>
      <c r="AJ230" s="15"/>
      <c r="AK230" s="107"/>
    </row>
    <row r="231" spans="1:37" ht="16.5" customHeight="1" x14ac:dyDescent="0.2">
      <c r="A231" s="6"/>
      <c r="B231" s="135">
        <f t="shared" si="74"/>
        <v>21</v>
      </c>
      <c r="C231" s="135">
        <f>'Kelas XI'!C221</f>
        <v>16105</v>
      </c>
      <c r="D231" s="117" t="str">
        <f>'Kelas XI'!D221</f>
        <v>MUHAMMAD HANAFI</v>
      </c>
      <c r="E231" s="14"/>
      <c r="F231" s="15"/>
      <c r="G231" s="14"/>
      <c r="H231" s="15"/>
      <c r="I231" s="14"/>
      <c r="J231" s="15"/>
      <c r="K231" s="14"/>
      <c r="L231" s="15"/>
      <c r="M231" s="14"/>
      <c r="N231" s="15"/>
      <c r="O231" s="14"/>
      <c r="P231" s="15"/>
      <c r="Q231" s="14"/>
      <c r="R231" s="15"/>
      <c r="S231" s="14"/>
      <c r="T231" s="15"/>
      <c r="U231" s="14"/>
      <c r="V231" s="15"/>
      <c r="W231" s="14"/>
      <c r="X231" s="15"/>
      <c r="Y231" s="14"/>
      <c r="Z231" s="15"/>
      <c r="AA231" s="14"/>
      <c r="AB231" s="15"/>
      <c r="AC231" s="14"/>
      <c r="AD231" s="15"/>
      <c r="AE231" s="14"/>
      <c r="AF231" s="15"/>
      <c r="AG231" s="14"/>
      <c r="AH231" s="15"/>
      <c r="AI231" s="14"/>
      <c r="AJ231" s="15"/>
      <c r="AK231" s="107"/>
    </row>
    <row r="232" spans="1:37" ht="16.5" customHeight="1" x14ac:dyDescent="0.2">
      <c r="A232" s="6"/>
      <c r="B232" s="135">
        <f t="shared" si="74"/>
        <v>22</v>
      </c>
      <c r="C232" s="135">
        <f>'Kelas XI'!C222</f>
        <v>16107</v>
      </c>
      <c r="D232" s="117" t="str">
        <f>'Kelas XI'!D222</f>
        <v>MUHAMMAD KEN ABI RAIHAN</v>
      </c>
      <c r="E232" s="14"/>
      <c r="F232" s="15"/>
      <c r="G232" s="14"/>
      <c r="H232" s="15"/>
      <c r="I232" s="14"/>
      <c r="J232" s="15"/>
      <c r="K232" s="14"/>
      <c r="L232" s="15"/>
      <c r="M232" s="14"/>
      <c r="N232" s="15"/>
      <c r="O232" s="14"/>
      <c r="P232" s="15"/>
      <c r="Q232" s="14"/>
      <c r="R232" s="15"/>
      <c r="S232" s="14"/>
      <c r="T232" s="15"/>
      <c r="U232" s="14"/>
      <c r="V232" s="15"/>
      <c r="W232" s="14"/>
      <c r="X232" s="15"/>
      <c r="Y232" s="14"/>
      <c r="Z232" s="15"/>
      <c r="AA232" s="14"/>
      <c r="AB232" s="15"/>
      <c r="AC232" s="14"/>
      <c r="AD232" s="15"/>
      <c r="AE232" s="14"/>
      <c r="AF232" s="15"/>
      <c r="AG232" s="14"/>
      <c r="AH232" s="15"/>
      <c r="AI232" s="14"/>
      <c r="AJ232" s="15"/>
      <c r="AK232" s="107"/>
    </row>
    <row r="233" spans="1:37" ht="16.5" customHeight="1" x14ac:dyDescent="0.2">
      <c r="A233" s="6"/>
      <c r="B233" s="135">
        <f t="shared" si="74"/>
        <v>23</v>
      </c>
      <c r="C233" s="135">
        <f>'Kelas XI'!C223</f>
        <v>16179</v>
      </c>
      <c r="D233" s="117" t="str">
        <f>'Kelas XI'!D223</f>
        <v>MUHAMMAD RIDHWAN ALFARIZQ</v>
      </c>
      <c r="E233" s="14"/>
      <c r="F233" s="15"/>
      <c r="G233" s="14"/>
      <c r="H233" s="15"/>
      <c r="I233" s="14"/>
      <c r="J233" s="15"/>
      <c r="K233" s="14"/>
      <c r="L233" s="15"/>
      <c r="M233" s="14"/>
      <c r="N233" s="15"/>
      <c r="O233" s="14"/>
      <c r="P233" s="15"/>
      <c r="Q233" s="14"/>
      <c r="R233" s="15"/>
      <c r="S233" s="14"/>
      <c r="T233" s="15"/>
      <c r="U233" s="14"/>
      <c r="V233" s="15"/>
      <c r="W233" s="14"/>
      <c r="X233" s="15"/>
      <c r="Y233" s="14"/>
      <c r="Z233" s="15"/>
      <c r="AA233" s="14"/>
      <c r="AB233" s="15"/>
      <c r="AC233" s="14"/>
      <c r="AD233" s="15"/>
      <c r="AE233" s="14"/>
      <c r="AF233" s="15"/>
      <c r="AG233" s="14"/>
      <c r="AH233" s="15"/>
      <c r="AI233" s="14"/>
      <c r="AJ233" s="15"/>
      <c r="AK233" s="107"/>
    </row>
    <row r="234" spans="1:37" ht="16.5" customHeight="1" x14ac:dyDescent="0.2">
      <c r="A234" s="6"/>
      <c r="B234" s="135">
        <f t="shared" si="74"/>
        <v>24</v>
      </c>
      <c r="C234" s="135">
        <f>'Kelas XI'!C224</f>
        <v>16144</v>
      </c>
      <c r="D234" s="117" t="str">
        <f>'Kelas XI'!D224</f>
        <v>MUHAMMAD RIHAN AN-NURUL FIRDAUS</v>
      </c>
      <c r="E234" s="14"/>
      <c r="F234" s="15"/>
      <c r="G234" s="14"/>
      <c r="H234" s="15"/>
      <c r="I234" s="14"/>
      <c r="J234" s="15"/>
      <c r="K234" s="14"/>
      <c r="L234" s="15"/>
      <c r="M234" s="14"/>
      <c r="N234" s="15"/>
      <c r="O234" s="14"/>
      <c r="P234" s="15"/>
      <c r="Q234" s="14"/>
      <c r="R234" s="15"/>
      <c r="S234" s="14"/>
      <c r="T234" s="15"/>
      <c r="U234" s="14"/>
      <c r="V234" s="15"/>
      <c r="W234" s="14"/>
      <c r="X234" s="15"/>
      <c r="Y234" s="14"/>
      <c r="Z234" s="15"/>
      <c r="AA234" s="14"/>
      <c r="AB234" s="15"/>
      <c r="AC234" s="14"/>
      <c r="AD234" s="15"/>
      <c r="AE234" s="14"/>
      <c r="AF234" s="15"/>
      <c r="AG234" s="14"/>
      <c r="AH234" s="15"/>
      <c r="AI234" s="14"/>
      <c r="AJ234" s="15"/>
      <c r="AK234" s="107"/>
    </row>
    <row r="235" spans="1:37" ht="16.5" customHeight="1" x14ac:dyDescent="0.2">
      <c r="A235" s="6"/>
      <c r="B235" s="135">
        <f t="shared" si="74"/>
        <v>25</v>
      </c>
      <c r="C235" s="135">
        <f>'Kelas XI'!C225</f>
        <v>16216</v>
      </c>
      <c r="D235" s="117" t="str">
        <f>'Kelas XI'!D225</f>
        <v>NANDHO BRILLIANT WASKITO ABDILLA</v>
      </c>
      <c r="E235" s="14"/>
      <c r="F235" s="15"/>
      <c r="G235" s="14"/>
      <c r="H235" s="15"/>
      <c r="I235" s="14"/>
      <c r="J235" s="15"/>
      <c r="K235" s="14"/>
      <c r="L235" s="15"/>
      <c r="M235" s="14"/>
      <c r="N235" s="15"/>
      <c r="O235" s="14"/>
      <c r="P235" s="15"/>
      <c r="Q235" s="14"/>
      <c r="R235" s="15"/>
      <c r="S235" s="14"/>
      <c r="T235" s="15"/>
      <c r="U235" s="14"/>
      <c r="V235" s="15"/>
      <c r="W235" s="14"/>
      <c r="X235" s="15"/>
      <c r="Y235" s="14"/>
      <c r="Z235" s="15"/>
      <c r="AA235" s="14"/>
      <c r="AB235" s="15"/>
      <c r="AC235" s="14"/>
      <c r="AD235" s="15"/>
      <c r="AE235" s="14"/>
      <c r="AF235" s="15"/>
      <c r="AG235" s="14"/>
      <c r="AH235" s="15"/>
      <c r="AI235" s="14"/>
      <c r="AJ235" s="15"/>
      <c r="AK235" s="107"/>
    </row>
    <row r="236" spans="1:37" ht="16.5" customHeight="1" x14ac:dyDescent="0.2">
      <c r="A236" s="6"/>
      <c r="B236" s="135">
        <f t="shared" si="74"/>
        <v>26</v>
      </c>
      <c r="C236" s="135">
        <f>'Kelas XI'!C226</f>
        <v>16180</v>
      </c>
      <c r="D236" s="117" t="str">
        <f>'Kelas XI'!D226</f>
        <v>NAUFAL AL-SHALAHUDDIN</v>
      </c>
      <c r="E236" s="14"/>
      <c r="F236" s="15"/>
      <c r="G236" s="14"/>
      <c r="H236" s="15"/>
      <c r="I236" s="14"/>
      <c r="J236" s="15"/>
      <c r="K236" s="14"/>
      <c r="L236" s="15"/>
      <c r="M236" s="14"/>
      <c r="N236" s="15"/>
      <c r="O236" s="14"/>
      <c r="P236" s="15"/>
      <c r="Q236" s="14"/>
      <c r="R236" s="15"/>
      <c r="S236" s="14"/>
      <c r="T236" s="15"/>
      <c r="U236" s="14"/>
      <c r="V236" s="15"/>
      <c r="W236" s="14"/>
      <c r="X236" s="15"/>
      <c r="Y236" s="14"/>
      <c r="Z236" s="15"/>
      <c r="AA236" s="14"/>
      <c r="AB236" s="15"/>
      <c r="AC236" s="14"/>
      <c r="AD236" s="15"/>
      <c r="AE236" s="14"/>
      <c r="AF236" s="15"/>
      <c r="AG236" s="14"/>
      <c r="AH236" s="15"/>
      <c r="AI236" s="14"/>
      <c r="AJ236" s="15"/>
      <c r="AK236" s="107"/>
    </row>
    <row r="237" spans="1:37" ht="16.5" customHeight="1" x14ac:dyDescent="0.2">
      <c r="A237" s="6"/>
      <c r="B237" s="135">
        <f t="shared" si="74"/>
        <v>27</v>
      </c>
      <c r="C237" s="135">
        <f>'Kelas XI'!C227</f>
        <v>16245</v>
      </c>
      <c r="D237" s="117" t="str">
        <f>'Kelas XI'!D227</f>
        <v>NAUFAL MIFTAHUL SOLIHIN</v>
      </c>
      <c r="E237" s="14"/>
      <c r="F237" s="15"/>
      <c r="G237" s="14"/>
      <c r="H237" s="15"/>
      <c r="I237" s="14"/>
      <c r="J237" s="15"/>
      <c r="K237" s="14"/>
      <c r="L237" s="15"/>
      <c r="M237" s="14"/>
      <c r="N237" s="15"/>
      <c r="O237" s="14"/>
      <c r="P237" s="15"/>
      <c r="Q237" s="14"/>
      <c r="R237" s="15"/>
      <c r="S237" s="14"/>
      <c r="T237" s="15"/>
      <c r="U237" s="14"/>
      <c r="V237" s="15"/>
      <c r="W237" s="14"/>
      <c r="X237" s="15"/>
      <c r="Y237" s="14"/>
      <c r="Z237" s="15"/>
      <c r="AA237" s="14"/>
      <c r="AB237" s="15"/>
      <c r="AC237" s="14"/>
      <c r="AD237" s="15"/>
      <c r="AE237" s="14"/>
      <c r="AF237" s="15"/>
      <c r="AG237" s="14"/>
      <c r="AH237" s="15"/>
      <c r="AI237" s="14"/>
      <c r="AJ237" s="15"/>
      <c r="AK237" s="107"/>
    </row>
    <row r="238" spans="1:37" ht="16.5" customHeight="1" x14ac:dyDescent="0.2">
      <c r="A238" s="6"/>
      <c r="B238" s="135">
        <f t="shared" si="74"/>
        <v>28</v>
      </c>
      <c r="C238" s="135">
        <f>'Kelas XI'!C228</f>
        <v>16248</v>
      </c>
      <c r="D238" s="117" t="str">
        <f>'Kelas XI'!D228</f>
        <v>RAAKAN FAYADH MUSADDAD</v>
      </c>
      <c r="E238" s="16"/>
      <c r="F238" s="17"/>
      <c r="G238" s="16"/>
      <c r="H238" s="17"/>
      <c r="I238" s="16"/>
      <c r="J238" s="17"/>
      <c r="K238" s="16"/>
      <c r="L238" s="17"/>
      <c r="M238" s="16"/>
      <c r="N238" s="17"/>
      <c r="O238" s="16"/>
      <c r="P238" s="17"/>
      <c r="Q238" s="16"/>
      <c r="R238" s="17"/>
      <c r="S238" s="16"/>
      <c r="T238" s="17"/>
      <c r="U238" s="16"/>
      <c r="V238" s="17"/>
      <c r="W238" s="16"/>
      <c r="X238" s="17"/>
      <c r="Y238" s="16"/>
      <c r="Z238" s="17"/>
      <c r="AA238" s="16"/>
      <c r="AB238" s="17"/>
      <c r="AC238" s="16"/>
      <c r="AD238" s="17"/>
      <c r="AE238" s="16"/>
      <c r="AF238" s="17"/>
      <c r="AG238" s="16"/>
      <c r="AH238" s="17"/>
      <c r="AI238" s="16"/>
      <c r="AJ238" s="17"/>
      <c r="AK238" s="107"/>
    </row>
    <row r="239" spans="1:37" ht="16.5" customHeight="1" x14ac:dyDescent="0.2">
      <c r="A239" s="6"/>
      <c r="B239" s="135">
        <f t="shared" si="74"/>
        <v>29</v>
      </c>
      <c r="C239" s="135">
        <f>'Kelas XI'!C229</f>
        <v>16249</v>
      </c>
      <c r="D239" s="117" t="str">
        <f>'Kelas XI'!D229</f>
        <v>RAFFA SYIHAM WIBOWO</v>
      </c>
      <c r="E239" s="16"/>
      <c r="F239" s="17"/>
      <c r="G239" s="16"/>
      <c r="H239" s="17"/>
      <c r="I239" s="16"/>
      <c r="J239" s="17"/>
      <c r="K239" s="16"/>
      <c r="L239" s="17"/>
      <c r="M239" s="16"/>
      <c r="N239" s="17"/>
      <c r="O239" s="16"/>
      <c r="P239" s="17"/>
      <c r="Q239" s="16"/>
      <c r="R239" s="17"/>
      <c r="S239" s="16"/>
      <c r="T239" s="17"/>
      <c r="U239" s="16"/>
      <c r="V239" s="17"/>
      <c r="W239" s="16"/>
      <c r="X239" s="17"/>
      <c r="Y239" s="16"/>
      <c r="Z239" s="17"/>
      <c r="AA239" s="16"/>
      <c r="AB239" s="17"/>
      <c r="AC239" s="16"/>
      <c r="AD239" s="17"/>
      <c r="AE239" s="16"/>
      <c r="AF239" s="17"/>
      <c r="AG239" s="16"/>
      <c r="AH239" s="17"/>
      <c r="AI239" s="16"/>
      <c r="AJ239" s="17"/>
      <c r="AK239" s="107"/>
    </row>
    <row r="240" spans="1:37" ht="16.5" customHeight="1" x14ac:dyDescent="0.2">
      <c r="A240" s="6"/>
      <c r="B240" s="135">
        <f t="shared" si="74"/>
        <v>30</v>
      </c>
      <c r="C240" s="135">
        <f>'Kelas XI'!C230</f>
        <v>16256</v>
      </c>
      <c r="D240" s="117" t="str">
        <f>'Kelas XI'!D230</f>
        <v>SOLAHUDDIN AL AYYUBI. MS</v>
      </c>
      <c r="E240" s="16"/>
      <c r="F240" s="17"/>
      <c r="G240" s="16"/>
      <c r="H240" s="17"/>
      <c r="I240" s="16"/>
      <c r="J240" s="17"/>
      <c r="K240" s="16"/>
      <c r="L240" s="17"/>
      <c r="M240" s="16"/>
      <c r="N240" s="17"/>
      <c r="O240" s="16"/>
      <c r="P240" s="17"/>
      <c r="Q240" s="16"/>
      <c r="R240" s="17"/>
      <c r="S240" s="16"/>
      <c r="T240" s="17"/>
      <c r="U240" s="16"/>
      <c r="V240" s="17"/>
      <c r="W240" s="16"/>
      <c r="X240" s="17"/>
      <c r="Y240" s="16"/>
      <c r="Z240" s="17"/>
      <c r="AA240" s="16"/>
      <c r="AB240" s="17"/>
      <c r="AC240" s="16"/>
      <c r="AD240" s="17"/>
      <c r="AE240" s="16"/>
      <c r="AF240" s="17"/>
      <c r="AG240" s="16"/>
      <c r="AH240" s="17"/>
      <c r="AI240" s="16"/>
      <c r="AJ240" s="17"/>
      <c r="AK240" s="107"/>
    </row>
    <row r="241" spans="1:37" ht="16.5" customHeight="1" x14ac:dyDescent="0.2">
      <c r="A241" s="6"/>
      <c r="B241" s="135">
        <f t="shared" si="74"/>
        <v>31</v>
      </c>
      <c r="C241" s="135">
        <f>'Kelas XI'!C231</f>
        <v>16220</v>
      </c>
      <c r="D241" s="117" t="str">
        <f>'Kelas XI'!D231</f>
        <v>TEVY IVANDER AHMAD</v>
      </c>
      <c r="E241" s="16"/>
      <c r="F241" s="17"/>
      <c r="G241" s="16"/>
      <c r="H241" s="17"/>
      <c r="I241" s="16"/>
      <c r="J241" s="17"/>
      <c r="K241" s="16"/>
      <c r="L241" s="17"/>
      <c r="M241" s="16"/>
      <c r="N241" s="17"/>
      <c r="O241" s="16"/>
      <c r="P241" s="17"/>
      <c r="Q241" s="16"/>
      <c r="R241" s="17"/>
      <c r="S241" s="16"/>
      <c r="T241" s="17"/>
      <c r="U241" s="16"/>
      <c r="V241" s="17"/>
      <c r="W241" s="16"/>
      <c r="X241" s="17"/>
      <c r="Y241" s="16"/>
      <c r="Z241" s="17"/>
      <c r="AA241" s="16"/>
      <c r="AB241" s="17"/>
      <c r="AC241" s="16"/>
      <c r="AD241" s="17"/>
      <c r="AE241" s="16"/>
      <c r="AF241" s="17"/>
      <c r="AG241" s="16"/>
      <c r="AH241" s="17"/>
      <c r="AI241" s="16"/>
      <c r="AJ241" s="17"/>
      <c r="AK241" s="107"/>
    </row>
    <row r="242" spans="1:37" ht="16.5" customHeight="1" x14ac:dyDescent="0.2">
      <c r="A242" s="6"/>
      <c r="B242" s="135">
        <f t="shared" si="74"/>
        <v>32</v>
      </c>
      <c r="C242" s="135">
        <f>'Kelas XI'!C232</f>
        <v>16113</v>
      </c>
      <c r="D242" s="117" t="str">
        <f>'Kelas XI'!D232</f>
        <v>VIYAN AMAR AWALLUDIN</v>
      </c>
      <c r="E242" s="16"/>
      <c r="F242" s="17"/>
      <c r="G242" s="16"/>
      <c r="H242" s="17"/>
      <c r="I242" s="16"/>
      <c r="J242" s="17"/>
      <c r="K242" s="16"/>
      <c r="L242" s="17"/>
      <c r="M242" s="16"/>
      <c r="N242" s="17"/>
      <c r="O242" s="16"/>
      <c r="P242" s="17"/>
      <c r="Q242" s="16"/>
      <c r="R242" s="17"/>
      <c r="S242" s="16"/>
      <c r="T242" s="17"/>
      <c r="U242" s="16"/>
      <c r="V242" s="17"/>
      <c r="W242" s="16"/>
      <c r="X242" s="17"/>
      <c r="Y242" s="16"/>
      <c r="Z242" s="17"/>
      <c r="AA242" s="16"/>
      <c r="AB242" s="17"/>
      <c r="AC242" s="16"/>
      <c r="AD242" s="17"/>
      <c r="AE242" s="16"/>
      <c r="AF242" s="17"/>
      <c r="AG242" s="16"/>
      <c r="AH242" s="17"/>
      <c r="AI242" s="16"/>
      <c r="AJ242" s="17"/>
      <c r="AK242" s="107"/>
    </row>
    <row r="243" spans="1:37" ht="16.5" customHeight="1" x14ac:dyDescent="0.2">
      <c r="A243" s="6"/>
      <c r="B243" s="135">
        <f t="shared" si="74"/>
        <v>33</v>
      </c>
      <c r="C243" s="135">
        <f>'Kelas XI'!C233</f>
        <v>16221</v>
      </c>
      <c r="D243" s="117" t="str">
        <f>'Kelas XI'!D233</f>
        <v>WILDAN BAYU SAPUTRA</v>
      </c>
      <c r="E243" s="16"/>
      <c r="F243" s="17"/>
      <c r="G243" s="16"/>
      <c r="H243" s="17"/>
      <c r="I243" s="16"/>
      <c r="J243" s="17"/>
      <c r="K243" s="16"/>
      <c r="L243" s="17"/>
      <c r="M243" s="16"/>
      <c r="N243" s="17"/>
      <c r="O243" s="16"/>
      <c r="P243" s="17"/>
      <c r="Q243" s="16"/>
      <c r="R243" s="17"/>
      <c r="S243" s="16"/>
      <c r="T243" s="17"/>
      <c r="U243" s="16"/>
      <c r="V243" s="17"/>
      <c r="W243" s="16"/>
      <c r="X243" s="17"/>
      <c r="Y243" s="16"/>
      <c r="Z243" s="17"/>
      <c r="AA243" s="16"/>
      <c r="AB243" s="17"/>
      <c r="AC243" s="16"/>
      <c r="AD243" s="17"/>
      <c r="AE243" s="16"/>
      <c r="AF243" s="17"/>
      <c r="AG243" s="16"/>
      <c r="AH243" s="17"/>
      <c r="AI243" s="16"/>
      <c r="AJ243" s="17"/>
      <c r="AK243" s="107"/>
    </row>
    <row r="244" spans="1:37" ht="16.5" customHeight="1" x14ac:dyDescent="0.2">
      <c r="A244" s="6"/>
      <c r="B244" s="135">
        <f t="shared" si="74"/>
        <v>34</v>
      </c>
      <c r="C244" s="135">
        <f>'Kelas XI'!C234</f>
        <v>16222</v>
      </c>
      <c r="D244" s="117" t="str">
        <f>'Kelas XI'!D234</f>
        <v>ZIAN FAYD MUSOFA</v>
      </c>
      <c r="E244" s="16"/>
      <c r="F244" s="17"/>
      <c r="G244" s="16"/>
      <c r="H244" s="17"/>
      <c r="I244" s="16"/>
      <c r="J244" s="17"/>
      <c r="K244" s="16"/>
      <c r="L244" s="17"/>
      <c r="M244" s="16"/>
      <c r="N244" s="17"/>
      <c r="O244" s="16"/>
      <c r="P244" s="17"/>
      <c r="Q244" s="16"/>
      <c r="R244" s="17"/>
      <c r="S244" s="16"/>
      <c r="T244" s="17"/>
      <c r="U244" s="16"/>
      <c r="V244" s="17"/>
      <c r="W244" s="16"/>
      <c r="X244" s="17"/>
      <c r="Y244" s="16"/>
      <c r="Z244" s="17"/>
      <c r="AA244" s="16"/>
      <c r="AB244" s="17"/>
      <c r="AC244" s="16"/>
      <c r="AD244" s="17"/>
      <c r="AE244" s="16"/>
      <c r="AF244" s="17"/>
      <c r="AG244" s="16"/>
      <c r="AH244" s="17"/>
      <c r="AI244" s="16"/>
      <c r="AJ244" s="17"/>
      <c r="AK244" s="107"/>
    </row>
    <row r="245" spans="1:37" ht="16.5" customHeight="1" x14ac:dyDescent="0.2">
      <c r="A245" s="6"/>
      <c r="B245" s="135">
        <f t="shared" si="74"/>
        <v>35</v>
      </c>
      <c r="C245" s="135">
        <f>'Kelas XI'!C235</f>
        <v>0</v>
      </c>
      <c r="D245" s="117">
        <f>'Kelas XI'!D235</f>
        <v>0</v>
      </c>
      <c r="E245" s="16"/>
      <c r="F245" s="17"/>
      <c r="G245" s="16"/>
      <c r="H245" s="17"/>
      <c r="I245" s="16"/>
      <c r="J245" s="17"/>
      <c r="K245" s="16"/>
      <c r="L245" s="17"/>
      <c r="M245" s="16"/>
      <c r="N245" s="17"/>
      <c r="O245" s="16"/>
      <c r="P245" s="17"/>
      <c r="Q245" s="16"/>
      <c r="R245" s="17"/>
      <c r="S245" s="16"/>
      <c r="T245" s="17"/>
      <c r="U245" s="16"/>
      <c r="V245" s="17"/>
      <c r="W245" s="16"/>
      <c r="X245" s="17"/>
      <c r="Y245" s="16"/>
      <c r="Z245" s="17"/>
      <c r="AA245" s="16"/>
      <c r="AB245" s="17"/>
      <c r="AC245" s="16"/>
      <c r="AD245" s="17"/>
      <c r="AE245" s="16"/>
      <c r="AF245" s="17"/>
      <c r="AG245" s="16"/>
      <c r="AH245" s="17"/>
      <c r="AI245" s="16"/>
      <c r="AJ245" s="17"/>
      <c r="AK245" s="107"/>
    </row>
    <row r="246" spans="1:37" ht="16.5" customHeight="1" x14ac:dyDescent="0.2">
      <c r="A246" s="6"/>
      <c r="B246" s="135">
        <f t="shared" si="74"/>
        <v>36</v>
      </c>
      <c r="C246" s="135">
        <f>'Kelas XI'!C236</f>
        <v>0</v>
      </c>
      <c r="D246" s="117">
        <f>'Kelas XI'!D236</f>
        <v>0</v>
      </c>
      <c r="E246" s="16"/>
      <c r="F246" s="17"/>
      <c r="G246" s="16"/>
      <c r="H246" s="17"/>
      <c r="I246" s="16"/>
      <c r="J246" s="17"/>
      <c r="K246" s="16"/>
      <c r="L246" s="17"/>
      <c r="M246" s="16"/>
      <c r="N246" s="17"/>
      <c r="O246" s="16"/>
      <c r="P246" s="17"/>
      <c r="Q246" s="16"/>
      <c r="R246" s="17"/>
      <c r="S246" s="16"/>
      <c r="T246" s="17"/>
      <c r="U246" s="16"/>
      <c r="V246" s="17"/>
      <c r="W246" s="16"/>
      <c r="X246" s="17"/>
      <c r="Y246" s="16"/>
      <c r="Z246" s="17"/>
      <c r="AA246" s="16"/>
      <c r="AB246" s="17"/>
      <c r="AC246" s="16"/>
      <c r="AD246" s="17"/>
      <c r="AE246" s="16"/>
      <c r="AF246" s="17"/>
      <c r="AG246" s="16"/>
      <c r="AH246" s="17"/>
      <c r="AI246" s="16"/>
      <c r="AJ246" s="17"/>
      <c r="AK246" s="107"/>
    </row>
    <row r="247" spans="1:37" ht="16.5" customHeight="1" x14ac:dyDescent="0.2">
      <c r="A247" s="6"/>
      <c r="B247" s="135">
        <f t="shared" si="74"/>
        <v>37</v>
      </c>
      <c r="C247" s="135">
        <f>'Kelas XI'!C237</f>
        <v>0</v>
      </c>
      <c r="D247" s="117">
        <f>'Kelas XI'!D237</f>
        <v>0</v>
      </c>
      <c r="E247" s="16"/>
      <c r="F247" s="17"/>
      <c r="G247" s="16"/>
      <c r="H247" s="17"/>
      <c r="I247" s="16"/>
      <c r="J247" s="17"/>
      <c r="K247" s="16"/>
      <c r="L247" s="17"/>
      <c r="M247" s="16"/>
      <c r="N247" s="17"/>
      <c r="O247" s="16"/>
      <c r="P247" s="17"/>
      <c r="Q247" s="16"/>
      <c r="R247" s="17"/>
      <c r="S247" s="16"/>
      <c r="T247" s="17"/>
      <c r="U247" s="16"/>
      <c r="V247" s="17"/>
      <c r="W247" s="16"/>
      <c r="X247" s="17"/>
      <c r="Y247" s="16"/>
      <c r="Z247" s="17"/>
      <c r="AA247" s="16"/>
      <c r="AB247" s="17"/>
      <c r="AC247" s="16"/>
      <c r="AD247" s="17"/>
      <c r="AE247" s="16"/>
      <c r="AF247" s="17"/>
      <c r="AG247" s="16"/>
      <c r="AH247" s="17"/>
      <c r="AI247" s="16"/>
      <c r="AJ247" s="17"/>
      <c r="AK247" s="107"/>
    </row>
    <row r="248" spans="1:37" ht="16.5" customHeight="1" x14ac:dyDescent="0.2">
      <c r="A248" s="6"/>
      <c r="B248" s="135">
        <f t="shared" si="74"/>
        <v>38</v>
      </c>
      <c r="C248" s="135">
        <f>'Kelas XI'!C238</f>
        <v>0</v>
      </c>
      <c r="D248" s="117">
        <f>'Kelas XI'!D238</f>
        <v>0</v>
      </c>
      <c r="E248" s="16"/>
      <c r="F248" s="17"/>
      <c r="G248" s="16"/>
      <c r="H248" s="17"/>
      <c r="I248" s="16"/>
      <c r="J248" s="17"/>
      <c r="K248" s="16"/>
      <c r="L248" s="17"/>
      <c r="M248" s="16"/>
      <c r="N248" s="17"/>
      <c r="O248" s="16"/>
      <c r="P248" s="17"/>
      <c r="Q248" s="16"/>
      <c r="R248" s="17"/>
      <c r="S248" s="16"/>
      <c r="T248" s="17"/>
      <c r="U248" s="16"/>
      <c r="V248" s="17"/>
      <c r="W248" s="16"/>
      <c r="X248" s="17"/>
      <c r="Y248" s="16"/>
      <c r="Z248" s="17"/>
      <c r="AA248" s="16"/>
      <c r="AB248" s="17"/>
      <c r="AC248" s="16"/>
      <c r="AD248" s="17"/>
      <c r="AE248" s="16"/>
      <c r="AF248" s="17"/>
      <c r="AG248" s="16"/>
      <c r="AH248" s="17"/>
      <c r="AI248" s="16"/>
      <c r="AJ248" s="17"/>
      <c r="AK248" s="107"/>
    </row>
    <row r="249" spans="1:37" ht="16.5" customHeight="1" x14ac:dyDescent="0.2">
      <c r="A249" s="6"/>
      <c r="B249" s="135">
        <f t="shared" si="74"/>
        <v>39</v>
      </c>
      <c r="C249" s="135">
        <f>'Kelas XI'!C239</f>
        <v>0</v>
      </c>
      <c r="D249" s="117">
        <f>'Kelas XI'!D239</f>
        <v>0</v>
      </c>
      <c r="E249" s="16"/>
      <c r="F249" s="17"/>
      <c r="G249" s="16"/>
      <c r="H249" s="17"/>
      <c r="I249" s="16"/>
      <c r="J249" s="17"/>
      <c r="K249" s="16"/>
      <c r="L249" s="17"/>
      <c r="M249" s="16"/>
      <c r="N249" s="17"/>
      <c r="O249" s="16"/>
      <c r="P249" s="17"/>
      <c r="Q249" s="16"/>
      <c r="R249" s="17"/>
      <c r="S249" s="16"/>
      <c r="T249" s="17"/>
      <c r="U249" s="16"/>
      <c r="V249" s="17"/>
      <c r="W249" s="16"/>
      <c r="X249" s="17"/>
      <c r="Y249" s="16"/>
      <c r="Z249" s="17"/>
      <c r="AA249" s="16"/>
      <c r="AB249" s="17"/>
      <c r="AC249" s="16"/>
      <c r="AD249" s="17"/>
      <c r="AE249" s="16"/>
      <c r="AF249" s="17"/>
      <c r="AG249" s="16"/>
      <c r="AH249" s="17"/>
      <c r="AI249" s="16"/>
      <c r="AJ249" s="17"/>
      <c r="AK249" s="107"/>
    </row>
    <row r="250" spans="1:37" ht="16.5" customHeight="1" thickBot="1" x14ac:dyDescent="0.25">
      <c r="A250" s="6"/>
      <c r="B250" s="143">
        <f t="shared" si="74"/>
        <v>40</v>
      </c>
      <c r="C250" s="143">
        <f>'Kelas XI'!C240</f>
        <v>0</v>
      </c>
      <c r="D250" s="145">
        <f>'Kelas XI'!D240</f>
        <v>0</v>
      </c>
      <c r="E250" s="18"/>
      <c r="F250" s="19"/>
      <c r="G250" s="18"/>
      <c r="H250" s="19"/>
      <c r="I250" s="18"/>
      <c r="J250" s="19"/>
      <c r="K250" s="18"/>
      <c r="L250" s="19"/>
      <c r="M250" s="18"/>
      <c r="N250" s="19"/>
      <c r="O250" s="18"/>
      <c r="P250" s="19"/>
      <c r="Q250" s="18"/>
      <c r="R250" s="19"/>
      <c r="S250" s="18"/>
      <c r="T250" s="19"/>
      <c r="U250" s="18"/>
      <c r="V250" s="19"/>
      <c r="W250" s="18"/>
      <c r="X250" s="19"/>
      <c r="Y250" s="18"/>
      <c r="Z250" s="19"/>
      <c r="AA250" s="18"/>
      <c r="AB250" s="19"/>
      <c r="AC250" s="18"/>
      <c r="AD250" s="19"/>
      <c r="AE250" s="18"/>
      <c r="AF250" s="19"/>
      <c r="AG250" s="18"/>
      <c r="AH250" s="19"/>
      <c r="AI250" s="18"/>
      <c r="AJ250" s="19"/>
      <c r="AK250" s="107"/>
    </row>
    <row r="251" spans="1:37" ht="16.5" customHeight="1" x14ac:dyDescent="0.2">
      <c r="A251" s="6"/>
      <c r="B251" s="8"/>
      <c r="C251" s="20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149"/>
      <c r="AK251" s="6"/>
    </row>
    <row r="252" spans="1:37" ht="16.5" customHeight="1" thickBot="1" x14ac:dyDescent="0.25">
      <c r="A252" s="6"/>
      <c r="B252" s="6"/>
      <c r="C252" s="20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150"/>
      <c r="AK252" s="6"/>
    </row>
    <row r="253" spans="1:37" ht="16.5" customHeight="1" x14ac:dyDescent="0.2">
      <c r="A253" s="6"/>
      <c r="B253" s="279"/>
      <c r="C253" s="280"/>
      <c r="D253" s="283" t="s">
        <v>3</v>
      </c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  <c r="AA253" s="284"/>
      <c r="AB253" s="284"/>
      <c r="AC253" s="284"/>
      <c r="AD253" s="284"/>
      <c r="AE253" s="284"/>
      <c r="AF253" s="284"/>
      <c r="AG253" s="284"/>
      <c r="AH253" s="284"/>
      <c r="AI253" s="284"/>
      <c r="AJ253" s="285"/>
      <c r="AK253" s="107"/>
    </row>
    <row r="254" spans="1:37" ht="16.5" customHeight="1" x14ac:dyDescent="0.2">
      <c r="A254" s="6"/>
      <c r="B254" s="281"/>
      <c r="C254" s="282"/>
      <c r="D254" s="286" t="s">
        <v>4</v>
      </c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87"/>
      <c r="AB254" s="287"/>
      <c r="AC254" s="287"/>
      <c r="AD254" s="287"/>
      <c r="AE254" s="287"/>
      <c r="AF254" s="287"/>
      <c r="AG254" s="287"/>
      <c r="AH254" s="287"/>
      <c r="AI254" s="287"/>
      <c r="AJ254" s="288"/>
      <c r="AK254" s="107"/>
    </row>
    <row r="255" spans="1:37" ht="16.5" customHeight="1" x14ac:dyDescent="0.2">
      <c r="A255" s="6"/>
      <c r="B255" s="281"/>
      <c r="C255" s="282"/>
      <c r="D255" s="286" t="s">
        <v>547</v>
      </c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87"/>
      <c r="P255" s="287"/>
      <c r="Q255" s="287"/>
      <c r="R255" s="287"/>
      <c r="S255" s="287"/>
      <c r="T255" s="287"/>
      <c r="U255" s="287"/>
      <c r="V255" s="287"/>
      <c r="W255" s="287"/>
      <c r="X255" s="287"/>
      <c r="Y255" s="287"/>
      <c r="Z255" s="287"/>
      <c r="AA255" s="287"/>
      <c r="AB255" s="287"/>
      <c r="AC255" s="287"/>
      <c r="AD255" s="287"/>
      <c r="AE255" s="287"/>
      <c r="AF255" s="287"/>
      <c r="AG255" s="287"/>
      <c r="AH255" s="287"/>
      <c r="AI255" s="287"/>
      <c r="AJ255" s="288"/>
      <c r="AK255" s="107"/>
    </row>
    <row r="256" spans="1:37" ht="16.5" customHeight="1" thickBot="1" x14ac:dyDescent="0.25">
      <c r="A256" s="6"/>
      <c r="B256" s="281"/>
      <c r="C256" s="282"/>
      <c r="D256" s="289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0"/>
      <c r="P256" s="290"/>
      <c r="Q256" s="290"/>
      <c r="R256" s="290"/>
      <c r="S256" s="290"/>
      <c r="T256" s="290"/>
      <c r="U256" s="290"/>
      <c r="V256" s="290"/>
      <c r="W256" s="290"/>
      <c r="X256" s="290"/>
      <c r="Y256" s="290"/>
      <c r="Z256" s="290"/>
      <c r="AA256" s="290"/>
      <c r="AB256" s="290"/>
      <c r="AC256" s="290"/>
      <c r="AD256" s="290"/>
      <c r="AE256" s="290"/>
      <c r="AF256" s="290"/>
      <c r="AG256" s="290"/>
      <c r="AH256" s="290"/>
      <c r="AI256" s="290"/>
      <c r="AJ256" s="291"/>
      <c r="AK256" s="107"/>
    </row>
    <row r="257" spans="1:37" ht="16.5" customHeight="1" thickBot="1" x14ac:dyDescent="0.25">
      <c r="A257" s="6"/>
      <c r="B257" s="292"/>
      <c r="C257" s="293"/>
      <c r="D257" s="9" t="s">
        <v>551</v>
      </c>
      <c r="E257" s="10" t="s">
        <v>11</v>
      </c>
      <c r="F257" s="10"/>
      <c r="G257" s="10"/>
      <c r="H257" s="10"/>
      <c r="I257" s="10"/>
      <c r="J257" s="149"/>
      <c r="K257" s="10"/>
      <c r="L257" s="10"/>
      <c r="M257" s="10"/>
      <c r="N257" s="10"/>
      <c r="O257" s="10"/>
      <c r="P257" s="10"/>
      <c r="Q257" s="10"/>
      <c r="R257" s="10"/>
      <c r="S257" s="10" t="str">
        <f>'Kelas XI'!F246</f>
        <v>Wali Kelas   : ZUNITA LISDIANA, S.Pd</v>
      </c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58"/>
      <c r="AK257" s="107"/>
    </row>
    <row r="258" spans="1:37" ht="16.5" customHeight="1" thickBot="1" x14ac:dyDescent="0.25">
      <c r="A258" s="6"/>
      <c r="B258" s="294" t="s">
        <v>6</v>
      </c>
      <c r="C258" s="294"/>
      <c r="D258" s="295" t="s">
        <v>7</v>
      </c>
      <c r="E258" s="292" t="s">
        <v>519</v>
      </c>
      <c r="F258" s="298"/>
      <c r="G258" s="298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  <c r="R258" s="298"/>
      <c r="S258" s="298"/>
      <c r="T258" s="298"/>
      <c r="U258" s="298"/>
      <c r="V258" s="298"/>
      <c r="W258" s="298"/>
      <c r="X258" s="298"/>
      <c r="Y258" s="298"/>
      <c r="Z258" s="298"/>
      <c r="AA258" s="298"/>
      <c r="AB258" s="298"/>
      <c r="AC258" s="298"/>
      <c r="AD258" s="298"/>
      <c r="AE258" s="298"/>
      <c r="AF258" s="298"/>
      <c r="AG258" s="298"/>
      <c r="AH258" s="298"/>
      <c r="AI258" s="298"/>
      <c r="AJ258" s="293"/>
      <c r="AK258" s="107"/>
    </row>
    <row r="259" spans="1:37" ht="16.5" customHeight="1" thickBot="1" x14ac:dyDescent="0.25">
      <c r="A259" s="6"/>
      <c r="B259" s="295" t="s">
        <v>8</v>
      </c>
      <c r="C259" s="295" t="s">
        <v>9</v>
      </c>
      <c r="D259" s="296"/>
      <c r="E259" s="292">
        <f>E8</f>
        <v>17</v>
      </c>
      <c r="F259" s="298"/>
      <c r="G259" s="292">
        <f>E259+1</f>
        <v>18</v>
      </c>
      <c r="H259" s="298"/>
      <c r="I259" s="292">
        <f t="shared" ref="I259" si="75">G259+1</f>
        <v>19</v>
      </c>
      <c r="J259" s="298"/>
      <c r="K259" s="292">
        <f t="shared" ref="K259" si="76">I259+1</f>
        <v>20</v>
      </c>
      <c r="L259" s="298"/>
      <c r="M259" s="292">
        <f t="shared" ref="M259" si="77">K259+1</f>
        <v>21</v>
      </c>
      <c r="N259" s="298"/>
      <c r="O259" s="292">
        <f t="shared" ref="O259" si="78">M259+1</f>
        <v>22</v>
      </c>
      <c r="P259" s="298"/>
      <c r="Q259" s="292">
        <f t="shared" ref="Q259" si="79">O259+1</f>
        <v>23</v>
      </c>
      <c r="R259" s="298"/>
      <c r="S259" s="292">
        <f t="shared" ref="S259" si="80">Q259+1</f>
        <v>24</v>
      </c>
      <c r="T259" s="298"/>
      <c r="U259" s="292">
        <f t="shared" ref="U259" si="81">S259+1</f>
        <v>25</v>
      </c>
      <c r="V259" s="298"/>
      <c r="W259" s="292">
        <f t="shared" ref="W259" si="82">U259+1</f>
        <v>26</v>
      </c>
      <c r="X259" s="298"/>
      <c r="Y259" s="292">
        <f t="shared" ref="Y259" si="83">W259+1</f>
        <v>27</v>
      </c>
      <c r="Z259" s="298"/>
      <c r="AA259" s="292">
        <f t="shared" ref="AA259" si="84">Y259+1</f>
        <v>28</v>
      </c>
      <c r="AB259" s="298"/>
      <c r="AC259" s="292">
        <f t="shared" ref="AC259" si="85">AA259+1</f>
        <v>29</v>
      </c>
      <c r="AD259" s="298"/>
      <c r="AE259" s="292">
        <f t="shared" ref="AE259" si="86">AC259+1</f>
        <v>30</v>
      </c>
      <c r="AF259" s="298"/>
      <c r="AG259" s="292">
        <f t="shared" ref="AG259" si="87">AE259+1</f>
        <v>31</v>
      </c>
      <c r="AH259" s="298"/>
      <c r="AI259" s="292">
        <f t="shared" ref="AI259" si="88">AG259+1</f>
        <v>32</v>
      </c>
      <c r="AJ259" s="298"/>
      <c r="AK259" s="107"/>
    </row>
    <row r="260" spans="1:37" ht="23.25" customHeight="1" thickBot="1" x14ac:dyDescent="0.25">
      <c r="A260" s="6"/>
      <c r="B260" s="297"/>
      <c r="C260" s="297"/>
      <c r="D260" s="297"/>
      <c r="E260" s="108" t="s">
        <v>13</v>
      </c>
      <c r="F260" s="108" t="s">
        <v>14</v>
      </c>
      <c r="G260" s="108" t="s">
        <v>13</v>
      </c>
      <c r="H260" s="108" t="s">
        <v>14</v>
      </c>
      <c r="I260" s="108" t="s">
        <v>13</v>
      </c>
      <c r="J260" s="108" t="s">
        <v>14</v>
      </c>
      <c r="K260" s="108" t="s">
        <v>13</v>
      </c>
      <c r="L260" s="108" t="s">
        <v>14</v>
      </c>
      <c r="M260" s="108" t="s">
        <v>13</v>
      </c>
      <c r="N260" s="108" t="s">
        <v>14</v>
      </c>
      <c r="O260" s="108" t="s">
        <v>13</v>
      </c>
      <c r="P260" s="108" t="s">
        <v>14</v>
      </c>
      <c r="Q260" s="108" t="s">
        <v>13</v>
      </c>
      <c r="R260" s="108" t="s">
        <v>14</v>
      </c>
      <c r="S260" s="108" t="s">
        <v>13</v>
      </c>
      <c r="T260" s="108" t="s">
        <v>14</v>
      </c>
      <c r="U260" s="108" t="s">
        <v>13</v>
      </c>
      <c r="V260" s="108" t="s">
        <v>14</v>
      </c>
      <c r="W260" s="108" t="s">
        <v>13</v>
      </c>
      <c r="X260" s="108" t="s">
        <v>14</v>
      </c>
      <c r="Y260" s="108" t="s">
        <v>13</v>
      </c>
      <c r="Z260" s="108" t="s">
        <v>14</v>
      </c>
      <c r="AA260" s="108" t="s">
        <v>13</v>
      </c>
      <c r="AB260" s="108" t="s">
        <v>14</v>
      </c>
      <c r="AC260" s="108" t="s">
        <v>13</v>
      </c>
      <c r="AD260" s="108" t="s">
        <v>14</v>
      </c>
      <c r="AE260" s="108" t="s">
        <v>13</v>
      </c>
      <c r="AF260" s="108" t="s">
        <v>14</v>
      </c>
      <c r="AG260" s="108" t="s">
        <v>13</v>
      </c>
      <c r="AH260" s="108" t="s">
        <v>14</v>
      </c>
      <c r="AI260" s="108" t="s">
        <v>13</v>
      </c>
      <c r="AJ260" s="108" t="s">
        <v>14</v>
      </c>
      <c r="AK260" s="107"/>
    </row>
    <row r="261" spans="1:37" ht="16.5" customHeight="1" x14ac:dyDescent="0.2">
      <c r="A261" s="6"/>
      <c r="B261" s="148">
        <v>1</v>
      </c>
      <c r="C261" s="22">
        <f>'Kelas XI'!C249</f>
        <v>16320</v>
      </c>
      <c r="D261" s="34" t="str">
        <f>'Kelas XI'!D249</f>
        <v>ADWA FATIKHA FITRIA</v>
      </c>
      <c r="E261" s="12"/>
      <c r="F261" s="13"/>
      <c r="G261" s="12"/>
      <c r="H261" s="13"/>
      <c r="I261" s="12"/>
      <c r="J261" s="13"/>
      <c r="K261" s="12"/>
      <c r="L261" s="13"/>
      <c r="M261" s="12"/>
      <c r="N261" s="13"/>
      <c r="O261" s="12"/>
      <c r="P261" s="13"/>
      <c r="Q261" s="12"/>
      <c r="R261" s="13"/>
      <c r="S261" s="12"/>
      <c r="T261" s="13"/>
      <c r="U261" s="12"/>
      <c r="V261" s="13"/>
      <c r="W261" s="12"/>
      <c r="X261" s="13"/>
      <c r="Y261" s="12"/>
      <c r="Z261" s="13"/>
      <c r="AA261" s="12"/>
      <c r="AB261" s="13"/>
      <c r="AC261" s="12"/>
      <c r="AD261" s="13"/>
      <c r="AE261" s="12"/>
      <c r="AF261" s="13"/>
      <c r="AG261" s="12"/>
      <c r="AH261" s="13"/>
      <c r="AI261" s="12"/>
      <c r="AJ261" s="13"/>
      <c r="AK261" s="107"/>
    </row>
    <row r="262" spans="1:37" ht="16.5" customHeight="1" x14ac:dyDescent="0.2">
      <c r="A262" s="6"/>
      <c r="B262" s="11">
        <f t="shared" ref="B262:B297" si="89">B261+1</f>
        <v>2</v>
      </c>
      <c r="C262" s="135">
        <f>'Kelas XI'!C250</f>
        <v>16290</v>
      </c>
      <c r="D262" s="34" t="str">
        <f>'Kelas XI'!D250</f>
        <v>AILIN MUFIDATUS SHOLICHAH</v>
      </c>
      <c r="E262" s="14"/>
      <c r="F262" s="15"/>
      <c r="G262" s="14"/>
      <c r="H262" s="15"/>
      <c r="I262" s="14"/>
      <c r="J262" s="15"/>
      <c r="K262" s="14"/>
      <c r="L262" s="15"/>
      <c r="M262" s="14"/>
      <c r="N262" s="15"/>
      <c r="O262" s="14"/>
      <c r="P262" s="15"/>
      <c r="Q262" s="14"/>
      <c r="R262" s="15"/>
      <c r="S262" s="14"/>
      <c r="T262" s="15"/>
      <c r="U262" s="14"/>
      <c r="V262" s="15"/>
      <c r="W262" s="14"/>
      <c r="X262" s="15"/>
      <c r="Y262" s="14"/>
      <c r="Z262" s="15"/>
      <c r="AA262" s="14"/>
      <c r="AB262" s="15"/>
      <c r="AC262" s="14"/>
      <c r="AD262" s="15"/>
      <c r="AE262" s="14"/>
      <c r="AF262" s="15"/>
      <c r="AG262" s="14"/>
      <c r="AH262" s="15"/>
      <c r="AI262" s="14"/>
      <c r="AJ262" s="15"/>
      <c r="AK262" s="107"/>
    </row>
    <row r="263" spans="1:37" ht="16.5" customHeight="1" x14ac:dyDescent="0.2">
      <c r="A263" s="6"/>
      <c r="B263" s="11">
        <f t="shared" si="89"/>
        <v>3</v>
      </c>
      <c r="C263" s="135">
        <f>'Kelas XI'!C251</f>
        <v>16291</v>
      </c>
      <c r="D263" s="34" t="str">
        <f>'Kelas XI'!D251</f>
        <v>ALMIRA BELLA MAJALYN</v>
      </c>
      <c r="E263" s="14"/>
      <c r="F263" s="15"/>
      <c r="G263" s="14"/>
      <c r="H263" s="15"/>
      <c r="I263" s="14"/>
      <c r="J263" s="15"/>
      <c r="K263" s="14"/>
      <c r="L263" s="15"/>
      <c r="M263" s="14"/>
      <c r="N263" s="15"/>
      <c r="O263" s="14"/>
      <c r="P263" s="15"/>
      <c r="Q263" s="14"/>
      <c r="R263" s="15"/>
      <c r="S263" s="14"/>
      <c r="T263" s="15"/>
      <c r="U263" s="14"/>
      <c r="V263" s="15"/>
      <c r="W263" s="14"/>
      <c r="X263" s="15"/>
      <c r="Y263" s="14"/>
      <c r="Z263" s="15"/>
      <c r="AA263" s="14"/>
      <c r="AB263" s="15"/>
      <c r="AC263" s="14"/>
      <c r="AD263" s="15"/>
      <c r="AE263" s="14"/>
      <c r="AF263" s="15"/>
      <c r="AG263" s="14"/>
      <c r="AH263" s="15"/>
      <c r="AI263" s="14"/>
      <c r="AJ263" s="15"/>
      <c r="AK263" s="107"/>
    </row>
    <row r="264" spans="1:37" ht="16.5" customHeight="1" x14ac:dyDescent="0.2">
      <c r="A264" s="6"/>
      <c r="B264" s="11">
        <f t="shared" si="89"/>
        <v>4</v>
      </c>
      <c r="C264" s="135">
        <f>'Kelas XI'!C252</f>
        <v>16322</v>
      </c>
      <c r="D264" s="34" t="str">
        <f>'Kelas XI'!D252</f>
        <v>ALYSA QOTRUN NADA</v>
      </c>
      <c r="E264" s="14"/>
      <c r="F264" s="15"/>
      <c r="G264" s="14"/>
      <c r="H264" s="15"/>
      <c r="I264" s="14"/>
      <c r="J264" s="15"/>
      <c r="K264" s="14"/>
      <c r="L264" s="15"/>
      <c r="M264" s="14"/>
      <c r="N264" s="15"/>
      <c r="O264" s="14"/>
      <c r="P264" s="15"/>
      <c r="Q264" s="14"/>
      <c r="R264" s="15"/>
      <c r="S264" s="14"/>
      <c r="T264" s="15"/>
      <c r="U264" s="14"/>
      <c r="V264" s="15"/>
      <c r="W264" s="14"/>
      <c r="X264" s="15"/>
      <c r="Y264" s="14"/>
      <c r="Z264" s="15"/>
      <c r="AA264" s="14"/>
      <c r="AB264" s="15"/>
      <c r="AC264" s="14"/>
      <c r="AD264" s="15"/>
      <c r="AE264" s="14"/>
      <c r="AF264" s="15"/>
      <c r="AG264" s="14"/>
      <c r="AH264" s="15"/>
      <c r="AI264" s="14"/>
      <c r="AJ264" s="15"/>
      <c r="AK264" s="107"/>
    </row>
    <row r="265" spans="1:37" ht="16.5" customHeight="1" x14ac:dyDescent="0.2">
      <c r="A265" s="6"/>
      <c r="B265" s="11">
        <f t="shared" si="89"/>
        <v>5</v>
      </c>
      <c r="C265" s="135">
        <f>'Kelas XI'!C253</f>
        <v>16323</v>
      </c>
      <c r="D265" s="34" t="str">
        <f>'Kelas XI'!D253</f>
        <v>AMANDA REKA AL HIDAYAH</v>
      </c>
      <c r="E265" s="14"/>
      <c r="F265" s="15"/>
      <c r="G265" s="14"/>
      <c r="H265" s="15"/>
      <c r="I265" s="14"/>
      <c r="J265" s="15"/>
      <c r="K265" s="14"/>
      <c r="L265" s="15"/>
      <c r="M265" s="14"/>
      <c r="N265" s="15"/>
      <c r="O265" s="14"/>
      <c r="P265" s="15"/>
      <c r="Q265" s="14"/>
      <c r="R265" s="15"/>
      <c r="S265" s="14"/>
      <c r="T265" s="15"/>
      <c r="U265" s="14"/>
      <c r="V265" s="15"/>
      <c r="W265" s="14"/>
      <c r="X265" s="15"/>
      <c r="Y265" s="14"/>
      <c r="Z265" s="15"/>
      <c r="AA265" s="14"/>
      <c r="AB265" s="15"/>
      <c r="AC265" s="14"/>
      <c r="AD265" s="15"/>
      <c r="AE265" s="14"/>
      <c r="AF265" s="15"/>
      <c r="AG265" s="14"/>
      <c r="AH265" s="15"/>
      <c r="AI265" s="14"/>
      <c r="AJ265" s="15"/>
      <c r="AK265" s="107"/>
    </row>
    <row r="266" spans="1:37" ht="16.5" customHeight="1" x14ac:dyDescent="0.2">
      <c r="A266" s="6"/>
      <c r="B266" s="11">
        <f t="shared" si="89"/>
        <v>6</v>
      </c>
      <c r="C266" s="135">
        <f>'Kelas XI'!C254</f>
        <v>16353</v>
      </c>
      <c r="D266" s="34" t="str">
        <f>'Kelas XI'!D254</f>
        <v>AMANDA SOFIA CANDRAPUTRI</v>
      </c>
      <c r="E266" s="14"/>
      <c r="F266" s="15"/>
      <c r="G266" s="14"/>
      <c r="H266" s="15"/>
      <c r="I266" s="14"/>
      <c r="J266" s="15"/>
      <c r="K266" s="14"/>
      <c r="L266" s="15"/>
      <c r="M266" s="14"/>
      <c r="N266" s="15"/>
      <c r="O266" s="14"/>
      <c r="P266" s="15"/>
      <c r="Q266" s="14"/>
      <c r="R266" s="15"/>
      <c r="S266" s="14"/>
      <c r="T266" s="15"/>
      <c r="U266" s="14"/>
      <c r="V266" s="15"/>
      <c r="W266" s="14"/>
      <c r="X266" s="15"/>
      <c r="Y266" s="14"/>
      <c r="Z266" s="15"/>
      <c r="AA266" s="14"/>
      <c r="AB266" s="15"/>
      <c r="AC266" s="14"/>
      <c r="AD266" s="15"/>
      <c r="AE266" s="14"/>
      <c r="AF266" s="15"/>
      <c r="AG266" s="14"/>
      <c r="AH266" s="15"/>
      <c r="AI266" s="14"/>
      <c r="AJ266" s="15"/>
      <c r="AK266" s="107"/>
    </row>
    <row r="267" spans="1:37" ht="16.5" customHeight="1" x14ac:dyDescent="0.2">
      <c r="A267" s="6"/>
      <c r="B267" s="11">
        <f t="shared" si="89"/>
        <v>7</v>
      </c>
      <c r="C267" s="135">
        <f>'Kelas XI'!C255</f>
        <v>16325</v>
      </c>
      <c r="D267" s="34" t="str">
        <f>'Kelas XI'!D255</f>
        <v>ANNISA AYU RAHMAWATI</v>
      </c>
      <c r="E267" s="14"/>
      <c r="F267" s="15"/>
      <c r="G267" s="14"/>
      <c r="H267" s="15"/>
      <c r="I267" s="14"/>
      <c r="J267" s="15"/>
      <c r="K267" s="14"/>
      <c r="L267" s="15"/>
      <c r="M267" s="14"/>
      <c r="N267" s="15"/>
      <c r="O267" s="14"/>
      <c r="P267" s="15"/>
      <c r="Q267" s="14"/>
      <c r="R267" s="15"/>
      <c r="S267" s="14"/>
      <c r="T267" s="15"/>
      <c r="U267" s="14"/>
      <c r="V267" s="15"/>
      <c r="W267" s="14"/>
      <c r="X267" s="15"/>
      <c r="Y267" s="14"/>
      <c r="Z267" s="15"/>
      <c r="AA267" s="14"/>
      <c r="AB267" s="15"/>
      <c r="AC267" s="14"/>
      <c r="AD267" s="15"/>
      <c r="AE267" s="14"/>
      <c r="AF267" s="15"/>
      <c r="AG267" s="14"/>
      <c r="AH267" s="15"/>
      <c r="AI267" s="14"/>
      <c r="AJ267" s="15"/>
      <c r="AK267" s="107"/>
    </row>
    <row r="268" spans="1:37" ht="16.5" customHeight="1" x14ac:dyDescent="0.2">
      <c r="A268" s="6"/>
      <c r="B268" s="11">
        <f t="shared" si="89"/>
        <v>8</v>
      </c>
      <c r="C268" s="135">
        <f>'Kelas XI'!C256</f>
        <v>16326</v>
      </c>
      <c r="D268" s="34" t="str">
        <f>'Kelas XI'!D256</f>
        <v>AQILAH MAULIDAZZAHRA</v>
      </c>
      <c r="E268" s="14"/>
      <c r="F268" s="15"/>
      <c r="G268" s="14"/>
      <c r="H268" s="15"/>
      <c r="I268" s="14"/>
      <c r="J268" s="15"/>
      <c r="K268" s="14"/>
      <c r="L268" s="15"/>
      <c r="M268" s="14"/>
      <c r="N268" s="15"/>
      <c r="O268" s="14"/>
      <c r="P268" s="15"/>
      <c r="Q268" s="14"/>
      <c r="R268" s="15"/>
      <c r="S268" s="14"/>
      <c r="T268" s="15"/>
      <c r="U268" s="14"/>
      <c r="V268" s="15"/>
      <c r="W268" s="14"/>
      <c r="X268" s="15"/>
      <c r="Y268" s="14"/>
      <c r="Z268" s="15"/>
      <c r="AA268" s="14"/>
      <c r="AB268" s="15"/>
      <c r="AC268" s="14"/>
      <c r="AD268" s="15"/>
      <c r="AE268" s="14"/>
      <c r="AF268" s="15"/>
      <c r="AG268" s="14"/>
      <c r="AH268" s="15"/>
      <c r="AI268" s="14"/>
      <c r="AJ268" s="15"/>
      <c r="AK268" s="107"/>
    </row>
    <row r="269" spans="1:37" ht="16.5" customHeight="1" x14ac:dyDescent="0.2">
      <c r="A269" s="6"/>
      <c r="B269" s="11">
        <f t="shared" si="89"/>
        <v>9</v>
      </c>
      <c r="C269" s="135">
        <f>'Kelas XI'!C257</f>
        <v>16264</v>
      </c>
      <c r="D269" s="34" t="str">
        <f>'Kelas XI'!D257</f>
        <v>ARINA RAHMATIKA KAYYISAH</v>
      </c>
      <c r="E269" s="14"/>
      <c r="F269" s="15"/>
      <c r="G269" s="14"/>
      <c r="H269" s="15"/>
      <c r="I269" s="14"/>
      <c r="J269" s="15"/>
      <c r="K269" s="14"/>
      <c r="L269" s="15"/>
      <c r="M269" s="14"/>
      <c r="N269" s="15"/>
      <c r="O269" s="14"/>
      <c r="P269" s="15"/>
      <c r="Q269" s="14"/>
      <c r="R269" s="15"/>
      <c r="S269" s="14"/>
      <c r="T269" s="15"/>
      <c r="U269" s="14"/>
      <c r="V269" s="15"/>
      <c r="W269" s="14"/>
      <c r="X269" s="15"/>
      <c r="Y269" s="14"/>
      <c r="Z269" s="15"/>
      <c r="AA269" s="14"/>
      <c r="AB269" s="15"/>
      <c r="AC269" s="14"/>
      <c r="AD269" s="15"/>
      <c r="AE269" s="14"/>
      <c r="AF269" s="15"/>
      <c r="AG269" s="14"/>
      <c r="AH269" s="15"/>
      <c r="AI269" s="14"/>
      <c r="AJ269" s="15"/>
      <c r="AK269" s="107"/>
    </row>
    <row r="270" spans="1:37" ht="16.5" customHeight="1" x14ac:dyDescent="0.2">
      <c r="A270" s="6"/>
      <c r="B270" s="11">
        <f t="shared" si="89"/>
        <v>10</v>
      </c>
      <c r="C270" s="135">
        <f>'Kelas XI'!C258</f>
        <v>16327</v>
      </c>
      <c r="D270" s="34" t="str">
        <f>'Kelas XI'!D258</f>
        <v>AROFAH NOVELUNAZWA SAJIDHA</v>
      </c>
      <c r="E270" s="14"/>
      <c r="F270" s="15"/>
      <c r="G270" s="14"/>
      <c r="H270" s="15"/>
      <c r="I270" s="14"/>
      <c r="J270" s="15"/>
      <c r="K270" s="14"/>
      <c r="L270" s="15"/>
      <c r="M270" s="14"/>
      <c r="N270" s="15"/>
      <c r="O270" s="14"/>
      <c r="P270" s="15"/>
      <c r="Q270" s="14"/>
      <c r="R270" s="15"/>
      <c r="S270" s="14"/>
      <c r="T270" s="15"/>
      <c r="U270" s="14"/>
      <c r="V270" s="15"/>
      <c r="W270" s="14"/>
      <c r="X270" s="15"/>
      <c r="Y270" s="14"/>
      <c r="Z270" s="15"/>
      <c r="AA270" s="14"/>
      <c r="AB270" s="15"/>
      <c r="AC270" s="14"/>
      <c r="AD270" s="15"/>
      <c r="AE270" s="14"/>
      <c r="AF270" s="15"/>
      <c r="AG270" s="14"/>
      <c r="AH270" s="15"/>
      <c r="AI270" s="14"/>
      <c r="AJ270" s="15"/>
      <c r="AK270" s="107"/>
    </row>
    <row r="271" spans="1:37" ht="16.5" customHeight="1" x14ac:dyDescent="0.2">
      <c r="A271" s="6"/>
      <c r="B271" s="11">
        <f t="shared" si="89"/>
        <v>11</v>
      </c>
      <c r="C271" s="135">
        <f>'Kelas XI'!C259</f>
        <v>16329</v>
      </c>
      <c r="D271" s="34" t="str">
        <f>'Kelas XI'!D259</f>
        <v>BUNGA PERMATA PUTRI AISYAH</v>
      </c>
      <c r="E271" s="14"/>
      <c r="F271" s="15"/>
      <c r="G271" s="14"/>
      <c r="H271" s="15"/>
      <c r="I271" s="14"/>
      <c r="J271" s="15"/>
      <c r="K271" s="14"/>
      <c r="L271" s="15"/>
      <c r="M271" s="14"/>
      <c r="N271" s="15"/>
      <c r="O271" s="14"/>
      <c r="P271" s="15"/>
      <c r="Q271" s="14"/>
      <c r="R271" s="15"/>
      <c r="S271" s="14"/>
      <c r="T271" s="15"/>
      <c r="U271" s="14"/>
      <c r="V271" s="15"/>
      <c r="W271" s="14"/>
      <c r="X271" s="15"/>
      <c r="Y271" s="14"/>
      <c r="Z271" s="15"/>
      <c r="AA271" s="14"/>
      <c r="AB271" s="15"/>
      <c r="AC271" s="14"/>
      <c r="AD271" s="15"/>
      <c r="AE271" s="14"/>
      <c r="AF271" s="15"/>
      <c r="AG271" s="14"/>
      <c r="AH271" s="15"/>
      <c r="AI271" s="14"/>
      <c r="AJ271" s="15"/>
      <c r="AK271" s="107"/>
    </row>
    <row r="272" spans="1:37" ht="16.5" customHeight="1" x14ac:dyDescent="0.2">
      <c r="A272" s="6"/>
      <c r="B272" s="11">
        <f t="shared" si="89"/>
        <v>12</v>
      </c>
      <c r="C272" s="135">
        <f>'Kelas XI'!C260</f>
        <v>16331</v>
      </c>
      <c r="D272" s="34" t="str">
        <f>'Kelas XI'!D260</f>
        <v>DINA RAUDHATUL JANNAH</v>
      </c>
      <c r="E272" s="14"/>
      <c r="F272" s="15"/>
      <c r="G272" s="14"/>
      <c r="H272" s="15"/>
      <c r="I272" s="14"/>
      <c r="J272" s="15"/>
      <c r="K272" s="14"/>
      <c r="L272" s="15"/>
      <c r="M272" s="14"/>
      <c r="N272" s="15"/>
      <c r="O272" s="14"/>
      <c r="P272" s="15"/>
      <c r="Q272" s="14"/>
      <c r="R272" s="15"/>
      <c r="S272" s="14"/>
      <c r="T272" s="15"/>
      <c r="U272" s="14"/>
      <c r="V272" s="15"/>
      <c r="W272" s="14"/>
      <c r="X272" s="15"/>
      <c r="Y272" s="14"/>
      <c r="Z272" s="15"/>
      <c r="AA272" s="14"/>
      <c r="AB272" s="15"/>
      <c r="AC272" s="14"/>
      <c r="AD272" s="15"/>
      <c r="AE272" s="14"/>
      <c r="AF272" s="15"/>
      <c r="AG272" s="14"/>
      <c r="AH272" s="15"/>
      <c r="AI272" s="14"/>
      <c r="AJ272" s="15"/>
      <c r="AK272" s="107"/>
    </row>
    <row r="273" spans="1:37" ht="16.5" customHeight="1" x14ac:dyDescent="0.2">
      <c r="A273" s="6"/>
      <c r="B273" s="11">
        <f t="shared" si="89"/>
        <v>13</v>
      </c>
      <c r="C273" s="135">
        <f>'Kelas XI'!C261</f>
        <v>16359</v>
      </c>
      <c r="D273" s="34" t="str">
        <f>'Kelas XI'!D261</f>
        <v>HANA WARDATUL JANNAH</v>
      </c>
      <c r="E273" s="14"/>
      <c r="F273" s="15"/>
      <c r="G273" s="14"/>
      <c r="H273" s="15"/>
      <c r="I273" s="14"/>
      <c r="J273" s="15"/>
      <c r="K273" s="14"/>
      <c r="L273" s="15"/>
      <c r="M273" s="14"/>
      <c r="N273" s="15"/>
      <c r="O273" s="14"/>
      <c r="P273" s="15"/>
      <c r="Q273" s="14"/>
      <c r="R273" s="15"/>
      <c r="S273" s="14"/>
      <c r="T273" s="15"/>
      <c r="U273" s="14"/>
      <c r="V273" s="15"/>
      <c r="W273" s="14"/>
      <c r="X273" s="15"/>
      <c r="Y273" s="14"/>
      <c r="Z273" s="15"/>
      <c r="AA273" s="14"/>
      <c r="AB273" s="15"/>
      <c r="AC273" s="14"/>
      <c r="AD273" s="15"/>
      <c r="AE273" s="14"/>
      <c r="AF273" s="15"/>
      <c r="AG273" s="14"/>
      <c r="AH273" s="15"/>
      <c r="AI273" s="14"/>
      <c r="AJ273" s="15"/>
      <c r="AK273" s="107"/>
    </row>
    <row r="274" spans="1:37" ht="16.5" customHeight="1" x14ac:dyDescent="0.2">
      <c r="A274" s="6"/>
      <c r="B274" s="11">
        <f t="shared" si="89"/>
        <v>14</v>
      </c>
      <c r="C274" s="135">
        <f>'Kelas XI'!C262</f>
        <v>16303</v>
      </c>
      <c r="D274" s="34" t="str">
        <f>'Kelas XI'!D262</f>
        <v>HIKMATUZ ZAKIYAH KAMIL</v>
      </c>
      <c r="E274" s="14"/>
      <c r="F274" s="15"/>
      <c r="G274" s="14"/>
      <c r="H274" s="15"/>
      <c r="I274" s="14"/>
      <c r="J274" s="15"/>
      <c r="K274" s="14"/>
      <c r="L274" s="15"/>
      <c r="M274" s="14"/>
      <c r="N274" s="15"/>
      <c r="O274" s="14"/>
      <c r="P274" s="15"/>
      <c r="Q274" s="14"/>
      <c r="R274" s="15"/>
      <c r="S274" s="14"/>
      <c r="T274" s="15"/>
      <c r="U274" s="14"/>
      <c r="V274" s="15"/>
      <c r="W274" s="14"/>
      <c r="X274" s="15"/>
      <c r="Y274" s="14"/>
      <c r="Z274" s="15"/>
      <c r="AA274" s="14"/>
      <c r="AB274" s="15"/>
      <c r="AC274" s="14"/>
      <c r="AD274" s="15"/>
      <c r="AE274" s="14"/>
      <c r="AF274" s="15"/>
      <c r="AG274" s="14"/>
      <c r="AH274" s="15"/>
      <c r="AI274" s="14"/>
      <c r="AJ274" s="15"/>
      <c r="AK274" s="107"/>
    </row>
    <row r="275" spans="1:37" ht="16.5" customHeight="1" x14ac:dyDescent="0.2">
      <c r="A275" s="6"/>
      <c r="B275" s="11">
        <f t="shared" si="89"/>
        <v>15</v>
      </c>
      <c r="C275" s="135">
        <f>'Kelas XI'!C263</f>
        <v>16308</v>
      </c>
      <c r="D275" s="34" t="str">
        <f>'Kelas XI'!D263</f>
        <v>LUTHFIYA QOTRUNADA</v>
      </c>
      <c r="E275" s="14"/>
      <c r="F275" s="15"/>
      <c r="G275" s="14"/>
      <c r="H275" s="15"/>
      <c r="I275" s="14"/>
      <c r="J275" s="15"/>
      <c r="K275" s="14"/>
      <c r="L275" s="15"/>
      <c r="M275" s="14"/>
      <c r="N275" s="15"/>
      <c r="O275" s="14"/>
      <c r="P275" s="15"/>
      <c r="Q275" s="14"/>
      <c r="R275" s="15"/>
      <c r="S275" s="14"/>
      <c r="T275" s="15"/>
      <c r="U275" s="14"/>
      <c r="V275" s="15"/>
      <c r="W275" s="14"/>
      <c r="X275" s="15"/>
      <c r="Y275" s="14"/>
      <c r="Z275" s="15"/>
      <c r="AA275" s="14"/>
      <c r="AB275" s="15"/>
      <c r="AC275" s="14"/>
      <c r="AD275" s="15"/>
      <c r="AE275" s="14"/>
      <c r="AF275" s="15"/>
      <c r="AG275" s="14"/>
      <c r="AH275" s="15"/>
      <c r="AI275" s="14"/>
      <c r="AJ275" s="15"/>
      <c r="AK275" s="107"/>
    </row>
    <row r="276" spans="1:37" ht="16.5" customHeight="1" x14ac:dyDescent="0.2">
      <c r="A276" s="6"/>
      <c r="B276" s="11">
        <f t="shared" si="89"/>
        <v>16</v>
      </c>
      <c r="C276" s="135">
        <f>'Kelas XI'!C264</f>
        <v>16273</v>
      </c>
      <c r="D276" s="34" t="str">
        <f>'Kelas XI'!D264</f>
        <v>LUTHFIYATUL KHALWAH</v>
      </c>
      <c r="E276" s="14"/>
      <c r="F276" s="15"/>
      <c r="G276" s="14"/>
      <c r="H276" s="15"/>
      <c r="I276" s="14"/>
      <c r="J276" s="15"/>
      <c r="K276" s="14"/>
      <c r="L276" s="15"/>
      <c r="M276" s="14"/>
      <c r="N276" s="15"/>
      <c r="O276" s="14"/>
      <c r="P276" s="15"/>
      <c r="Q276" s="14"/>
      <c r="R276" s="15"/>
      <c r="S276" s="14"/>
      <c r="T276" s="15"/>
      <c r="U276" s="14"/>
      <c r="V276" s="15"/>
      <c r="W276" s="14"/>
      <c r="X276" s="15"/>
      <c r="Y276" s="14"/>
      <c r="Z276" s="15"/>
      <c r="AA276" s="14"/>
      <c r="AB276" s="15"/>
      <c r="AC276" s="14"/>
      <c r="AD276" s="15"/>
      <c r="AE276" s="14"/>
      <c r="AF276" s="15"/>
      <c r="AG276" s="14"/>
      <c r="AH276" s="15"/>
      <c r="AI276" s="14"/>
      <c r="AJ276" s="15"/>
      <c r="AK276" s="107"/>
    </row>
    <row r="277" spans="1:37" ht="16.5" customHeight="1" x14ac:dyDescent="0.2">
      <c r="A277" s="6"/>
      <c r="B277" s="11">
        <f t="shared" si="89"/>
        <v>17</v>
      </c>
      <c r="C277" s="135">
        <f>'Kelas XI'!C265</f>
        <v>16360</v>
      </c>
      <c r="D277" s="34" t="str">
        <f>'Kelas XI'!D265</f>
        <v>MAISA AMADEA</v>
      </c>
      <c r="E277" s="14"/>
      <c r="F277" s="15"/>
      <c r="G277" s="14"/>
      <c r="H277" s="15"/>
      <c r="I277" s="14"/>
      <c r="J277" s="15"/>
      <c r="K277" s="14"/>
      <c r="L277" s="15"/>
      <c r="M277" s="14"/>
      <c r="N277" s="15"/>
      <c r="O277" s="14"/>
      <c r="P277" s="15"/>
      <c r="Q277" s="14"/>
      <c r="R277" s="15"/>
      <c r="S277" s="14"/>
      <c r="T277" s="15"/>
      <c r="U277" s="14"/>
      <c r="V277" s="15"/>
      <c r="W277" s="14"/>
      <c r="X277" s="15"/>
      <c r="Y277" s="14"/>
      <c r="Z277" s="15"/>
      <c r="AA277" s="14"/>
      <c r="AB277" s="15"/>
      <c r="AC277" s="14"/>
      <c r="AD277" s="15"/>
      <c r="AE277" s="14"/>
      <c r="AF277" s="15"/>
      <c r="AG277" s="14"/>
      <c r="AH277" s="15"/>
      <c r="AI277" s="14"/>
      <c r="AJ277" s="15"/>
      <c r="AK277" s="107"/>
    </row>
    <row r="278" spans="1:37" ht="16.5" customHeight="1" x14ac:dyDescent="0.2">
      <c r="A278" s="6"/>
      <c r="B278" s="11">
        <f t="shared" si="89"/>
        <v>18</v>
      </c>
      <c r="C278" s="135">
        <f>'Kelas XI'!C266</f>
        <v>16361</v>
      </c>
      <c r="D278" s="34" t="str">
        <f>'Kelas XI'!D266</f>
        <v>MARITZA NUR FAUZIAH</v>
      </c>
      <c r="E278" s="14"/>
      <c r="F278" s="15"/>
      <c r="G278" s="14"/>
      <c r="H278" s="15"/>
      <c r="I278" s="14"/>
      <c r="J278" s="15"/>
      <c r="K278" s="14"/>
      <c r="L278" s="15"/>
      <c r="M278" s="14"/>
      <c r="N278" s="15"/>
      <c r="O278" s="14"/>
      <c r="P278" s="15"/>
      <c r="Q278" s="14"/>
      <c r="R278" s="15"/>
      <c r="S278" s="14"/>
      <c r="T278" s="15"/>
      <c r="U278" s="14"/>
      <c r="V278" s="15"/>
      <c r="W278" s="14"/>
      <c r="X278" s="15"/>
      <c r="Y278" s="14"/>
      <c r="Z278" s="15"/>
      <c r="AA278" s="14"/>
      <c r="AB278" s="15"/>
      <c r="AC278" s="14"/>
      <c r="AD278" s="15"/>
      <c r="AE278" s="14"/>
      <c r="AF278" s="15"/>
      <c r="AG278" s="14"/>
      <c r="AH278" s="15"/>
      <c r="AI278" s="14"/>
      <c r="AJ278" s="15"/>
      <c r="AK278" s="107"/>
    </row>
    <row r="279" spans="1:37" ht="16.5" customHeight="1" x14ac:dyDescent="0.2">
      <c r="A279" s="6"/>
      <c r="B279" s="11">
        <f t="shared" si="89"/>
        <v>19</v>
      </c>
      <c r="C279" s="135">
        <f>'Kelas XI'!C267</f>
        <v>16274</v>
      </c>
      <c r="D279" s="34" t="str">
        <f>'Kelas XI'!D267</f>
        <v>MEISYA CAHYA KUMALA</v>
      </c>
      <c r="E279" s="14"/>
      <c r="F279" s="15"/>
      <c r="G279" s="14"/>
      <c r="H279" s="15"/>
      <c r="I279" s="14"/>
      <c r="J279" s="15"/>
      <c r="K279" s="14"/>
      <c r="L279" s="15"/>
      <c r="M279" s="14"/>
      <c r="N279" s="15"/>
      <c r="O279" s="14"/>
      <c r="P279" s="15"/>
      <c r="Q279" s="14"/>
      <c r="R279" s="15"/>
      <c r="S279" s="14"/>
      <c r="T279" s="15"/>
      <c r="U279" s="14"/>
      <c r="V279" s="15"/>
      <c r="W279" s="14"/>
      <c r="X279" s="15"/>
      <c r="Y279" s="14"/>
      <c r="Z279" s="15"/>
      <c r="AA279" s="14"/>
      <c r="AB279" s="15"/>
      <c r="AC279" s="14"/>
      <c r="AD279" s="15"/>
      <c r="AE279" s="14"/>
      <c r="AF279" s="15"/>
      <c r="AG279" s="14"/>
      <c r="AH279" s="15"/>
      <c r="AI279" s="14"/>
      <c r="AJ279" s="15"/>
      <c r="AK279" s="107"/>
    </row>
    <row r="280" spans="1:37" ht="16.5" customHeight="1" x14ac:dyDescent="0.2">
      <c r="A280" s="6"/>
      <c r="B280" s="11">
        <f t="shared" si="89"/>
        <v>20</v>
      </c>
      <c r="C280" s="135">
        <f>'Kelas XI'!C268</f>
        <v>16276</v>
      </c>
      <c r="D280" s="34" t="str">
        <f>'Kelas XI'!D268</f>
        <v>MULTAZAM MULIA</v>
      </c>
      <c r="E280" s="14"/>
      <c r="F280" s="15"/>
      <c r="G280" s="14"/>
      <c r="H280" s="15"/>
      <c r="I280" s="14"/>
      <c r="J280" s="15"/>
      <c r="K280" s="14"/>
      <c r="L280" s="15"/>
      <c r="M280" s="14"/>
      <c r="N280" s="15"/>
      <c r="O280" s="14"/>
      <c r="P280" s="15"/>
      <c r="Q280" s="14"/>
      <c r="R280" s="15"/>
      <c r="S280" s="14"/>
      <c r="T280" s="15"/>
      <c r="U280" s="14"/>
      <c r="V280" s="15"/>
      <c r="W280" s="14"/>
      <c r="X280" s="15"/>
      <c r="Y280" s="14"/>
      <c r="Z280" s="15"/>
      <c r="AA280" s="14"/>
      <c r="AB280" s="15"/>
      <c r="AC280" s="14"/>
      <c r="AD280" s="15"/>
      <c r="AE280" s="14"/>
      <c r="AF280" s="15"/>
      <c r="AG280" s="14"/>
      <c r="AH280" s="15"/>
      <c r="AI280" s="14"/>
      <c r="AJ280" s="15"/>
      <c r="AK280" s="107"/>
    </row>
    <row r="281" spans="1:37" ht="16.5" customHeight="1" x14ac:dyDescent="0.2">
      <c r="A281" s="6"/>
      <c r="B281" s="11">
        <f t="shared" si="89"/>
        <v>21</v>
      </c>
      <c r="C281" s="135">
        <f>'Kelas XI'!C269</f>
        <v>16362</v>
      </c>
      <c r="D281" s="34" t="str">
        <f>'Kelas XI'!D269</f>
        <v>NADIYA PUTRI FATHIYYAH</v>
      </c>
      <c r="E281" s="14"/>
      <c r="F281" s="15"/>
      <c r="G281" s="14"/>
      <c r="H281" s="15"/>
      <c r="I281" s="14"/>
      <c r="J281" s="15"/>
      <c r="K281" s="14"/>
      <c r="L281" s="15"/>
      <c r="M281" s="14"/>
      <c r="N281" s="15"/>
      <c r="O281" s="14"/>
      <c r="P281" s="15"/>
      <c r="Q281" s="14"/>
      <c r="R281" s="15"/>
      <c r="S281" s="14"/>
      <c r="T281" s="15"/>
      <c r="U281" s="14"/>
      <c r="V281" s="15"/>
      <c r="W281" s="14"/>
      <c r="X281" s="15"/>
      <c r="Y281" s="14"/>
      <c r="Z281" s="15"/>
      <c r="AA281" s="14"/>
      <c r="AB281" s="15"/>
      <c r="AC281" s="14"/>
      <c r="AD281" s="15"/>
      <c r="AE281" s="14"/>
      <c r="AF281" s="15"/>
      <c r="AG281" s="14"/>
      <c r="AH281" s="15"/>
      <c r="AI281" s="14"/>
      <c r="AJ281" s="15"/>
      <c r="AK281" s="107"/>
    </row>
    <row r="282" spans="1:37" ht="16.5" customHeight="1" x14ac:dyDescent="0.2">
      <c r="A282" s="6"/>
      <c r="B282" s="11">
        <f t="shared" si="89"/>
        <v>22</v>
      </c>
      <c r="C282" s="135">
        <f>'Kelas XI'!C270</f>
        <v>16363</v>
      </c>
      <c r="D282" s="34" t="str">
        <f>'Kelas XI'!D270</f>
        <v>NAJHWA FIKRIYA DYNA</v>
      </c>
      <c r="E282" s="14"/>
      <c r="F282" s="15"/>
      <c r="G282" s="14"/>
      <c r="H282" s="15"/>
      <c r="I282" s="14"/>
      <c r="J282" s="15"/>
      <c r="K282" s="14"/>
      <c r="L282" s="15"/>
      <c r="M282" s="14"/>
      <c r="N282" s="15"/>
      <c r="O282" s="14"/>
      <c r="P282" s="15"/>
      <c r="Q282" s="14"/>
      <c r="R282" s="15"/>
      <c r="S282" s="14"/>
      <c r="T282" s="15"/>
      <c r="U282" s="14"/>
      <c r="V282" s="15"/>
      <c r="W282" s="14"/>
      <c r="X282" s="15"/>
      <c r="Y282" s="14"/>
      <c r="Z282" s="15"/>
      <c r="AA282" s="14"/>
      <c r="AB282" s="15"/>
      <c r="AC282" s="14"/>
      <c r="AD282" s="15"/>
      <c r="AE282" s="14"/>
      <c r="AF282" s="15"/>
      <c r="AG282" s="14"/>
      <c r="AH282" s="15"/>
      <c r="AI282" s="14"/>
      <c r="AJ282" s="15"/>
      <c r="AK282" s="107"/>
    </row>
    <row r="283" spans="1:37" ht="16.5" customHeight="1" x14ac:dyDescent="0.2">
      <c r="A283" s="6"/>
      <c r="B283" s="11">
        <f t="shared" si="89"/>
        <v>23</v>
      </c>
      <c r="C283" s="135">
        <f>'Kelas XI'!C271</f>
        <v>16344</v>
      </c>
      <c r="D283" s="34" t="str">
        <f>'Kelas XI'!D271</f>
        <v>NAOMI PUTRI AZ ZAHWA</v>
      </c>
      <c r="E283" s="14"/>
      <c r="F283" s="15"/>
      <c r="G283" s="14"/>
      <c r="H283" s="15"/>
      <c r="I283" s="14"/>
      <c r="J283" s="15"/>
      <c r="K283" s="14"/>
      <c r="L283" s="15"/>
      <c r="M283" s="14"/>
      <c r="N283" s="15"/>
      <c r="O283" s="14"/>
      <c r="P283" s="15"/>
      <c r="Q283" s="14"/>
      <c r="R283" s="15"/>
      <c r="S283" s="14"/>
      <c r="T283" s="15"/>
      <c r="U283" s="14"/>
      <c r="V283" s="15"/>
      <c r="W283" s="14"/>
      <c r="X283" s="15"/>
      <c r="Y283" s="14"/>
      <c r="Z283" s="15"/>
      <c r="AA283" s="14"/>
      <c r="AB283" s="15"/>
      <c r="AC283" s="14"/>
      <c r="AD283" s="15"/>
      <c r="AE283" s="14"/>
      <c r="AF283" s="15"/>
      <c r="AG283" s="14"/>
      <c r="AH283" s="15"/>
      <c r="AI283" s="14"/>
      <c r="AJ283" s="15"/>
      <c r="AK283" s="107"/>
    </row>
    <row r="284" spans="1:37" ht="16.5" customHeight="1" x14ac:dyDescent="0.2">
      <c r="A284" s="6"/>
      <c r="B284" s="11">
        <f t="shared" si="89"/>
        <v>24</v>
      </c>
      <c r="C284" s="135">
        <f>'Kelas XI'!C272</f>
        <v>16367</v>
      </c>
      <c r="D284" s="34" t="str">
        <f>'Kelas XI'!D272</f>
        <v>NUR'AIDA XENIA JULAIKHA</v>
      </c>
      <c r="E284" s="14"/>
      <c r="F284" s="15"/>
      <c r="G284" s="14"/>
      <c r="H284" s="15"/>
      <c r="I284" s="14"/>
      <c r="J284" s="15"/>
      <c r="K284" s="14"/>
      <c r="L284" s="15"/>
      <c r="M284" s="14"/>
      <c r="N284" s="15"/>
      <c r="O284" s="14"/>
      <c r="P284" s="15"/>
      <c r="Q284" s="14"/>
      <c r="R284" s="15"/>
      <c r="S284" s="14"/>
      <c r="T284" s="15"/>
      <c r="U284" s="14"/>
      <c r="V284" s="15"/>
      <c r="W284" s="14"/>
      <c r="X284" s="15"/>
      <c r="Y284" s="14"/>
      <c r="Z284" s="15"/>
      <c r="AA284" s="14"/>
      <c r="AB284" s="15"/>
      <c r="AC284" s="14"/>
      <c r="AD284" s="15"/>
      <c r="AE284" s="14"/>
      <c r="AF284" s="15"/>
      <c r="AG284" s="14"/>
      <c r="AH284" s="15"/>
      <c r="AI284" s="14"/>
      <c r="AJ284" s="15"/>
      <c r="AK284" s="107"/>
    </row>
    <row r="285" spans="1:37" ht="16.5" customHeight="1" x14ac:dyDescent="0.2">
      <c r="A285" s="6"/>
      <c r="B285" s="11">
        <f t="shared" si="89"/>
        <v>25</v>
      </c>
      <c r="C285" s="135">
        <f>'Kelas XI'!C273</f>
        <v>16368</v>
      </c>
      <c r="D285" s="34" t="str">
        <f>'Kelas XI'!D273</f>
        <v>PASHA AYUDHYA YUSUF</v>
      </c>
      <c r="E285" s="14"/>
      <c r="F285" s="15"/>
      <c r="G285" s="14"/>
      <c r="H285" s="15"/>
      <c r="I285" s="14"/>
      <c r="J285" s="15"/>
      <c r="K285" s="14"/>
      <c r="L285" s="15"/>
      <c r="M285" s="14"/>
      <c r="N285" s="15"/>
      <c r="O285" s="14"/>
      <c r="P285" s="15"/>
      <c r="Q285" s="14"/>
      <c r="R285" s="15"/>
      <c r="S285" s="14"/>
      <c r="T285" s="15"/>
      <c r="U285" s="14"/>
      <c r="V285" s="15"/>
      <c r="W285" s="14"/>
      <c r="X285" s="15"/>
      <c r="Y285" s="14"/>
      <c r="Z285" s="15"/>
      <c r="AA285" s="14"/>
      <c r="AB285" s="15"/>
      <c r="AC285" s="14"/>
      <c r="AD285" s="15"/>
      <c r="AE285" s="14"/>
      <c r="AF285" s="15"/>
      <c r="AG285" s="14"/>
      <c r="AH285" s="15"/>
      <c r="AI285" s="14"/>
      <c r="AJ285" s="15"/>
      <c r="AK285" s="107"/>
    </row>
    <row r="286" spans="1:37" ht="16.5" customHeight="1" x14ac:dyDescent="0.2">
      <c r="A286" s="6"/>
      <c r="B286" s="11">
        <f t="shared" si="89"/>
        <v>26</v>
      </c>
      <c r="C286" s="135">
        <f>'Kelas XI'!C274</f>
        <v>16370</v>
      </c>
      <c r="D286" s="34" t="str">
        <f>'Kelas XI'!D274</f>
        <v>RENATHA CITRA SARI</v>
      </c>
      <c r="E286" s="14"/>
      <c r="F286" s="15"/>
      <c r="G286" s="14"/>
      <c r="H286" s="15"/>
      <c r="I286" s="14"/>
      <c r="J286" s="15"/>
      <c r="K286" s="14"/>
      <c r="L286" s="15"/>
      <c r="M286" s="14"/>
      <c r="N286" s="15"/>
      <c r="O286" s="14"/>
      <c r="P286" s="15"/>
      <c r="Q286" s="14"/>
      <c r="R286" s="15"/>
      <c r="S286" s="14"/>
      <c r="T286" s="15"/>
      <c r="U286" s="14"/>
      <c r="V286" s="15"/>
      <c r="W286" s="14"/>
      <c r="X286" s="15"/>
      <c r="Y286" s="14"/>
      <c r="Z286" s="15"/>
      <c r="AA286" s="14"/>
      <c r="AB286" s="15"/>
      <c r="AC286" s="14"/>
      <c r="AD286" s="15"/>
      <c r="AE286" s="14"/>
      <c r="AF286" s="15"/>
      <c r="AG286" s="14"/>
      <c r="AH286" s="15"/>
      <c r="AI286" s="14"/>
      <c r="AJ286" s="15"/>
      <c r="AK286" s="107"/>
    </row>
    <row r="287" spans="1:37" ht="16.5" customHeight="1" x14ac:dyDescent="0.2">
      <c r="A287" s="6"/>
      <c r="B287" s="11">
        <f t="shared" si="89"/>
        <v>27</v>
      </c>
      <c r="C287" s="135">
        <f>'Kelas XI'!C275</f>
        <v>16315</v>
      </c>
      <c r="D287" s="34" t="str">
        <f>'Kelas XI'!D275</f>
        <v>RISMAULA RAHMADANI</v>
      </c>
      <c r="E287" s="14"/>
      <c r="F287" s="15"/>
      <c r="G287" s="14"/>
      <c r="H287" s="15"/>
      <c r="I287" s="14"/>
      <c r="J287" s="15"/>
      <c r="K287" s="14"/>
      <c r="L287" s="15"/>
      <c r="M287" s="14"/>
      <c r="N287" s="15"/>
      <c r="O287" s="14"/>
      <c r="P287" s="15"/>
      <c r="Q287" s="14"/>
      <c r="R287" s="15"/>
      <c r="S287" s="14"/>
      <c r="T287" s="15"/>
      <c r="U287" s="14"/>
      <c r="V287" s="15"/>
      <c r="W287" s="14"/>
      <c r="X287" s="15"/>
      <c r="Y287" s="14"/>
      <c r="Z287" s="15"/>
      <c r="AA287" s="14"/>
      <c r="AB287" s="15"/>
      <c r="AC287" s="14"/>
      <c r="AD287" s="15"/>
      <c r="AE287" s="14"/>
      <c r="AF287" s="15"/>
      <c r="AG287" s="14"/>
      <c r="AH287" s="15"/>
      <c r="AI287" s="14"/>
      <c r="AJ287" s="15"/>
      <c r="AK287" s="107"/>
    </row>
    <row r="288" spans="1:37" ht="16.5" customHeight="1" x14ac:dyDescent="0.2">
      <c r="A288" s="6"/>
      <c r="B288" s="11">
        <f t="shared" si="89"/>
        <v>28</v>
      </c>
      <c r="C288" s="135">
        <f>'Kelas XI'!C276</f>
        <v>16283</v>
      </c>
      <c r="D288" s="34" t="str">
        <f>'Kelas XI'!D276</f>
        <v>SALSABILA ABIDIN</v>
      </c>
      <c r="E288" s="14"/>
      <c r="F288" s="15"/>
      <c r="G288" s="14"/>
      <c r="H288" s="15"/>
      <c r="I288" s="14"/>
      <c r="J288" s="15"/>
      <c r="K288" s="14"/>
      <c r="L288" s="15"/>
      <c r="M288" s="14"/>
      <c r="N288" s="15"/>
      <c r="O288" s="14"/>
      <c r="P288" s="15"/>
      <c r="Q288" s="14"/>
      <c r="R288" s="15"/>
      <c r="S288" s="14"/>
      <c r="T288" s="15"/>
      <c r="U288" s="14"/>
      <c r="V288" s="15"/>
      <c r="W288" s="14"/>
      <c r="X288" s="15"/>
      <c r="Y288" s="14"/>
      <c r="Z288" s="15"/>
      <c r="AA288" s="14"/>
      <c r="AB288" s="15"/>
      <c r="AC288" s="14"/>
      <c r="AD288" s="15"/>
      <c r="AE288" s="14"/>
      <c r="AF288" s="15"/>
      <c r="AG288" s="14"/>
      <c r="AH288" s="15"/>
      <c r="AI288" s="14"/>
      <c r="AJ288" s="15"/>
      <c r="AK288" s="107"/>
    </row>
    <row r="289" spans="1:37" ht="16.5" customHeight="1" x14ac:dyDescent="0.2">
      <c r="A289" s="6"/>
      <c r="B289" s="11">
        <f t="shared" si="89"/>
        <v>29</v>
      </c>
      <c r="C289" s="135">
        <f>'Kelas XI'!C277</f>
        <v>16373</v>
      </c>
      <c r="D289" s="34" t="str">
        <f>'Kelas XI'!D277</f>
        <v>SALSABILA NABIL NUR ROFIFAH EFENDY</v>
      </c>
      <c r="E289" s="16"/>
      <c r="F289" s="17"/>
      <c r="G289" s="16"/>
      <c r="H289" s="17"/>
      <c r="I289" s="16"/>
      <c r="J289" s="17"/>
      <c r="K289" s="16"/>
      <c r="L289" s="17"/>
      <c r="M289" s="16"/>
      <c r="N289" s="17"/>
      <c r="O289" s="16"/>
      <c r="P289" s="17"/>
      <c r="Q289" s="16"/>
      <c r="R289" s="17"/>
      <c r="S289" s="16"/>
      <c r="T289" s="17"/>
      <c r="U289" s="16"/>
      <c r="V289" s="17"/>
      <c r="W289" s="16"/>
      <c r="X289" s="17"/>
      <c r="Y289" s="16"/>
      <c r="Z289" s="17"/>
      <c r="AA289" s="16"/>
      <c r="AB289" s="17"/>
      <c r="AC289" s="16"/>
      <c r="AD289" s="17"/>
      <c r="AE289" s="16"/>
      <c r="AF289" s="17"/>
      <c r="AG289" s="16"/>
      <c r="AH289" s="17"/>
      <c r="AI289" s="16"/>
      <c r="AJ289" s="17"/>
      <c r="AK289" s="107"/>
    </row>
    <row r="290" spans="1:37" ht="16.5" customHeight="1" x14ac:dyDescent="0.2">
      <c r="A290" s="6"/>
      <c r="B290" s="11">
        <f t="shared" si="89"/>
        <v>30</v>
      </c>
      <c r="C290" s="135">
        <f>'Kelas XI'!C278</f>
        <v>16319</v>
      </c>
      <c r="D290" s="34" t="str">
        <f>'Kelas XI'!D278</f>
        <v>TIKA NUR MAYRANITA</v>
      </c>
      <c r="E290" s="16"/>
      <c r="F290" s="17"/>
      <c r="G290" s="16"/>
      <c r="H290" s="17"/>
      <c r="I290" s="16"/>
      <c r="J290" s="17"/>
      <c r="K290" s="16"/>
      <c r="L290" s="17"/>
      <c r="M290" s="16"/>
      <c r="N290" s="17"/>
      <c r="O290" s="16"/>
      <c r="P290" s="17"/>
      <c r="Q290" s="16"/>
      <c r="R290" s="17"/>
      <c r="S290" s="16"/>
      <c r="T290" s="17"/>
      <c r="U290" s="16"/>
      <c r="V290" s="17"/>
      <c r="W290" s="16"/>
      <c r="X290" s="17"/>
      <c r="Y290" s="16"/>
      <c r="Z290" s="17"/>
      <c r="AA290" s="16"/>
      <c r="AB290" s="17"/>
      <c r="AC290" s="16"/>
      <c r="AD290" s="17"/>
      <c r="AE290" s="16"/>
      <c r="AF290" s="17"/>
      <c r="AG290" s="16"/>
      <c r="AH290" s="17"/>
      <c r="AI290" s="16"/>
      <c r="AJ290" s="17"/>
      <c r="AK290" s="107"/>
    </row>
    <row r="291" spans="1:37" ht="16.5" customHeight="1" x14ac:dyDescent="0.2">
      <c r="A291" s="6"/>
      <c r="B291" s="11">
        <f t="shared" si="89"/>
        <v>31</v>
      </c>
      <c r="C291" s="135">
        <f>'Kelas XI'!C279</f>
        <v>16287</v>
      </c>
      <c r="D291" s="34" t="str">
        <f>'Kelas XI'!D279</f>
        <v>YERRIS QURROTUL IZZA</v>
      </c>
      <c r="E291" s="16"/>
      <c r="F291" s="17"/>
      <c r="G291" s="16"/>
      <c r="H291" s="17"/>
      <c r="I291" s="16"/>
      <c r="J291" s="17"/>
      <c r="K291" s="16"/>
      <c r="L291" s="17"/>
      <c r="M291" s="16"/>
      <c r="N291" s="17"/>
      <c r="O291" s="16"/>
      <c r="P291" s="17"/>
      <c r="Q291" s="16"/>
      <c r="R291" s="17"/>
      <c r="S291" s="16"/>
      <c r="T291" s="17"/>
      <c r="U291" s="16"/>
      <c r="V291" s="17"/>
      <c r="W291" s="16"/>
      <c r="X291" s="17"/>
      <c r="Y291" s="16"/>
      <c r="Z291" s="17"/>
      <c r="AA291" s="16"/>
      <c r="AB291" s="17"/>
      <c r="AC291" s="16"/>
      <c r="AD291" s="17"/>
      <c r="AE291" s="16"/>
      <c r="AF291" s="17"/>
      <c r="AG291" s="16"/>
      <c r="AH291" s="17"/>
      <c r="AI291" s="16"/>
      <c r="AJ291" s="17"/>
      <c r="AK291" s="107"/>
    </row>
    <row r="292" spans="1:37" ht="16.5" customHeight="1" x14ac:dyDescent="0.2">
      <c r="A292" s="6"/>
      <c r="B292" s="11">
        <f t="shared" si="89"/>
        <v>32</v>
      </c>
      <c r="C292" s="135">
        <f>'Kelas XI'!C280</f>
        <v>16348</v>
      </c>
      <c r="D292" s="34" t="str">
        <f>'Kelas XI'!D280</f>
        <v>ZAHROTIN AWALINA NURROHMAH</v>
      </c>
      <c r="E292" s="16"/>
      <c r="F292" s="17"/>
      <c r="G292" s="16"/>
      <c r="H292" s="17"/>
      <c r="I292" s="16"/>
      <c r="J292" s="17"/>
      <c r="K292" s="16"/>
      <c r="L292" s="17"/>
      <c r="M292" s="16"/>
      <c r="N292" s="17"/>
      <c r="O292" s="16"/>
      <c r="P292" s="17"/>
      <c r="Q292" s="16"/>
      <c r="R292" s="17"/>
      <c r="S292" s="16"/>
      <c r="T292" s="17"/>
      <c r="U292" s="16"/>
      <c r="V292" s="17"/>
      <c r="W292" s="16"/>
      <c r="X292" s="17"/>
      <c r="Y292" s="16"/>
      <c r="Z292" s="17"/>
      <c r="AA292" s="16"/>
      <c r="AB292" s="17"/>
      <c r="AC292" s="16"/>
      <c r="AD292" s="17"/>
      <c r="AE292" s="16"/>
      <c r="AF292" s="17"/>
      <c r="AG292" s="16"/>
      <c r="AH292" s="17"/>
      <c r="AI292" s="16"/>
      <c r="AJ292" s="17"/>
      <c r="AK292" s="107"/>
    </row>
    <row r="293" spans="1:37" ht="16.5" customHeight="1" x14ac:dyDescent="0.2">
      <c r="A293" s="6"/>
      <c r="B293" s="11">
        <f t="shared" si="89"/>
        <v>33</v>
      </c>
      <c r="C293" s="135">
        <f>'Kelas XI'!C281</f>
        <v>0</v>
      </c>
      <c r="D293" s="34">
        <f>'Kelas XI'!D281</f>
        <v>0</v>
      </c>
      <c r="E293" s="16"/>
      <c r="F293" s="17"/>
      <c r="G293" s="16"/>
      <c r="H293" s="17"/>
      <c r="I293" s="16"/>
      <c r="J293" s="17"/>
      <c r="K293" s="16"/>
      <c r="L293" s="17"/>
      <c r="M293" s="16"/>
      <c r="N293" s="17"/>
      <c r="O293" s="16"/>
      <c r="P293" s="17"/>
      <c r="Q293" s="16"/>
      <c r="R293" s="17"/>
      <c r="S293" s="16"/>
      <c r="T293" s="17"/>
      <c r="U293" s="16"/>
      <c r="V293" s="17"/>
      <c r="W293" s="16"/>
      <c r="X293" s="17"/>
      <c r="Y293" s="16"/>
      <c r="Z293" s="17"/>
      <c r="AA293" s="16"/>
      <c r="AB293" s="17"/>
      <c r="AC293" s="16"/>
      <c r="AD293" s="17"/>
      <c r="AE293" s="16"/>
      <c r="AF293" s="17"/>
      <c r="AG293" s="16"/>
      <c r="AH293" s="17"/>
      <c r="AI293" s="16"/>
      <c r="AJ293" s="17"/>
      <c r="AK293" s="107"/>
    </row>
    <row r="294" spans="1:37" ht="16.5" customHeight="1" x14ac:dyDescent="0.2">
      <c r="A294" s="6"/>
      <c r="B294" s="11">
        <f t="shared" si="89"/>
        <v>34</v>
      </c>
      <c r="C294" s="135">
        <f>'Kelas XI'!C282</f>
        <v>0</v>
      </c>
      <c r="D294" s="34">
        <f>'Kelas XI'!D282</f>
        <v>0</v>
      </c>
      <c r="E294" s="16"/>
      <c r="F294" s="17"/>
      <c r="G294" s="16"/>
      <c r="H294" s="17"/>
      <c r="I294" s="16"/>
      <c r="J294" s="17"/>
      <c r="K294" s="16"/>
      <c r="L294" s="17"/>
      <c r="M294" s="16"/>
      <c r="N294" s="17"/>
      <c r="O294" s="16"/>
      <c r="P294" s="17"/>
      <c r="Q294" s="16"/>
      <c r="R294" s="17"/>
      <c r="S294" s="16"/>
      <c r="T294" s="17"/>
      <c r="U294" s="16"/>
      <c r="V294" s="17"/>
      <c r="W294" s="16"/>
      <c r="X294" s="17"/>
      <c r="Y294" s="16"/>
      <c r="Z294" s="17"/>
      <c r="AA294" s="16"/>
      <c r="AB294" s="17"/>
      <c r="AC294" s="16"/>
      <c r="AD294" s="17"/>
      <c r="AE294" s="16"/>
      <c r="AF294" s="17"/>
      <c r="AG294" s="16"/>
      <c r="AH294" s="17"/>
      <c r="AI294" s="16"/>
      <c r="AJ294" s="17"/>
      <c r="AK294" s="107"/>
    </row>
    <row r="295" spans="1:37" ht="16.5" customHeight="1" x14ac:dyDescent="0.2">
      <c r="A295" s="6"/>
      <c r="B295" s="11">
        <f t="shared" si="89"/>
        <v>35</v>
      </c>
      <c r="C295" s="135">
        <f>'Kelas XI'!C283</f>
        <v>0</v>
      </c>
      <c r="D295" s="34">
        <f>'Kelas XI'!D283</f>
        <v>0</v>
      </c>
      <c r="E295" s="16"/>
      <c r="F295" s="17"/>
      <c r="G295" s="16"/>
      <c r="H295" s="17"/>
      <c r="I295" s="16"/>
      <c r="J295" s="17"/>
      <c r="K295" s="16"/>
      <c r="L295" s="17"/>
      <c r="M295" s="16"/>
      <c r="N295" s="17"/>
      <c r="O295" s="16"/>
      <c r="P295" s="17"/>
      <c r="Q295" s="16"/>
      <c r="R295" s="17"/>
      <c r="S295" s="16"/>
      <c r="T295" s="17"/>
      <c r="U295" s="16"/>
      <c r="V295" s="17"/>
      <c r="W295" s="16"/>
      <c r="X295" s="17"/>
      <c r="Y295" s="16"/>
      <c r="Z295" s="17"/>
      <c r="AA295" s="16"/>
      <c r="AB295" s="17"/>
      <c r="AC295" s="16"/>
      <c r="AD295" s="17"/>
      <c r="AE295" s="16"/>
      <c r="AF295" s="17"/>
      <c r="AG295" s="16"/>
      <c r="AH295" s="17"/>
      <c r="AI295" s="16"/>
      <c r="AJ295" s="17"/>
      <c r="AK295" s="107"/>
    </row>
    <row r="296" spans="1:37" ht="16.5" customHeight="1" x14ac:dyDescent="0.2">
      <c r="A296" s="6"/>
      <c r="B296" s="11">
        <f t="shared" si="89"/>
        <v>36</v>
      </c>
      <c r="C296" s="135">
        <f>'Kelas XI'!C284</f>
        <v>0</v>
      </c>
      <c r="D296" s="34">
        <f>'Kelas XI'!D284</f>
        <v>0</v>
      </c>
      <c r="E296" s="16"/>
      <c r="F296" s="17"/>
      <c r="G296" s="16"/>
      <c r="H296" s="17"/>
      <c r="I296" s="16"/>
      <c r="J296" s="17"/>
      <c r="K296" s="16"/>
      <c r="L296" s="17"/>
      <c r="M296" s="16"/>
      <c r="N296" s="17"/>
      <c r="O296" s="16"/>
      <c r="P296" s="17"/>
      <c r="Q296" s="16"/>
      <c r="R296" s="17"/>
      <c r="S296" s="16"/>
      <c r="T296" s="17"/>
      <c r="U296" s="16"/>
      <c r="V296" s="17"/>
      <c r="W296" s="16"/>
      <c r="X296" s="17"/>
      <c r="Y296" s="16"/>
      <c r="Z296" s="17"/>
      <c r="AA296" s="16"/>
      <c r="AB296" s="17"/>
      <c r="AC296" s="16"/>
      <c r="AD296" s="17"/>
      <c r="AE296" s="16"/>
      <c r="AF296" s="17"/>
      <c r="AG296" s="16"/>
      <c r="AH296" s="17"/>
      <c r="AI296" s="16"/>
      <c r="AJ296" s="17"/>
      <c r="AK296" s="107"/>
    </row>
    <row r="297" spans="1:37" ht="16.5" customHeight="1" thickBot="1" x14ac:dyDescent="0.25">
      <c r="A297" s="6"/>
      <c r="B297" s="48">
        <f t="shared" si="89"/>
        <v>37</v>
      </c>
      <c r="C297" s="143">
        <f>'Kelas XI'!C285</f>
        <v>0</v>
      </c>
      <c r="D297" s="147">
        <f>'Kelas XI'!D285</f>
        <v>0</v>
      </c>
      <c r="E297" s="18"/>
      <c r="F297" s="19"/>
      <c r="G297" s="18"/>
      <c r="H297" s="19"/>
      <c r="I297" s="18"/>
      <c r="J297" s="19"/>
      <c r="K297" s="18"/>
      <c r="L297" s="19"/>
      <c r="M297" s="18"/>
      <c r="N297" s="19"/>
      <c r="O297" s="18"/>
      <c r="P297" s="19"/>
      <c r="Q297" s="18"/>
      <c r="R297" s="19"/>
      <c r="S297" s="18"/>
      <c r="T297" s="19"/>
      <c r="U297" s="18"/>
      <c r="V297" s="19"/>
      <c r="W297" s="18"/>
      <c r="X297" s="19"/>
      <c r="Y297" s="18"/>
      <c r="Z297" s="19"/>
      <c r="AA297" s="18"/>
      <c r="AB297" s="19"/>
      <c r="AC297" s="18"/>
      <c r="AD297" s="19"/>
      <c r="AE297" s="18"/>
      <c r="AF297" s="19"/>
      <c r="AG297" s="18"/>
      <c r="AH297" s="19"/>
      <c r="AI297" s="18"/>
      <c r="AJ297" s="19"/>
      <c r="AK297" s="107"/>
    </row>
    <row r="298" spans="1:37" ht="16.5" customHeight="1" x14ac:dyDescent="0.2">
      <c r="A298" s="6"/>
      <c r="B298" s="8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149"/>
      <c r="AK298" s="6"/>
    </row>
    <row r="299" spans="1:37" ht="16.5" customHeight="1" thickBo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150"/>
      <c r="AK299" s="6"/>
    </row>
    <row r="300" spans="1:37" ht="16.5" customHeight="1" x14ac:dyDescent="0.2">
      <c r="A300" s="6"/>
      <c r="B300" s="279"/>
      <c r="C300" s="280"/>
      <c r="D300" s="283" t="s">
        <v>3</v>
      </c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  <c r="AA300" s="284"/>
      <c r="AB300" s="284"/>
      <c r="AC300" s="284"/>
      <c r="AD300" s="284"/>
      <c r="AE300" s="284"/>
      <c r="AF300" s="284"/>
      <c r="AG300" s="284"/>
      <c r="AH300" s="284"/>
      <c r="AI300" s="284"/>
      <c r="AJ300" s="285"/>
      <c r="AK300" s="107"/>
    </row>
    <row r="301" spans="1:37" ht="16.5" customHeight="1" x14ac:dyDescent="0.2">
      <c r="A301" s="6"/>
      <c r="B301" s="281"/>
      <c r="C301" s="282"/>
      <c r="D301" s="286" t="s">
        <v>4</v>
      </c>
      <c r="E301" s="287"/>
      <c r="F301" s="287"/>
      <c r="G301" s="287"/>
      <c r="H301" s="287"/>
      <c r="I301" s="287"/>
      <c r="J301" s="287"/>
      <c r="K301" s="287"/>
      <c r="L301" s="287"/>
      <c r="M301" s="287"/>
      <c r="N301" s="287"/>
      <c r="O301" s="287"/>
      <c r="P301" s="287"/>
      <c r="Q301" s="287"/>
      <c r="R301" s="287"/>
      <c r="S301" s="287"/>
      <c r="T301" s="287"/>
      <c r="U301" s="287"/>
      <c r="V301" s="287"/>
      <c r="W301" s="287"/>
      <c r="X301" s="287"/>
      <c r="Y301" s="287"/>
      <c r="Z301" s="287"/>
      <c r="AA301" s="287"/>
      <c r="AB301" s="287"/>
      <c r="AC301" s="287"/>
      <c r="AD301" s="287"/>
      <c r="AE301" s="287"/>
      <c r="AF301" s="287"/>
      <c r="AG301" s="287"/>
      <c r="AH301" s="287"/>
      <c r="AI301" s="287"/>
      <c r="AJ301" s="288"/>
      <c r="AK301" s="107"/>
    </row>
    <row r="302" spans="1:37" ht="16.5" customHeight="1" x14ac:dyDescent="0.2">
      <c r="A302" s="6"/>
      <c r="B302" s="281"/>
      <c r="C302" s="282"/>
      <c r="D302" s="286" t="s">
        <v>547</v>
      </c>
      <c r="E302" s="287"/>
      <c r="F302" s="287"/>
      <c r="G302" s="287"/>
      <c r="H302" s="287"/>
      <c r="I302" s="287"/>
      <c r="J302" s="287"/>
      <c r="K302" s="287"/>
      <c r="L302" s="287"/>
      <c r="M302" s="287"/>
      <c r="N302" s="287"/>
      <c r="O302" s="287"/>
      <c r="P302" s="287"/>
      <c r="Q302" s="287"/>
      <c r="R302" s="287"/>
      <c r="S302" s="287"/>
      <c r="T302" s="287"/>
      <c r="U302" s="287"/>
      <c r="V302" s="287"/>
      <c r="W302" s="287"/>
      <c r="X302" s="287"/>
      <c r="Y302" s="287"/>
      <c r="Z302" s="287"/>
      <c r="AA302" s="287"/>
      <c r="AB302" s="287"/>
      <c r="AC302" s="287"/>
      <c r="AD302" s="287"/>
      <c r="AE302" s="287"/>
      <c r="AF302" s="287"/>
      <c r="AG302" s="287"/>
      <c r="AH302" s="287"/>
      <c r="AI302" s="287"/>
      <c r="AJ302" s="288"/>
      <c r="AK302" s="107"/>
    </row>
    <row r="303" spans="1:37" ht="16.5" customHeight="1" thickBot="1" x14ac:dyDescent="0.25">
      <c r="A303" s="6"/>
      <c r="B303" s="281"/>
      <c r="C303" s="282"/>
      <c r="D303" s="289"/>
      <c r="E303" s="290"/>
      <c r="F303" s="290"/>
      <c r="G303" s="290"/>
      <c r="H303" s="290"/>
      <c r="I303" s="290"/>
      <c r="J303" s="290"/>
      <c r="K303" s="290"/>
      <c r="L303" s="290"/>
      <c r="M303" s="290"/>
      <c r="N303" s="290"/>
      <c r="O303" s="290"/>
      <c r="P303" s="290"/>
      <c r="Q303" s="290"/>
      <c r="R303" s="290"/>
      <c r="S303" s="290"/>
      <c r="T303" s="290"/>
      <c r="U303" s="290"/>
      <c r="V303" s="290"/>
      <c r="W303" s="290"/>
      <c r="X303" s="290"/>
      <c r="Y303" s="290"/>
      <c r="Z303" s="290"/>
      <c r="AA303" s="290"/>
      <c r="AB303" s="290"/>
      <c r="AC303" s="290"/>
      <c r="AD303" s="290"/>
      <c r="AE303" s="290"/>
      <c r="AF303" s="290"/>
      <c r="AG303" s="290"/>
      <c r="AH303" s="290"/>
      <c r="AI303" s="290"/>
      <c r="AJ303" s="291"/>
      <c r="AK303" s="107"/>
    </row>
    <row r="304" spans="1:37" ht="16.5" customHeight="1" thickBot="1" x14ac:dyDescent="0.25">
      <c r="A304" s="6"/>
      <c r="B304" s="292"/>
      <c r="C304" s="293"/>
      <c r="D304" s="9" t="s">
        <v>559</v>
      </c>
      <c r="E304" s="10" t="s">
        <v>11</v>
      </c>
      <c r="F304" s="10"/>
      <c r="G304" s="10"/>
      <c r="H304" s="10"/>
      <c r="I304" s="10"/>
      <c r="J304" s="149"/>
      <c r="K304" s="10"/>
      <c r="L304" s="10"/>
      <c r="M304" s="10"/>
      <c r="N304" s="10"/>
      <c r="O304" s="10"/>
      <c r="P304" s="10"/>
      <c r="Q304" s="10"/>
      <c r="R304" s="10"/>
      <c r="S304" s="10" t="str">
        <f>'Kelas XI'!F292</f>
        <v>Wali Kelas   : NURUL QOMARIYAH SAYUTI, S.Si</v>
      </c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58"/>
      <c r="AK304" s="107"/>
    </row>
    <row r="305" spans="1:37" ht="16.5" customHeight="1" thickBot="1" x14ac:dyDescent="0.25">
      <c r="A305" s="6"/>
      <c r="B305" s="294" t="s">
        <v>6</v>
      </c>
      <c r="C305" s="294"/>
      <c r="D305" s="295" t="s">
        <v>7</v>
      </c>
      <c r="E305" s="292" t="s">
        <v>519</v>
      </c>
      <c r="F305" s="298"/>
      <c r="G305" s="298"/>
      <c r="H305" s="298"/>
      <c r="I305" s="298"/>
      <c r="J305" s="298"/>
      <c r="K305" s="298"/>
      <c r="L305" s="298"/>
      <c r="M305" s="298"/>
      <c r="N305" s="298"/>
      <c r="O305" s="298"/>
      <c r="P305" s="298"/>
      <c r="Q305" s="298"/>
      <c r="R305" s="298"/>
      <c r="S305" s="298"/>
      <c r="T305" s="298"/>
      <c r="U305" s="298"/>
      <c r="V305" s="298"/>
      <c r="W305" s="298"/>
      <c r="X305" s="298"/>
      <c r="Y305" s="298"/>
      <c r="Z305" s="298"/>
      <c r="AA305" s="298"/>
      <c r="AB305" s="298"/>
      <c r="AC305" s="298"/>
      <c r="AD305" s="298"/>
      <c r="AE305" s="298"/>
      <c r="AF305" s="298"/>
      <c r="AG305" s="298"/>
      <c r="AH305" s="298"/>
      <c r="AI305" s="298"/>
      <c r="AJ305" s="293"/>
      <c r="AK305" s="107"/>
    </row>
    <row r="306" spans="1:37" ht="16.5" customHeight="1" thickBot="1" x14ac:dyDescent="0.25">
      <c r="A306" s="6"/>
      <c r="B306" s="295" t="s">
        <v>8</v>
      </c>
      <c r="C306" s="295" t="s">
        <v>9</v>
      </c>
      <c r="D306" s="296"/>
      <c r="E306" s="292">
        <f>E8</f>
        <v>17</v>
      </c>
      <c r="F306" s="298"/>
      <c r="G306" s="292">
        <f>E306+1</f>
        <v>18</v>
      </c>
      <c r="H306" s="298"/>
      <c r="I306" s="292">
        <f t="shared" ref="I306" si="90">G306+1</f>
        <v>19</v>
      </c>
      <c r="J306" s="298"/>
      <c r="K306" s="292">
        <f t="shared" ref="K306" si="91">I306+1</f>
        <v>20</v>
      </c>
      <c r="L306" s="298"/>
      <c r="M306" s="292">
        <f t="shared" ref="M306" si="92">K306+1</f>
        <v>21</v>
      </c>
      <c r="N306" s="298"/>
      <c r="O306" s="292">
        <f t="shared" ref="O306" si="93">M306+1</f>
        <v>22</v>
      </c>
      <c r="P306" s="298"/>
      <c r="Q306" s="292">
        <f t="shared" ref="Q306" si="94">O306+1</f>
        <v>23</v>
      </c>
      <c r="R306" s="298"/>
      <c r="S306" s="292">
        <f t="shared" ref="S306" si="95">Q306+1</f>
        <v>24</v>
      </c>
      <c r="T306" s="298"/>
      <c r="U306" s="292">
        <f t="shared" ref="U306" si="96">S306+1</f>
        <v>25</v>
      </c>
      <c r="V306" s="298"/>
      <c r="W306" s="292">
        <f t="shared" ref="W306" si="97">U306+1</f>
        <v>26</v>
      </c>
      <c r="X306" s="298"/>
      <c r="Y306" s="292">
        <f t="shared" ref="Y306" si="98">W306+1</f>
        <v>27</v>
      </c>
      <c r="Z306" s="298"/>
      <c r="AA306" s="292">
        <f t="shared" ref="AA306" si="99">Y306+1</f>
        <v>28</v>
      </c>
      <c r="AB306" s="298"/>
      <c r="AC306" s="292">
        <f t="shared" ref="AC306" si="100">AA306+1</f>
        <v>29</v>
      </c>
      <c r="AD306" s="298"/>
      <c r="AE306" s="292">
        <f t="shared" ref="AE306" si="101">AC306+1</f>
        <v>30</v>
      </c>
      <c r="AF306" s="298"/>
      <c r="AG306" s="292">
        <f t="shared" ref="AG306" si="102">AE306+1</f>
        <v>31</v>
      </c>
      <c r="AH306" s="298"/>
      <c r="AI306" s="292">
        <f t="shared" ref="AI306" si="103">AG306+1</f>
        <v>32</v>
      </c>
      <c r="AJ306" s="298"/>
      <c r="AK306" s="107"/>
    </row>
    <row r="307" spans="1:37" ht="24.75" customHeight="1" thickBot="1" x14ac:dyDescent="0.25">
      <c r="A307" s="6"/>
      <c r="B307" s="297"/>
      <c r="C307" s="297"/>
      <c r="D307" s="297"/>
      <c r="E307" s="108" t="s">
        <v>13</v>
      </c>
      <c r="F307" s="108" t="s">
        <v>14</v>
      </c>
      <c r="G307" s="108" t="s">
        <v>13</v>
      </c>
      <c r="H307" s="108" t="s">
        <v>14</v>
      </c>
      <c r="I307" s="108" t="s">
        <v>13</v>
      </c>
      <c r="J307" s="108" t="s">
        <v>14</v>
      </c>
      <c r="K307" s="108" t="s">
        <v>13</v>
      </c>
      <c r="L307" s="108" t="s">
        <v>14</v>
      </c>
      <c r="M307" s="108" t="s">
        <v>13</v>
      </c>
      <c r="N307" s="108" t="s">
        <v>14</v>
      </c>
      <c r="O307" s="108" t="s">
        <v>13</v>
      </c>
      <c r="P307" s="108" t="s">
        <v>14</v>
      </c>
      <c r="Q307" s="108" t="s">
        <v>13</v>
      </c>
      <c r="R307" s="108" t="s">
        <v>14</v>
      </c>
      <c r="S307" s="108" t="s">
        <v>13</v>
      </c>
      <c r="T307" s="108" t="s">
        <v>14</v>
      </c>
      <c r="U307" s="108" t="s">
        <v>13</v>
      </c>
      <c r="V307" s="108" t="s">
        <v>14</v>
      </c>
      <c r="W307" s="108" t="s">
        <v>13</v>
      </c>
      <c r="X307" s="108" t="s">
        <v>14</v>
      </c>
      <c r="Y307" s="108" t="s">
        <v>13</v>
      </c>
      <c r="Z307" s="108" t="s">
        <v>14</v>
      </c>
      <c r="AA307" s="108" t="s">
        <v>13</v>
      </c>
      <c r="AB307" s="108" t="s">
        <v>14</v>
      </c>
      <c r="AC307" s="108" t="s">
        <v>13</v>
      </c>
      <c r="AD307" s="108" t="s">
        <v>14</v>
      </c>
      <c r="AE307" s="108" t="s">
        <v>13</v>
      </c>
      <c r="AF307" s="108" t="s">
        <v>14</v>
      </c>
      <c r="AG307" s="108" t="s">
        <v>13</v>
      </c>
      <c r="AH307" s="108" t="s">
        <v>14</v>
      </c>
      <c r="AI307" s="108" t="s">
        <v>13</v>
      </c>
      <c r="AJ307" s="108" t="s">
        <v>14</v>
      </c>
      <c r="AK307" s="107"/>
    </row>
    <row r="308" spans="1:37" ht="16.5" customHeight="1" x14ac:dyDescent="0.2">
      <c r="A308" s="6"/>
      <c r="B308" s="21">
        <v>1</v>
      </c>
      <c r="C308" s="22">
        <f>'Kelas XI'!C295</f>
        <v>16350</v>
      </c>
      <c r="D308" s="34" t="str">
        <f>'Kelas XI'!D295</f>
        <v>AGHNIYA ILMI FAKHREZA</v>
      </c>
      <c r="E308" s="12"/>
      <c r="F308" s="13"/>
      <c r="G308" s="12"/>
      <c r="H308" s="13"/>
      <c r="I308" s="12"/>
      <c r="J308" s="13"/>
      <c r="K308" s="12"/>
      <c r="L308" s="13"/>
      <c r="M308" s="12"/>
      <c r="N308" s="13"/>
      <c r="O308" s="12"/>
      <c r="P308" s="13"/>
      <c r="Q308" s="12"/>
      <c r="R308" s="13"/>
      <c r="S308" s="12"/>
      <c r="T308" s="13"/>
      <c r="U308" s="12"/>
      <c r="V308" s="13"/>
      <c r="W308" s="12"/>
      <c r="X308" s="13"/>
      <c r="Y308" s="12"/>
      <c r="Z308" s="13"/>
      <c r="AA308" s="12"/>
      <c r="AB308" s="13"/>
      <c r="AC308" s="12"/>
      <c r="AD308" s="13"/>
      <c r="AE308" s="12"/>
      <c r="AF308" s="13"/>
      <c r="AG308" s="12"/>
      <c r="AH308" s="13"/>
      <c r="AI308" s="12"/>
      <c r="AJ308" s="13"/>
      <c r="AK308" s="107"/>
    </row>
    <row r="309" spans="1:37" ht="16.5" customHeight="1" x14ac:dyDescent="0.2">
      <c r="A309" s="6"/>
      <c r="B309" s="135">
        <f t="shared" ref="B309:B345" si="104">B308+1</f>
        <v>2</v>
      </c>
      <c r="C309" s="135">
        <f>'Kelas XI'!C296</f>
        <v>16259</v>
      </c>
      <c r="D309" s="34" t="str">
        <f>'Kelas XI'!D296</f>
        <v>AISHA ANNAFI HARIANI</v>
      </c>
      <c r="E309" s="14"/>
      <c r="F309" s="15"/>
      <c r="G309" s="14"/>
      <c r="H309" s="15"/>
      <c r="I309" s="14"/>
      <c r="J309" s="15"/>
      <c r="K309" s="14"/>
      <c r="L309" s="15"/>
      <c r="M309" s="14"/>
      <c r="N309" s="15"/>
      <c r="O309" s="14"/>
      <c r="P309" s="15"/>
      <c r="Q309" s="14"/>
      <c r="R309" s="15"/>
      <c r="S309" s="14"/>
      <c r="T309" s="15"/>
      <c r="U309" s="14"/>
      <c r="V309" s="15"/>
      <c r="W309" s="14"/>
      <c r="X309" s="15"/>
      <c r="Y309" s="14"/>
      <c r="Z309" s="15"/>
      <c r="AA309" s="14"/>
      <c r="AB309" s="15"/>
      <c r="AC309" s="14"/>
      <c r="AD309" s="15"/>
      <c r="AE309" s="14"/>
      <c r="AF309" s="15"/>
      <c r="AG309" s="14"/>
      <c r="AH309" s="15"/>
      <c r="AI309" s="14"/>
      <c r="AJ309" s="15"/>
      <c r="AK309" s="107"/>
    </row>
    <row r="310" spans="1:37" ht="16.5" customHeight="1" x14ac:dyDescent="0.2">
      <c r="A310" s="6"/>
      <c r="B310" s="135">
        <f t="shared" si="104"/>
        <v>3</v>
      </c>
      <c r="C310" s="135">
        <f>'Kelas XI'!C297</f>
        <v>16261</v>
      </c>
      <c r="D310" s="34" t="str">
        <f>'Kelas XI'!D297</f>
        <v>ALYA JAZILA DHIANINGRUM</v>
      </c>
      <c r="E310" s="14"/>
      <c r="F310" s="15"/>
      <c r="G310" s="14"/>
      <c r="H310" s="15"/>
      <c r="I310" s="14"/>
      <c r="J310" s="15"/>
      <c r="K310" s="14"/>
      <c r="L310" s="15"/>
      <c r="M310" s="14"/>
      <c r="N310" s="15"/>
      <c r="O310" s="14"/>
      <c r="P310" s="15"/>
      <c r="Q310" s="14"/>
      <c r="R310" s="15"/>
      <c r="S310" s="14"/>
      <c r="T310" s="15"/>
      <c r="U310" s="14"/>
      <c r="V310" s="15"/>
      <c r="W310" s="14"/>
      <c r="X310" s="15"/>
      <c r="Y310" s="14"/>
      <c r="Z310" s="15"/>
      <c r="AA310" s="14"/>
      <c r="AB310" s="15"/>
      <c r="AC310" s="14"/>
      <c r="AD310" s="15"/>
      <c r="AE310" s="14"/>
      <c r="AF310" s="15"/>
      <c r="AG310" s="14"/>
      <c r="AH310" s="15"/>
      <c r="AI310" s="14"/>
      <c r="AJ310" s="15"/>
      <c r="AK310" s="107"/>
    </row>
    <row r="311" spans="1:37" ht="16.5" customHeight="1" x14ac:dyDescent="0.2">
      <c r="A311" s="6"/>
      <c r="B311" s="135">
        <f t="shared" si="104"/>
        <v>4</v>
      </c>
      <c r="C311" s="135">
        <f>'Kelas XI'!C298</f>
        <v>16262</v>
      </c>
      <c r="D311" s="34" t="str">
        <f>'Kelas XI'!D298</f>
        <v>ANA NAILA RIF'ATIN NISA</v>
      </c>
      <c r="E311" s="14"/>
      <c r="F311" s="15"/>
      <c r="G311" s="14"/>
      <c r="H311" s="15"/>
      <c r="I311" s="14"/>
      <c r="J311" s="15"/>
      <c r="K311" s="14"/>
      <c r="L311" s="15"/>
      <c r="M311" s="14"/>
      <c r="N311" s="15"/>
      <c r="O311" s="14"/>
      <c r="P311" s="15"/>
      <c r="Q311" s="14"/>
      <c r="R311" s="15"/>
      <c r="S311" s="14"/>
      <c r="T311" s="15"/>
      <c r="U311" s="14"/>
      <c r="V311" s="15"/>
      <c r="W311" s="14"/>
      <c r="X311" s="15"/>
      <c r="Y311" s="14"/>
      <c r="Z311" s="15"/>
      <c r="AA311" s="14"/>
      <c r="AB311" s="15"/>
      <c r="AC311" s="14"/>
      <c r="AD311" s="15"/>
      <c r="AE311" s="14"/>
      <c r="AF311" s="15"/>
      <c r="AG311" s="14"/>
      <c r="AH311" s="15"/>
      <c r="AI311" s="14"/>
      <c r="AJ311" s="15"/>
      <c r="AK311" s="107"/>
    </row>
    <row r="312" spans="1:37" ht="16.5" customHeight="1" x14ac:dyDescent="0.2">
      <c r="A312" s="6"/>
      <c r="B312" s="135">
        <f t="shared" si="104"/>
        <v>5</v>
      </c>
      <c r="C312" s="135">
        <f>'Kelas XI'!C299</f>
        <v>16263</v>
      </c>
      <c r="D312" s="34" t="str">
        <f>'Kelas XI'!D299</f>
        <v>ANDINI ZULFA</v>
      </c>
      <c r="E312" s="14"/>
      <c r="F312" s="15"/>
      <c r="G312" s="14"/>
      <c r="H312" s="15"/>
      <c r="I312" s="14"/>
      <c r="J312" s="15"/>
      <c r="K312" s="14"/>
      <c r="L312" s="15"/>
      <c r="M312" s="14"/>
      <c r="N312" s="15"/>
      <c r="O312" s="14"/>
      <c r="P312" s="15"/>
      <c r="Q312" s="14"/>
      <c r="R312" s="15"/>
      <c r="S312" s="14"/>
      <c r="T312" s="15"/>
      <c r="U312" s="14"/>
      <c r="V312" s="15"/>
      <c r="W312" s="14"/>
      <c r="X312" s="15"/>
      <c r="Y312" s="14"/>
      <c r="Z312" s="15"/>
      <c r="AA312" s="14"/>
      <c r="AB312" s="15"/>
      <c r="AC312" s="14"/>
      <c r="AD312" s="15"/>
      <c r="AE312" s="14"/>
      <c r="AF312" s="15"/>
      <c r="AG312" s="14"/>
      <c r="AH312" s="15"/>
      <c r="AI312" s="14"/>
      <c r="AJ312" s="15"/>
      <c r="AK312" s="107"/>
    </row>
    <row r="313" spans="1:37" ht="16.5" customHeight="1" x14ac:dyDescent="0.2">
      <c r="A313" s="6"/>
      <c r="B313" s="135">
        <f t="shared" si="104"/>
        <v>6</v>
      </c>
      <c r="C313" s="135">
        <f>'Kelas XI'!C300</f>
        <v>16293</v>
      </c>
      <c r="D313" s="34" t="str">
        <f>'Kelas XI'!D300</f>
        <v>ANINDYA SALSABILA</v>
      </c>
      <c r="E313" s="14"/>
      <c r="F313" s="15"/>
      <c r="G313" s="14"/>
      <c r="H313" s="15"/>
      <c r="I313" s="14"/>
      <c r="J313" s="15"/>
      <c r="K313" s="14"/>
      <c r="L313" s="15"/>
      <c r="M313" s="14"/>
      <c r="N313" s="15"/>
      <c r="O313" s="14"/>
      <c r="P313" s="15"/>
      <c r="Q313" s="14"/>
      <c r="R313" s="15"/>
      <c r="S313" s="14"/>
      <c r="T313" s="15"/>
      <c r="U313" s="14"/>
      <c r="V313" s="15"/>
      <c r="W313" s="14"/>
      <c r="X313" s="15"/>
      <c r="Y313" s="14"/>
      <c r="Z313" s="15"/>
      <c r="AA313" s="14"/>
      <c r="AB313" s="15"/>
      <c r="AC313" s="14"/>
      <c r="AD313" s="15"/>
      <c r="AE313" s="14"/>
      <c r="AF313" s="15"/>
      <c r="AG313" s="14"/>
      <c r="AH313" s="15"/>
      <c r="AI313" s="14"/>
      <c r="AJ313" s="15"/>
      <c r="AK313" s="107"/>
    </row>
    <row r="314" spans="1:37" ht="16.5" customHeight="1" x14ac:dyDescent="0.2">
      <c r="A314" s="6"/>
      <c r="B314" s="135">
        <f t="shared" si="104"/>
        <v>7</v>
      </c>
      <c r="C314" s="135">
        <f>'Kelas XI'!C301</f>
        <v>16294</v>
      </c>
      <c r="D314" s="34" t="str">
        <f>'Kelas XI'!D301</f>
        <v>ASYIRA ROSYIFA ROSYIDIN</v>
      </c>
      <c r="E314" s="14"/>
      <c r="F314" s="15"/>
      <c r="G314" s="14"/>
      <c r="H314" s="15"/>
      <c r="I314" s="14"/>
      <c r="J314" s="15"/>
      <c r="K314" s="14"/>
      <c r="L314" s="15"/>
      <c r="M314" s="14"/>
      <c r="N314" s="15"/>
      <c r="O314" s="14"/>
      <c r="P314" s="15"/>
      <c r="Q314" s="14"/>
      <c r="R314" s="15"/>
      <c r="S314" s="14"/>
      <c r="T314" s="15"/>
      <c r="U314" s="14"/>
      <c r="V314" s="15"/>
      <c r="W314" s="14"/>
      <c r="X314" s="15"/>
      <c r="Y314" s="14"/>
      <c r="Z314" s="15"/>
      <c r="AA314" s="14"/>
      <c r="AB314" s="15"/>
      <c r="AC314" s="14"/>
      <c r="AD314" s="15"/>
      <c r="AE314" s="14"/>
      <c r="AF314" s="15"/>
      <c r="AG314" s="14"/>
      <c r="AH314" s="15"/>
      <c r="AI314" s="14"/>
      <c r="AJ314" s="15"/>
      <c r="AK314" s="107"/>
    </row>
    <row r="315" spans="1:37" ht="16.5" customHeight="1" x14ac:dyDescent="0.2">
      <c r="A315" s="6"/>
      <c r="B315" s="135">
        <f t="shared" si="104"/>
        <v>8</v>
      </c>
      <c r="C315" s="135">
        <f>'Kelas XI'!C302</f>
        <v>16355</v>
      </c>
      <c r="D315" s="34" t="str">
        <f>'Kelas XI'!D302</f>
        <v>AULIA AISYAH ISMIRANDA</v>
      </c>
      <c r="E315" s="14"/>
      <c r="F315" s="15"/>
      <c r="G315" s="14"/>
      <c r="H315" s="15"/>
      <c r="I315" s="14"/>
      <c r="J315" s="15"/>
      <c r="K315" s="14"/>
      <c r="L315" s="15"/>
      <c r="M315" s="14"/>
      <c r="N315" s="15"/>
      <c r="O315" s="14"/>
      <c r="P315" s="15"/>
      <c r="Q315" s="14"/>
      <c r="R315" s="15"/>
      <c r="S315" s="14"/>
      <c r="T315" s="15"/>
      <c r="U315" s="14"/>
      <c r="V315" s="15"/>
      <c r="W315" s="14"/>
      <c r="X315" s="15"/>
      <c r="Y315" s="14"/>
      <c r="Z315" s="15"/>
      <c r="AA315" s="14"/>
      <c r="AB315" s="15"/>
      <c r="AC315" s="14"/>
      <c r="AD315" s="15"/>
      <c r="AE315" s="14"/>
      <c r="AF315" s="15"/>
      <c r="AG315" s="14"/>
      <c r="AH315" s="15"/>
      <c r="AI315" s="14"/>
      <c r="AJ315" s="15"/>
      <c r="AK315" s="107"/>
    </row>
    <row r="316" spans="1:37" ht="16.5" customHeight="1" x14ac:dyDescent="0.2">
      <c r="A316" s="6"/>
      <c r="B316" s="135">
        <f t="shared" si="104"/>
        <v>9</v>
      </c>
      <c r="C316" s="135">
        <f>'Kelas XI'!C303</f>
        <v>16295</v>
      </c>
      <c r="D316" s="34" t="str">
        <f>'Kelas XI'!D303</f>
        <v>BERKA HIVRIA YOSTIAS</v>
      </c>
      <c r="E316" s="14"/>
      <c r="F316" s="15"/>
      <c r="G316" s="14"/>
      <c r="H316" s="15"/>
      <c r="I316" s="14"/>
      <c r="J316" s="15"/>
      <c r="K316" s="14"/>
      <c r="L316" s="15"/>
      <c r="M316" s="14"/>
      <c r="N316" s="15"/>
      <c r="O316" s="14"/>
      <c r="P316" s="15"/>
      <c r="Q316" s="14"/>
      <c r="R316" s="15"/>
      <c r="S316" s="14"/>
      <c r="T316" s="15"/>
      <c r="U316" s="14"/>
      <c r="V316" s="15"/>
      <c r="W316" s="14"/>
      <c r="X316" s="15"/>
      <c r="Y316" s="14"/>
      <c r="Z316" s="15"/>
      <c r="AA316" s="14"/>
      <c r="AB316" s="15"/>
      <c r="AC316" s="14"/>
      <c r="AD316" s="15"/>
      <c r="AE316" s="14"/>
      <c r="AF316" s="15"/>
      <c r="AG316" s="14"/>
      <c r="AH316" s="15"/>
      <c r="AI316" s="14"/>
      <c r="AJ316" s="15"/>
      <c r="AK316" s="107"/>
    </row>
    <row r="317" spans="1:37" ht="16.5" customHeight="1" x14ac:dyDescent="0.2">
      <c r="A317" s="6"/>
      <c r="B317" s="135">
        <f t="shared" si="104"/>
        <v>10</v>
      </c>
      <c r="C317" s="135">
        <f>'Kelas XI'!C304</f>
        <v>16297</v>
      </c>
      <c r="D317" s="34" t="str">
        <f>'Kelas XI'!D304</f>
        <v>DEVI VADILLLAH ARROSIDAH</v>
      </c>
      <c r="E317" s="14"/>
      <c r="F317" s="15"/>
      <c r="G317" s="14"/>
      <c r="H317" s="15"/>
      <c r="I317" s="14"/>
      <c r="J317" s="15"/>
      <c r="K317" s="14"/>
      <c r="L317" s="15"/>
      <c r="M317" s="14"/>
      <c r="N317" s="15"/>
      <c r="O317" s="14"/>
      <c r="P317" s="15"/>
      <c r="Q317" s="14"/>
      <c r="R317" s="15"/>
      <c r="S317" s="14"/>
      <c r="T317" s="15"/>
      <c r="U317" s="14"/>
      <c r="V317" s="15"/>
      <c r="W317" s="14"/>
      <c r="X317" s="15"/>
      <c r="Y317" s="14"/>
      <c r="Z317" s="15"/>
      <c r="AA317" s="14"/>
      <c r="AB317" s="15"/>
      <c r="AC317" s="14"/>
      <c r="AD317" s="15"/>
      <c r="AE317" s="14"/>
      <c r="AF317" s="15"/>
      <c r="AG317" s="14"/>
      <c r="AH317" s="15"/>
      <c r="AI317" s="14"/>
      <c r="AJ317" s="15"/>
      <c r="AK317" s="107"/>
    </row>
    <row r="318" spans="1:37" ht="16.5" customHeight="1" x14ac:dyDescent="0.2">
      <c r="A318" s="6"/>
      <c r="B318" s="135">
        <f t="shared" si="104"/>
        <v>11</v>
      </c>
      <c r="C318" s="135">
        <f>'Kelas XI'!C305</f>
        <v>16298</v>
      </c>
      <c r="D318" s="34" t="str">
        <f>'Kelas XI'!D305</f>
        <v>DHEA AMMARA ANINDHITA AZ</v>
      </c>
      <c r="E318" s="14"/>
      <c r="F318" s="15"/>
      <c r="G318" s="14"/>
      <c r="H318" s="15"/>
      <c r="I318" s="14"/>
      <c r="J318" s="15"/>
      <c r="K318" s="14"/>
      <c r="L318" s="15"/>
      <c r="M318" s="14"/>
      <c r="N318" s="15"/>
      <c r="O318" s="14"/>
      <c r="P318" s="15"/>
      <c r="Q318" s="14"/>
      <c r="R318" s="15"/>
      <c r="S318" s="14"/>
      <c r="T318" s="15"/>
      <c r="U318" s="14"/>
      <c r="V318" s="15"/>
      <c r="W318" s="14"/>
      <c r="X318" s="15"/>
      <c r="Y318" s="14"/>
      <c r="Z318" s="15"/>
      <c r="AA318" s="14"/>
      <c r="AB318" s="15"/>
      <c r="AC318" s="14"/>
      <c r="AD318" s="15"/>
      <c r="AE318" s="14"/>
      <c r="AF318" s="15"/>
      <c r="AG318" s="14"/>
      <c r="AH318" s="15"/>
      <c r="AI318" s="14"/>
      <c r="AJ318" s="15"/>
      <c r="AK318" s="107"/>
    </row>
    <row r="319" spans="1:37" ht="16.5" customHeight="1" x14ac:dyDescent="0.2">
      <c r="A319" s="6"/>
      <c r="B319" s="135">
        <f t="shared" si="104"/>
        <v>12</v>
      </c>
      <c r="C319" s="135">
        <f>'Kelas XI'!C306</f>
        <v>16330</v>
      </c>
      <c r="D319" s="34" t="str">
        <f>'Kelas XI'!D306</f>
        <v>DINA AZLINA</v>
      </c>
      <c r="E319" s="14"/>
      <c r="F319" s="15"/>
      <c r="G319" s="14"/>
      <c r="H319" s="15"/>
      <c r="I319" s="14"/>
      <c r="J319" s="15"/>
      <c r="K319" s="14"/>
      <c r="L319" s="15"/>
      <c r="M319" s="14"/>
      <c r="N319" s="15"/>
      <c r="O319" s="14"/>
      <c r="P319" s="15"/>
      <c r="Q319" s="14"/>
      <c r="R319" s="15"/>
      <c r="S319" s="14"/>
      <c r="T319" s="15"/>
      <c r="U319" s="14"/>
      <c r="V319" s="15"/>
      <c r="W319" s="14"/>
      <c r="X319" s="15"/>
      <c r="Y319" s="14"/>
      <c r="Z319" s="15"/>
      <c r="AA319" s="14"/>
      <c r="AB319" s="15"/>
      <c r="AC319" s="14"/>
      <c r="AD319" s="15"/>
      <c r="AE319" s="14"/>
      <c r="AF319" s="15"/>
      <c r="AG319" s="14"/>
      <c r="AH319" s="15"/>
      <c r="AI319" s="14"/>
      <c r="AJ319" s="15"/>
      <c r="AK319" s="107"/>
    </row>
    <row r="320" spans="1:37" ht="16.5" customHeight="1" x14ac:dyDescent="0.2">
      <c r="A320" s="6"/>
      <c r="B320" s="135">
        <f t="shared" si="104"/>
        <v>13</v>
      </c>
      <c r="C320" s="135">
        <f>'Kelas XI'!C307</f>
        <v>16334</v>
      </c>
      <c r="D320" s="34" t="str">
        <f>'Kelas XI'!D307</f>
        <v>EMILIA JIHAN GHAIDA ATHAYA</v>
      </c>
      <c r="E320" s="14"/>
      <c r="F320" s="15"/>
      <c r="G320" s="14"/>
      <c r="H320" s="15"/>
      <c r="I320" s="14"/>
      <c r="J320" s="15"/>
      <c r="K320" s="14"/>
      <c r="L320" s="15"/>
      <c r="M320" s="14"/>
      <c r="N320" s="15"/>
      <c r="O320" s="14"/>
      <c r="P320" s="15"/>
      <c r="Q320" s="14"/>
      <c r="R320" s="15"/>
      <c r="S320" s="14"/>
      <c r="T320" s="15"/>
      <c r="U320" s="14"/>
      <c r="V320" s="15"/>
      <c r="W320" s="14"/>
      <c r="X320" s="15"/>
      <c r="Y320" s="14"/>
      <c r="Z320" s="15"/>
      <c r="AA320" s="14"/>
      <c r="AB320" s="15"/>
      <c r="AC320" s="14"/>
      <c r="AD320" s="15"/>
      <c r="AE320" s="14"/>
      <c r="AF320" s="15"/>
      <c r="AG320" s="14"/>
      <c r="AH320" s="15"/>
      <c r="AI320" s="14"/>
      <c r="AJ320" s="15"/>
      <c r="AK320" s="107"/>
    </row>
    <row r="321" spans="1:37" ht="16.5" customHeight="1" x14ac:dyDescent="0.2">
      <c r="A321" s="6"/>
      <c r="B321" s="135">
        <f t="shared" si="104"/>
        <v>14</v>
      </c>
      <c r="C321" s="135">
        <f>'Kelas XI'!C308</f>
        <v>16337</v>
      </c>
      <c r="D321" s="34" t="str">
        <f>'Kelas XI'!D308</f>
        <v>FESSY MAFTUHA RIFA'I</v>
      </c>
      <c r="E321" s="14"/>
      <c r="F321" s="15"/>
      <c r="G321" s="14"/>
      <c r="H321" s="15"/>
      <c r="I321" s="14"/>
      <c r="J321" s="15"/>
      <c r="K321" s="14"/>
      <c r="L321" s="15"/>
      <c r="M321" s="14"/>
      <c r="N321" s="15"/>
      <c r="O321" s="14"/>
      <c r="P321" s="15"/>
      <c r="Q321" s="14"/>
      <c r="R321" s="15"/>
      <c r="S321" s="14"/>
      <c r="T321" s="15"/>
      <c r="U321" s="14"/>
      <c r="V321" s="15"/>
      <c r="W321" s="14"/>
      <c r="X321" s="15"/>
      <c r="Y321" s="14"/>
      <c r="Z321" s="15"/>
      <c r="AA321" s="14"/>
      <c r="AB321" s="15"/>
      <c r="AC321" s="14"/>
      <c r="AD321" s="15"/>
      <c r="AE321" s="14"/>
      <c r="AF321" s="15"/>
      <c r="AG321" s="14"/>
      <c r="AH321" s="15"/>
      <c r="AI321" s="14"/>
      <c r="AJ321" s="15"/>
      <c r="AK321" s="107"/>
    </row>
    <row r="322" spans="1:37" ht="16.5" customHeight="1" x14ac:dyDescent="0.2">
      <c r="A322" s="6"/>
      <c r="B322" s="135">
        <f t="shared" si="104"/>
        <v>15</v>
      </c>
      <c r="C322" s="135">
        <f>'Kelas XI'!C309</f>
        <v>16338</v>
      </c>
      <c r="D322" s="34" t="str">
        <f>'Kelas XI'!D309</f>
        <v>GALUH PUTRI MAHARANI</v>
      </c>
      <c r="E322" s="14"/>
      <c r="F322" s="15"/>
      <c r="G322" s="14"/>
      <c r="H322" s="15"/>
      <c r="I322" s="14"/>
      <c r="J322" s="15"/>
      <c r="K322" s="14"/>
      <c r="L322" s="15"/>
      <c r="M322" s="14"/>
      <c r="N322" s="15"/>
      <c r="O322" s="14"/>
      <c r="P322" s="15"/>
      <c r="Q322" s="14"/>
      <c r="R322" s="15"/>
      <c r="S322" s="14"/>
      <c r="T322" s="15"/>
      <c r="U322" s="14"/>
      <c r="V322" s="15"/>
      <c r="W322" s="14"/>
      <c r="X322" s="15"/>
      <c r="Y322" s="14"/>
      <c r="Z322" s="15"/>
      <c r="AA322" s="14"/>
      <c r="AB322" s="15"/>
      <c r="AC322" s="14"/>
      <c r="AD322" s="15"/>
      <c r="AE322" s="14"/>
      <c r="AF322" s="15"/>
      <c r="AG322" s="14"/>
      <c r="AH322" s="15"/>
      <c r="AI322" s="14"/>
      <c r="AJ322" s="15"/>
      <c r="AK322" s="107"/>
    </row>
    <row r="323" spans="1:37" ht="16.5" customHeight="1" x14ac:dyDescent="0.2">
      <c r="A323" s="6"/>
      <c r="B323" s="135">
        <f t="shared" si="104"/>
        <v>16</v>
      </c>
      <c r="C323" s="135">
        <f>'Kelas XI'!C310</f>
        <v>16270</v>
      </c>
      <c r="D323" s="34" t="str">
        <f>'Kelas XI'!D310</f>
        <v>KARINA AYU MUTHI MAIMUNAH</v>
      </c>
      <c r="E323" s="14"/>
      <c r="F323" s="15"/>
      <c r="G323" s="14"/>
      <c r="H323" s="15"/>
      <c r="I323" s="14"/>
      <c r="J323" s="15"/>
      <c r="K323" s="14"/>
      <c r="L323" s="15"/>
      <c r="M323" s="14"/>
      <c r="N323" s="15"/>
      <c r="O323" s="14"/>
      <c r="P323" s="15"/>
      <c r="Q323" s="14"/>
      <c r="R323" s="15"/>
      <c r="S323" s="14"/>
      <c r="T323" s="15"/>
      <c r="U323" s="14"/>
      <c r="V323" s="15"/>
      <c r="W323" s="14"/>
      <c r="X323" s="15"/>
      <c r="Y323" s="14"/>
      <c r="Z323" s="15"/>
      <c r="AA323" s="14"/>
      <c r="AB323" s="15"/>
      <c r="AC323" s="14"/>
      <c r="AD323" s="15"/>
      <c r="AE323" s="14"/>
      <c r="AF323" s="15"/>
      <c r="AG323" s="14"/>
      <c r="AH323" s="15"/>
      <c r="AI323" s="14"/>
      <c r="AJ323" s="15"/>
      <c r="AK323" s="107"/>
    </row>
    <row r="324" spans="1:37" ht="16.5" customHeight="1" x14ac:dyDescent="0.2">
      <c r="A324" s="6"/>
      <c r="B324" s="135">
        <f t="shared" si="104"/>
        <v>17</v>
      </c>
      <c r="C324" s="135">
        <f>'Kelas XI'!C311</f>
        <v>16306</v>
      </c>
      <c r="D324" s="34" t="str">
        <f>'Kelas XI'!D311</f>
        <v>KHUMAIRO AULIYA UDDINI</v>
      </c>
      <c r="E324" s="14"/>
      <c r="F324" s="15"/>
      <c r="G324" s="14"/>
      <c r="H324" s="15"/>
      <c r="I324" s="14"/>
      <c r="J324" s="15"/>
      <c r="K324" s="14"/>
      <c r="L324" s="15"/>
      <c r="M324" s="14"/>
      <c r="N324" s="15"/>
      <c r="O324" s="14"/>
      <c r="P324" s="15"/>
      <c r="Q324" s="14"/>
      <c r="R324" s="15"/>
      <c r="S324" s="14"/>
      <c r="T324" s="15"/>
      <c r="U324" s="14"/>
      <c r="V324" s="15"/>
      <c r="W324" s="14"/>
      <c r="X324" s="15"/>
      <c r="Y324" s="14"/>
      <c r="Z324" s="15"/>
      <c r="AA324" s="14"/>
      <c r="AB324" s="15"/>
      <c r="AC324" s="14"/>
      <c r="AD324" s="15"/>
      <c r="AE324" s="14"/>
      <c r="AF324" s="15"/>
      <c r="AG324" s="14"/>
      <c r="AH324" s="15"/>
      <c r="AI324" s="14"/>
      <c r="AJ324" s="15"/>
      <c r="AK324" s="107"/>
    </row>
    <row r="325" spans="1:37" ht="16.5" customHeight="1" x14ac:dyDescent="0.2">
      <c r="A325" s="6"/>
      <c r="B325" s="135">
        <f t="shared" si="104"/>
        <v>18</v>
      </c>
      <c r="C325" s="135">
        <f>'Kelas XI'!C312</f>
        <v>16364</v>
      </c>
      <c r="D325" s="34" t="str">
        <f>'Kelas XI'!D312</f>
        <v>NAJMA ALYA SHOFA</v>
      </c>
      <c r="E325" s="14"/>
      <c r="F325" s="15"/>
      <c r="G325" s="14"/>
      <c r="H325" s="15"/>
      <c r="I325" s="14"/>
      <c r="J325" s="15"/>
      <c r="K325" s="14"/>
      <c r="L325" s="15"/>
      <c r="M325" s="14"/>
      <c r="N325" s="15"/>
      <c r="O325" s="14"/>
      <c r="P325" s="15"/>
      <c r="Q325" s="14"/>
      <c r="R325" s="15"/>
      <c r="S325" s="14"/>
      <c r="T325" s="15"/>
      <c r="U325" s="14"/>
      <c r="V325" s="15"/>
      <c r="W325" s="14"/>
      <c r="X325" s="15"/>
      <c r="Y325" s="14"/>
      <c r="Z325" s="15"/>
      <c r="AA325" s="14"/>
      <c r="AB325" s="15"/>
      <c r="AC325" s="14"/>
      <c r="AD325" s="15"/>
      <c r="AE325" s="14"/>
      <c r="AF325" s="15"/>
      <c r="AG325" s="14"/>
      <c r="AH325" s="15"/>
      <c r="AI325" s="14"/>
      <c r="AJ325" s="15"/>
      <c r="AK325" s="107"/>
    </row>
    <row r="326" spans="1:37" ht="16.5" customHeight="1" x14ac:dyDescent="0.2">
      <c r="A326" s="6"/>
      <c r="B326" s="135">
        <f t="shared" si="104"/>
        <v>19</v>
      </c>
      <c r="C326" s="135">
        <f>'Kelas XI'!C313</f>
        <v>16343</v>
      </c>
      <c r="D326" s="34" t="str">
        <f>'Kelas XI'!D313</f>
        <v>NAJMA MAZIDAH PUTRI BUDIANTO</v>
      </c>
      <c r="E326" s="14"/>
      <c r="F326" s="15"/>
      <c r="G326" s="14"/>
      <c r="H326" s="15"/>
      <c r="I326" s="14"/>
      <c r="J326" s="15"/>
      <c r="K326" s="14"/>
      <c r="L326" s="15"/>
      <c r="M326" s="14"/>
      <c r="N326" s="15"/>
      <c r="O326" s="14"/>
      <c r="P326" s="15"/>
      <c r="Q326" s="14"/>
      <c r="R326" s="15"/>
      <c r="S326" s="14"/>
      <c r="T326" s="15"/>
      <c r="U326" s="14"/>
      <c r="V326" s="15"/>
      <c r="W326" s="14"/>
      <c r="X326" s="15"/>
      <c r="Y326" s="14"/>
      <c r="Z326" s="15"/>
      <c r="AA326" s="14"/>
      <c r="AB326" s="15"/>
      <c r="AC326" s="14"/>
      <c r="AD326" s="15"/>
      <c r="AE326" s="14"/>
      <c r="AF326" s="15"/>
      <c r="AG326" s="14"/>
      <c r="AH326" s="15"/>
      <c r="AI326" s="14"/>
      <c r="AJ326" s="15"/>
      <c r="AK326" s="107"/>
    </row>
    <row r="327" spans="1:37" ht="16.5" customHeight="1" x14ac:dyDescent="0.2">
      <c r="A327" s="6"/>
      <c r="B327" s="135">
        <f t="shared" si="104"/>
        <v>20</v>
      </c>
      <c r="C327" s="135">
        <f>'Kelas XI'!C314</f>
        <v>16277</v>
      </c>
      <c r="D327" s="34" t="str">
        <f>'Kelas XI'!D314</f>
        <v>NANDA APTA ZAIN</v>
      </c>
      <c r="E327" s="14"/>
      <c r="F327" s="15"/>
      <c r="G327" s="14"/>
      <c r="H327" s="15"/>
      <c r="I327" s="14"/>
      <c r="J327" s="15"/>
      <c r="K327" s="14"/>
      <c r="L327" s="15"/>
      <c r="M327" s="14"/>
      <c r="N327" s="15"/>
      <c r="O327" s="14"/>
      <c r="P327" s="15"/>
      <c r="Q327" s="14"/>
      <c r="R327" s="15"/>
      <c r="S327" s="14"/>
      <c r="T327" s="15"/>
      <c r="U327" s="14"/>
      <c r="V327" s="15"/>
      <c r="W327" s="14"/>
      <c r="X327" s="15"/>
      <c r="Y327" s="14"/>
      <c r="Z327" s="15"/>
      <c r="AA327" s="14"/>
      <c r="AB327" s="15"/>
      <c r="AC327" s="14"/>
      <c r="AD327" s="15"/>
      <c r="AE327" s="14"/>
      <c r="AF327" s="15"/>
      <c r="AG327" s="14"/>
      <c r="AH327" s="15"/>
      <c r="AI327" s="14"/>
      <c r="AJ327" s="15"/>
      <c r="AK327" s="107"/>
    </row>
    <row r="328" spans="1:37" ht="16.5" customHeight="1" x14ac:dyDescent="0.2">
      <c r="A328" s="6"/>
      <c r="B328" s="135">
        <f t="shared" si="104"/>
        <v>21</v>
      </c>
      <c r="C328" s="135">
        <f>'Kelas XI'!C315</f>
        <v>16366</v>
      </c>
      <c r="D328" s="34" t="str">
        <f>'Kelas XI'!D315</f>
        <v>NASYFA SHAFURA AQNI AL FATAH</v>
      </c>
      <c r="E328" s="14"/>
      <c r="F328" s="15"/>
      <c r="G328" s="14"/>
      <c r="H328" s="15"/>
      <c r="I328" s="14"/>
      <c r="J328" s="15"/>
      <c r="K328" s="14"/>
      <c r="L328" s="15"/>
      <c r="M328" s="14"/>
      <c r="N328" s="15"/>
      <c r="O328" s="14"/>
      <c r="P328" s="15"/>
      <c r="Q328" s="14"/>
      <c r="R328" s="15"/>
      <c r="S328" s="14"/>
      <c r="T328" s="15"/>
      <c r="U328" s="14"/>
      <c r="V328" s="15"/>
      <c r="W328" s="14"/>
      <c r="X328" s="15"/>
      <c r="Y328" s="14"/>
      <c r="Z328" s="15"/>
      <c r="AA328" s="14"/>
      <c r="AB328" s="15"/>
      <c r="AC328" s="14"/>
      <c r="AD328" s="15"/>
      <c r="AE328" s="14"/>
      <c r="AF328" s="15"/>
      <c r="AG328" s="14"/>
      <c r="AH328" s="15"/>
      <c r="AI328" s="14"/>
      <c r="AJ328" s="15"/>
      <c r="AK328" s="107"/>
    </row>
    <row r="329" spans="1:37" ht="16.5" customHeight="1" x14ac:dyDescent="0.2">
      <c r="A329" s="6"/>
      <c r="B329" s="135">
        <f t="shared" si="104"/>
        <v>22</v>
      </c>
      <c r="C329" s="135">
        <f>'Kelas XI'!C316</f>
        <v>16279</v>
      </c>
      <c r="D329" s="34" t="str">
        <f>'Kelas XI'!D316</f>
        <v>NOVIA WIDIYASARI</v>
      </c>
      <c r="E329" s="14"/>
      <c r="F329" s="15"/>
      <c r="G329" s="14"/>
      <c r="H329" s="15"/>
      <c r="I329" s="14"/>
      <c r="J329" s="15"/>
      <c r="K329" s="14"/>
      <c r="L329" s="15"/>
      <c r="M329" s="14"/>
      <c r="N329" s="15"/>
      <c r="O329" s="14"/>
      <c r="P329" s="15"/>
      <c r="Q329" s="14"/>
      <c r="R329" s="15"/>
      <c r="S329" s="14"/>
      <c r="T329" s="15"/>
      <c r="U329" s="14"/>
      <c r="V329" s="15"/>
      <c r="W329" s="14"/>
      <c r="X329" s="15"/>
      <c r="Y329" s="14"/>
      <c r="Z329" s="15"/>
      <c r="AA329" s="14"/>
      <c r="AB329" s="15"/>
      <c r="AC329" s="14"/>
      <c r="AD329" s="15"/>
      <c r="AE329" s="14"/>
      <c r="AF329" s="15"/>
      <c r="AG329" s="14"/>
      <c r="AH329" s="15"/>
      <c r="AI329" s="14"/>
      <c r="AJ329" s="15"/>
      <c r="AK329" s="107"/>
    </row>
    <row r="330" spans="1:37" ht="16.5" customHeight="1" x14ac:dyDescent="0.2">
      <c r="A330" s="6"/>
      <c r="B330" s="135">
        <f t="shared" si="104"/>
        <v>23</v>
      </c>
      <c r="C330" s="135">
        <f>'Kelas XI'!C317</f>
        <v>16280</v>
      </c>
      <c r="D330" s="34" t="str">
        <f>'Kelas XI'!D317</f>
        <v>NURUL FATIMAH AZHARA</v>
      </c>
      <c r="E330" s="14"/>
      <c r="F330" s="15"/>
      <c r="G330" s="14"/>
      <c r="H330" s="15"/>
      <c r="I330" s="14"/>
      <c r="J330" s="15"/>
      <c r="K330" s="14"/>
      <c r="L330" s="15"/>
      <c r="M330" s="14"/>
      <c r="N330" s="15"/>
      <c r="O330" s="14"/>
      <c r="P330" s="15"/>
      <c r="Q330" s="14"/>
      <c r="R330" s="15"/>
      <c r="S330" s="14"/>
      <c r="T330" s="15"/>
      <c r="U330" s="14"/>
      <c r="V330" s="15"/>
      <c r="W330" s="14"/>
      <c r="X330" s="15"/>
      <c r="Y330" s="14"/>
      <c r="Z330" s="15"/>
      <c r="AA330" s="14"/>
      <c r="AB330" s="15"/>
      <c r="AC330" s="14"/>
      <c r="AD330" s="15"/>
      <c r="AE330" s="14"/>
      <c r="AF330" s="15"/>
      <c r="AG330" s="14"/>
      <c r="AH330" s="15"/>
      <c r="AI330" s="14"/>
      <c r="AJ330" s="15"/>
      <c r="AK330" s="107"/>
    </row>
    <row r="331" spans="1:37" ht="16.5" customHeight="1" x14ac:dyDescent="0.2">
      <c r="A331" s="6"/>
      <c r="B331" s="135">
        <f t="shared" si="104"/>
        <v>24</v>
      </c>
      <c r="C331" s="135">
        <f>'Kelas XI'!C318</f>
        <v>16314</v>
      </c>
      <c r="D331" s="34" t="str">
        <f>'Kelas XI'!D318</f>
        <v>REZKIA AL MEISYA DEVIAN</v>
      </c>
      <c r="E331" s="14"/>
      <c r="F331" s="15"/>
      <c r="G331" s="14"/>
      <c r="H331" s="15"/>
      <c r="I331" s="14"/>
      <c r="J331" s="15"/>
      <c r="K331" s="14"/>
      <c r="L331" s="15"/>
      <c r="M331" s="14"/>
      <c r="N331" s="15"/>
      <c r="O331" s="14"/>
      <c r="P331" s="15"/>
      <c r="Q331" s="14"/>
      <c r="R331" s="15"/>
      <c r="S331" s="14"/>
      <c r="T331" s="15"/>
      <c r="U331" s="14"/>
      <c r="V331" s="15"/>
      <c r="W331" s="14"/>
      <c r="X331" s="15"/>
      <c r="Y331" s="14"/>
      <c r="Z331" s="15"/>
      <c r="AA331" s="14"/>
      <c r="AB331" s="15"/>
      <c r="AC331" s="14"/>
      <c r="AD331" s="15"/>
      <c r="AE331" s="14"/>
      <c r="AF331" s="15"/>
      <c r="AG331" s="14"/>
      <c r="AH331" s="15"/>
      <c r="AI331" s="14"/>
      <c r="AJ331" s="15"/>
      <c r="AK331" s="107"/>
    </row>
    <row r="332" spans="1:37" ht="16.5" customHeight="1" x14ac:dyDescent="0.2">
      <c r="A332" s="6"/>
      <c r="B332" s="135">
        <f t="shared" si="104"/>
        <v>25</v>
      </c>
      <c r="C332" s="135">
        <f>'Kelas XI'!C319</f>
        <v>16371</v>
      </c>
      <c r="D332" s="34" t="str">
        <f>'Kelas XI'!D319</f>
        <v>SALMA HABIBATUL KHANSA</v>
      </c>
      <c r="E332" s="14"/>
      <c r="F332" s="15"/>
      <c r="G332" s="14"/>
      <c r="H332" s="15"/>
      <c r="I332" s="14"/>
      <c r="J332" s="15"/>
      <c r="K332" s="14"/>
      <c r="L332" s="15"/>
      <c r="M332" s="14"/>
      <c r="N332" s="15"/>
      <c r="O332" s="14"/>
      <c r="P332" s="15"/>
      <c r="Q332" s="14"/>
      <c r="R332" s="15"/>
      <c r="S332" s="14"/>
      <c r="T332" s="15"/>
      <c r="U332" s="14"/>
      <c r="V332" s="15"/>
      <c r="W332" s="14"/>
      <c r="X332" s="15"/>
      <c r="Y332" s="14"/>
      <c r="Z332" s="15"/>
      <c r="AA332" s="14"/>
      <c r="AB332" s="15"/>
      <c r="AC332" s="14"/>
      <c r="AD332" s="15"/>
      <c r="AE332" s="14"/>
      <c r="AF332" s="15"/>
      <c r="AG332" s="14"/>
      <c r="AH332" s="15"/>
      <c r="AI332" s="14"/>
      <c r="AJ332" s="15"/>
      <c r="AK332" s="107"/>
    </row>
    <row r="333" spans="1:37" ht="16.5" customHeight="1" x14ac:dyDescent="0.2">
      <c r="A333" s="6"/>
      <c r="B333" s="135">
        <f t="shared" si="104"/>
        <v>26</v>
      </c>
      <c r="C333" s="135">
        <f>'Kelas XI'!C320</f>
        <v>16375</v>
      </c>
      <c r="D333" s="34" t="str">
        <f>'Kelas XI'!D320</f>
        <v>SHAILA ILMA ARIM</v>
      </c>
      <c r="E333" s="14"/>
      <c r="F333" s="15"/>
      <c r="G333" s="14"/>
      <c r="H333" s="15"/>
      <c r="I333" s="14"/>
      <c r="J333" s="15"/>
      <c r="K333" s="14"/>
      <c r="L333" s="15"/>
      <c r="M333" s="14"/>
      <c r="N333" s="15"/>
      <c r="O333" s="14"/>
      <c r="P333" s="15"/>
      <c r="Q333" s="14"/>
      <c r="R333" s="15"/>
      <c r="S333" s="14"/>
      <c r="T333" s="15"/>
      <c r="U333" s="14"/>
      <c r="V333" s="15"/>
      <c r="W333" s="14"/>
      <c r="X333" s="15"/>
      <c r="Y333" s="14"/>
      <c r="Z333" s="15"/>
      <c r="AA333" s="14"/>
      <c r="AB333" s="15"/>
      <c r="AC333" s="14"/>
      <c r="AD333" s="15"/>
      <c r="AE333" s="14"/>
      <c r="AF333" s="15"/>
      <c r="AG333" s="14"/>
      <c r="AH333" s="15"/>
      <c r="AI333" s="14"/>
      <c r="AJ333" s="15"/>
      <c r="AK333" s="107"/>
    </row>
    <row r="334" spans="1:37" ht="16.5" customHeight="1" x14ac:dyDescent="0.2">
      <c r="A334" s="6"/>
      <c r="B334" s="135">
        <f t="shared" si="104"/>
        <v>27</v>
      </c>
      <c r="C334" s="135">
        <f>'Kelas XI'!C321</f>
        <v>16318</v>
      </c>
      <c r="D334" s="34" t="str">
        <f>'Kelas XI'!D321</f>
        <v>SHELLA OLIVIA</v>
      </c>
      <c r="E334" s="14"/>
      <c r="F334" s="15"/>
      <c r="G334" s="14"/>
      <c r="H334" s="15"/>
      <c r="I334" s="14"/>
      <c r="J334" s="15"/>
      <c r="K334" s="14"/>
      <c r="L334" s="15"/>
      <c r="M334" s="14"/>
      <c r="N334" s="15"/>
      <c r="O334" s="14"/>
      <c r="P334" s="15"/>
      <c r="Q334" s="14"/>
      <c r="R334" s="15"/>
      <c r="S334" s="14"/>
      <c r="T334" s="15"/>
      <c r="U334" s="14"/>
      <c r="V334" s="15"/>
      <c r="W334" s="14"/>
      <c r="X334" s="15"/>
      <c r="Y334" s="14"/>
      <c r="Z334" s="15"/>
      <c r="AA334" s="14"/>
      <c r="AB334" s="15"/>
      <c r="AC334" s="14"/>
      <c r="AD334" s="15"/>
      <c r="AE334" s="14"/>
      <c r="AF334" s="15"/>
      <c r="AG334" s="14"/>
      <c r="AH334" s="15"/>
      <c r="AI334" s="14"/>
      <c r="AJ334" s="15"/>
      <c r="AK334" s="107"/>
    </row>
    <row r="335" spans="1:37" ht="16.5" customHeight="1" x14ac:dyDescent="0.2">
      <c r="A335" s="6"/>
      <c r="B335" s="135">
        <f t="shared" si="104"/>
        <v>28</v>
      </c>
      <c r="C335" s="135">
        <f>'Kelas XI'!C322</f>
        <v>16377</v>
      </c>
      <c r="D335" s="34" t="str">
        <f>'Kelas XI'!D322</f>
        <v>WITQIH DUNAM AURAPOFAH</v>
      </c>
      <c r="E335" s="14"/>
      <c r="F335" s="15"/>
      <c r="G335" s="14"/>
      <c r="H335" s="15"/>
      <c r="I335" s="14"/>
      <c r="J335" s="15"/>
      <c r="K335" s="14"/>
      <c r="L335" s="15"/>
      <c r="M335" s="14"/>
      <c r="N335" s="15"/>
      <c r="O335" s="14"/>
      <c r="P335" s="15"/>
      <c r="Q335" s="14"/>
      <c r="R335" s="15"/>
      <c r="S335" s="14"/>
      <c r="T335" s="15"/>
      <c r="U335" s="14"/>
      <c r="V335" s="15"/>
      <c r="W335" s="14"/>
      <c r="X335" s="15"/>
      <c r="Y335" s="14"/>
      <c r="Z335" s="15"/>
      <c r="AA335" s="14"/>
      <c r="AB335" s="15"/>
      <c r="AC335" s="14"/>
      <c r="AD335" s="15"/>
      <c r="AE335" s="14"/>
      <c r="AF335" s="15"/>
      <c r="AG335" s="14"/>
      <c r="AH335" s="15"/>
      <c r="AI335" s="14"/>
      <c r="AJ335" s="15"/>
      <c r="AK335" s="107"/>
    </row>
    <row r="336" spans="1:37" ht="16.5" customHeight="1" x14ac:dyDescent="0.2">
      <c r="A336" s="6"/>
      <c r="B336" s="135">
        <f t="shared" si="104"/>
        <v>29</v>
      </c>
      <c r="C336" s="135">
        <f>'Kelas XI'!C323</f>
        <v>16378</v>
      </c>
      <c r="D336" s="34" t="str">
        <f>'Kelas XI'!D323</f>
        <v>WULAN FIRDASARI</v>
      </c>
      <c r="E336" s="16"/>
      <c r="F336" s="17"/>
      <c r="G336" s="16"/>
      <c r="H336" s="17"/>
      <c r="I336" s="16"/>
      <c r="J336" s="17"/>
      <c r="K336" s="16"/>
      <c r="L336" s="17"/>
      <c r="M336" s="16"/>
      <c r="N336" s="17"/>
      <c r="O336" s="16"/>
      <c r="P336" s="17"/>
      <c r="Q336" s="16"/>
      <c r="R336" s="17"/>
      <c r="S336" s="16"/>
      <c r="T336" s="17"/>
      <c r="U336" s="16"/>
      <c r="V336" s="17"/>
      <c r="W336" s="16"/>
      <c r="X336" s="17"/>
      <c r="Y336" s="16"/>
      <c r="Z336" s="17"/>
      <c r="AA336" s="16"/>
      <c r="AB336" s="17"/>
      <c r="AC336" s="16"/>
      <c r="AD336" s="17"/>
      <c r="AE336" s="16"/>
      <c r="AF336" s="17"/>
      <c r="AG336" s="16"/>
      <c r="AH336" s="17"/>
      <c r="AI336" s="16"/>
      <c r="AJ336" s="17"/>
      <c r="AK336" s="107"/>
    </row>
    <row r="337" spans="1:37" ht="16.5" customHeight="1" x14ac:dyDescent="0.2">
      <c r="A337" s="6"/>
      <c r="B337" s="135">
        <f t="shared" si="104"/>
        <v>30</v>
      </c>
      <c r="C337" s="135">
        <f>'Kelas XI'!C324</f>
        <v>16289</v>
      </c>
      <c r="D337" s="34" t="str">
        <f>'Kelas XI'!D324</f>
        <v>ZAHRA AZ ZAHRANI</v>
      </c>
      <c r="E337" s="16"/>
      <c r="F337" s="17"/>
      <c r="G337" s="16"/>
      <c r="H337" s="17"/>
      <c r="I337" s="16"/>
      <c r="J337" s="17"/>
      <c r="K337" s="16"/>
      <c r="L337" s="17"/>
      <c r="M337" s="16"/>
      <c r="N337" s="17"/>
      <c r="O337" s="16"/>
      <c r="P337" s="17"/>
      <c r="Q337" s="16"/>
      <c r="R337" s="17"/>
      <c r="S337" s="16"/>
      <c r="T337" s="17"/>
      <c r="U337" s="16"/>
      <c r="V337" s="17"/>
      <c r="W337" s="16"/>
      <c r="X337" s="17"/>
      <c r="Y337" s="16"/>
      <c r="Z337" s="17"/>
      <c r="AA337" s="16"/>
      <c r="AB337" s="17"/>
      <c r="AC337" s="16"/>
      <c r="AD337" s="17"/>
      <c r="AE337" s="16"/>
      <c r="AF337" s="17"/>
      <c r="AG337" s="16"/>
      <c r="AH337" s="17"/>
      <c r="AI337" s="16"/>
      <c r="AJ337" s="17"/>
      <c r="AK337" s="107"/>
    </row>
    <row r="338" spans="1:37" ht="16.5" customHeight="1" x14ac:dyDescent="0.2">
      <c r="A338" s="6"/>
      <c r="B338" s="135">
        <f t="shared" si="104"/>
        <v>31</v>
      </c>
      <c r="C338" s="135">
        <f>'Kelas XI'!C325</f>
        <v>16349</v>
      </c>
      <c r="D338" s="34" t="str">
        <f>'Kelas XI'!D325</f>
        <v>ZEVINA PRIMA DITA</v>
      </c>
      <c r="E338" s="16"/>
      <c r="F338" s="17"/>
      <c r="G338" s="16"/>
      <c r="H338" s="17"/>
      <c r="I338" s="16"/>
      <c r="J338" s="17"/>
      <c r="K338" s="16"/>
      <c r="L338" s="17"/>
      <c r="M338" s="16"/>
      <c r="N338" s="17"/>
      <c r="O338" s="16"/>
      <c r="P338" s="17"/>
      <c r="Q338" s="16"/>
      <c r="R338" s="17"/>
      <c r="S338" s="16"/>
      <c r="T338" s="17"/>
      <c r="U338" s="16"/>
      <c r="V338" s="17"/>
      <c r="W338" s="16"/>
      <c r="X338" s="17"/>
      <c r="Y338" s="16"/>
      <c r="Z338" s="17"/>
      <c r="AA338" s="16"/>
      <c r="AB338" s="17"/>
      <c r="AC338" s="16"/>
      <c r="AD338" s="17"/>
      <c r="AE338" s="16"/>
      <c r="AF338" s="17"/>
      <c r="AG338" s="16"/>
      <c r="AH338" s="17"/>
      <c r="AI338" s="16"/>
      <c r="AJ338" s="17"/>
      <c r="AK338" s="107"/>
    </row>
    <row r="339" spans="1:37" ht="16.5" customHeight="1" x14ac:dyDescent="0.2">
      <c r="A339" s="6"/>
      <c r="B339" s="135">
        <f t="shared" si="104"/>
        <v>32</v>
      </c>
      <c r="C339" s="135">
        <f>'Kelas XI'!C326</f>
        <v>0</v>
      </c>
      <c r="D339" s="34">
        <f>'Kelas XI'!D326</f>
        <v>0</v>
      </c>
      <c r="E339" s="16"/>
      <c r="F339" s="17"/>
      <c r="G339" s="16"/>
      <c r="H339" s="17"/>
      <c r="I339" s="16"/>
      <c r="J339" s="17"/>
      <c r="K339" s="16"/>
      <c r="L339" s="17"/>
      <c r="M339" s="16"/>
      <c r="N339" s="17"/>
      <c r="O339" s="16"/>
      <c r="P339" s="17"/>
      <c r="Q339" s="16"/>
      <c r="R339" s="17"/>
      <c r="S339" s="16"/>
      <c r="T339" s="17"/>
      <c r="U339" s="16"/>
      <c r="V339" s="17"/>
      <c r="W339" s="16"/>
      <c r="X339" s="17"/>
      <c r="Y339" s="16"/>
      <c r="Z339" s="17"/>
      <c r="AA339" s="16"/>
      <c r="AB339" s="17"/>
      <c r="AC339" s="16"/>
      <c r="AD339" s="17"/>
      <c r="AE339" s="16"/>
      <c r="AF339" s="17"/>
      <c r="AG339" s="16"/>
      <c r="AH339" s="17"/>
      <c r="AI339" s="16"/>
      <c r="AJ339" s="17"/>
      <c r="AK339" s="107"/>
    </row>
    <row r="340" spans="1:37" ht="16.5" customHeight="1" x14ac:dyDescent="0.2">
      <c r="A340" s="6"/>
      <c r="B340" s="135">
        <f t="shared" si="104"/>
        <v>33</v>
      </c>
      <c r="C340" s="135">
        <f>'Kelas XI'!C327</f>
        <v>0</v>
      </c>
      <c r="D340" s="34">
        <f>'Kelas XI'!D327</f>
        <v>0</v>
      </c>
      <c r="E340" s="16"/>
      <c r="F340" s="17"/>
      <c r="G340" s="16"/>
      <c r="H340" s="17"/>
      <c r="I340" s="16"/>
      <c r="J340" s="17"/>
      <c r="K340" s="16"/>
      <c r="L340" s="17"/>
      <c r="M340" s="16"/>
      <c r="N340" s="17"/>
      <c r="O340" s="16"/>
      <c r="P340" s="17"/>
      <c r="Q340" s="16"/>
      <c r="R340" s="17"/>
      <c r="S340" s="16"/>
      <c r="T340" s="17"/>
      <c r="U340" s="16"/>
      <c r="V340" s="17"/>
      <c r="W340" s="16"/>
      <c r="X340" s="17"/>
      <c r="Y340" s="16"/>
      <c r="Z340" s="17"/>
      <c r="AA340" s="16"/>
      <c r="AB340" s="17"/>
      <c r="AC340" s="16"/>
      <c r="AD340" s="17"/>
      <c r="AE340" s="16"/>
      <c r="AF340" s="17"/>
      <c r="AG340" s="16"/>
      <c r="AH340" s="17"/>
      <c r="AI340" s="16"/>
      <c r="AJ340" s="17"/>
      <c r="AK340" s="107"/>
    </row>
    <row r="341" spans="1:37" ht="16.5" customHeight="1" x14ac:dyDescent="0.2">
      <c r="A341" s="6"/>
      <c r="B341" s="135">
        <f t="shared" si="104"/>
        <v>34</v>
      </c>
      <c r="C341" s="135">
        <f>'Kelas XI'!C328</f>
        <v>0</v>
      </c>
      <c r="D341" s="34">
        <f>'Kelas XI'!D328</f>
        <v>0</v>
      </c>
      <c r="E341" s="16"/>
      <c r="F341" s="17"/>
      <c r="G341" s="16"/>
      <c r="H341" s="17"/>
      <c r="I341" s="16"/>
      <c r="J341" s="17"/>
      <c r="K341" s="16"/>
      <c r="L341" s="17"/>
      <c r="M341" s="16"/>
      <c r="N341" s="17"/>
      <c r="O341" s="16"/>
      <c r="P341" s="17"/>
      <c r="Q341" s="16"/>
      <c r="R341" s="17"/>
      <c r="S341" s="16"/>
      <c r="T341" s="17"/>
      <c r="U341" s="16"/>
      <c r="V341" s="17"/>
      <c r="W341" s="16"/>
      <c r="X341" s="17"/>
      <c r="Y341" s="16"/>
      <c r="Z341" s="17"/>
      <c r="AA341" s="16"/>
      <c r="AB341" s="17"/>
      <c r="AC341" s="16"/>
      <c r="AD341" s="17"/>
      <c r="AE341" s="16"/>
      <c r="AF341" s="17"/>
      <c r="AG341" s="16"/>
      <c r="AH341" s="17"/>
      <c r="AI341" s="16"/>
      <c r="AJ341" s="17"/>
      <c r="AK341" s="107"/>
    </row>
    <row r="342" spans="1:37" ht="16.5" customHeight="1" x14ac:dyDescent="0.2">
      <c r="A342" s="6"/>
      <c r="B342" s="135">
        <f t="shared" si="104"/>
        <v>35</v>
      </c>
      <c r="C342" s="135">
        <f>'Kelas XI'!C329</f>
        <v>0</v>
      </c>
      <c r="D342" s="34">
        <f>'Kelas XI'!D329</f>
        <v>0</v>
      </c>
      <c r="E342" s="16"/>
      <c r="F342" s="17"/>
      <c r="G342" s="16"/>
      <c r="H342" s="17"/>
      <c r="I342" s="16"/>
      <c r="J342" s="17"/>
      <c r="K342" s="16"/>
      <c r="L342" s="17"/>
      <c r="M342" s="16"/>
      <c r="N342" s="17"/>
      <c r="O342" s="16"/>
      <c r="P342" s="17"/>
      <c r="Q342" s="16"/>
      <c r="R342" s="17"/>
      <c r="S342" s="16"/>
      <c r="T342" s="17"/>
      <c r="U342" s="16"/>
      <c r="V342" s="17"/>
      <c r="W342" s="16"/>
      <c r="X342" s="17"/>
      <c r="Y342" s="16"/>
      <c r="Z342" s="17"/>
      <c r="AA342" s="16"/>
      <c r="AB342" s="17"/>
      <c r="AC342" s="16"/>
      <c r="AD342" s="17"/>
      <c r="AE342" s="16"/>
      <c r="AF342" s="17"/>
      <c r="AG342" s="16"/>
      <c r="AH342" s="17"/>
      <c r="AI342" s="16"/>
      <c r="AJ342" s="17"/>
      <c r="AK342" s="107"/>
    </row>
    <row r="343" spans="1:37" ht="16.5" customHeight="1" x14ac:dyDescent="0.2">
      <c r="A343" s="6"/>
      <c r="B343" s="135">
        <f t="shared" si="104"/>
        <v>36</v>
      </c>
      <c r="C343" s="135">
        <f>'Kelas XI'!C330</f>
        <v>0</v>
      </c>
      <c r="D343" s="34">
        <f>'Kelas XI'!D330</f>
        <v>0</v>
      </c>
      <c r="E343" s="16"/>
      <c r="F343" s="17"/>
      <c r="G343" s="16"/>
      <c r="H343" s="17"/>
      <c r="I343" s="16"/>
      <c r="J343" s="17"/>
      <c r="K343" s="16"/>
      <c r="L343" s="17"/>
      <c r="M343" s="16"/>
      <c r="N343" s="17"/>
      <c r="O343" s="16"/>
      <c r="P343" s="17"/>
      <c r="Q343" s="16"/>
      <c r="R343" s="17"/>
      <c r="S343" s="16"/>
      <c r="T343" s="17"/>
      <c r="U343" s="16"/>
      <c r="V343" s="17"/>
      <c r="W343" s="16"/>
      <c r="X343" s="17"/>
      <c r="Y343" s="16"/>
      <c r="Z343" s="17"/>
      <c r="AA343" s="16"/>
      <c r="AB343" s="17"/>
      <c r="AC343" s="16"/>
      <c r="AD343" s="17"/>
      <c r="AE343" s="16"/>
      <c r="AF343" s="17"/>
      <c r="AG343" s="16"/>
      <c r="AH343" s="17"/>
      <c r="AI343" s="16"/>
      <c r="AJ343" s="17"/>
      <c r="AK343" s="107"/>
    </row>
    <row r="344" spans="1:37" ht="16.5" customHeight="1" x14ac:dyDescent="0.2">
      <c r="A344" s="6"/>
      <c r="B344" s="135">
        <f t="shared" si="104"/>
        <v>37</v>
      </c>
      <c r="C344" s="135">
        <f>'Kelas XI'!C331</f>
        <v>0</v>
      </c>
      <c r="D344" s="34">
        <f>'Kelas XI'!D331</f>
        <v>0</v>
      </c>
      <c r="E344" s="16"/>
      <c r="F344" s="17"/>
      <c r="G344" s="16"/>
      <c r="H344" s="17"/>
      <c r="I344" s="16"/>
      <c r="J344" s="17"/>
      <c r="K344" s="16"/>
      <c r="L344" s="17"/>
      <c r="M344" s="16"/>
      <c r="N344" s="17"/>
      <c r="O344" s="16"/>
      <c r="P344" s="17"/>
      <c r="Q344" s="16"/>
      <c r="R344" s="17"/>
      <c r="S344" s="16"/>
      <c r="T344" s="17"/>
      <c r="U344" s="16"/>
      <c r="V344" s="17"/>
      <c r="W344" s="16"/>
      <c r="X344" s="17"/>
      <c r="Y344" s="16"/>
      <c r="Z344" s="17"/>
      <c r="AA344" s="16"/>
      <c r="AB344" s="17"/>
      <c r="AC344" s="16"/>
      <c r="AD344" s="17"/>
      <c r="AE344" s="16"/>
      <c r="AF344" s="17"/>
      <c r="AG344" s="16"/>
      <c r="AH344" s="17"/>
      <c r="AI344" s="16"/>
      <c r="AJ344" s="17"/>
      <c r="AK344" s="107"/>
    </row>
    <row r="345" spans="1:37" ht="16.5" customHeight="1" thickBot="1" x14ac:dyDescent="0.25">
      <c r="A345" s="6"/>
      <c r="B345" s="143">
        <f t="shared" si="104"/>
        <v>38</v>
      </c>
      <c r="C345" s="143">
        <f>'Kelas XI'!C332</f>
        <v>0</v>
      </c>
      <c r="D345" s="147">
        <f>'Kelas XI'!D332</f>
        <v>0</v>
      </c>
      <c r="E345" s="18"/>
      <c r="F345" s="19"/>
      <c r="G345" s="18"/>
      <c r="H345" s="19"/>
      <c r="I345" s="18"/>
      <c r="J345" s="19"/>
      <c r="K345" s="18"/>
      <c r="L345" s="19"/>
      <c r="M345" s="18"/>
      <c r="N345" s="19"/>
      <c r="O345" s="18"/>
      <c r="P345" s="19"/>
      <c r="Q345" s="18"/>
      <c r="R345" s="19"/>
      <c r="S345" s="18"/>
      <c r="T345" s="19"/>
      <c r="U345" s="18"/>
      <c r="V345" s="19"/>
      <c r="W345" s="18"/>
      <c r="X345" s="19"/>
      <c r="Y345" s="18"/>
      <c r="Z345" s="19"/>
      <c r="AA345" s="18"/>
      <c r="AB345" s="19"/>
      <c r="AC345" s="18"/>
      <c r="AD345" s="19"/>
      <c r="AE345" s="18"/>
      <c r="AF345" s="19"/>
      <c r="AG345" s="18"/>
      <c r="AH345" s="19"/>
      <c r="AI345" s="18"/>
      <c r="AJ345" s="19"/>
      <c r="AK345" s="107"/>
    </row>
    <row r="346" spans="1:37" ht="16.5" customHeight="1" x14ac:dyDescent="0.2">
      <c r="A346" s="6"/>
      <c r="B346" s="6"/>
      <c r="C346" s="20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107"/>
    </row>
    <row r="347" spans="1:37" ht="16.5" customHeight="1" thickBo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107"/>
    </row>
    <row r="348" spans="1:37" ht="16.5" customHeight="1" x14ac:dyDescent="0.2">
      <c r="A348" s="6"/>
      <c r="B348" s="279"/>
      <c r="C348" s="280"/>
      <c r="D348" s="283" t="s">
        <v>3</v>
      </c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  <c r="AA348" s="284"/>
      <c r="AB348" s="284"/>
      <c r="AC348" s="284"/>
      <c r="AD348" s="284"/>
      <c r="AE348" s="284"/>
      <c r="AF348" s="284"/>
      <c r="AG348" s="284"/>
      <c r="AH348" s="284"/>
      <c r="AI348" s="284"/>
      <c r="AJ348" s="285"/>
      <c r="AK348" s="107"/>
    </row>
    <row r="349" spans="1:37" ht="16.5" customHeight="1" x14ac:dyDescent="0.2">
      <c r="A349" s="6"/>
      <c r="B349" s="281"/>
      <c r="C349" s="282"/>
      <c r="D349" s="286" t="s">
        <v>4</v>
      </c>
      <c r="E349" s="287"/>
      <c r="F349" s="287"/>
      <c r="G349" s="287"/>
      <c r="H349" s="287"/>
      <c r="I349" s="287"/>
      <c r="J349" s="287"/>
      <c r="K349" s="287"/>
      <c r="L349" s="287"/>
      <c r="M349" s="287"/>
      <c r="N349" s="287"/>
      <c r="O349" s="287"/>
      <c r="P349" s="287"/>
      <c r="Q349" s="287"/>
      <c r="R349" s="287"/>
      <c r="S349" s="287"/>
      <c r="T349" s="287"/>
      <c r="U349" s="287"/>
      <c r="V349" s="287"/>
      <c r="W349" s="287"/>
      <c r="X349" s="287"/>
      <c r="Y349" s="287"/>
      <c r="Z349" s="287"/>
      <c r="AA349" s="287"/>
      <c r="AB349" s="287"/>
      <c r="AC349" s="287"/>
      <c r="AD349" s="287"/>
      <c r="AE349" s="287"/>
      <c r="AF349" s="287"/>
      <c r="AG349" s="287"/>
      <c r="AH349" s="287"/>
      <c r="AI349" s="287"/>
      <c r="AJ349" s="288"/>
      <c r="AK349" s="107"/>
    </row>
    <row r="350" spans="1:37" ht="16.5" customHeight="1" x14ac:dyDescent="0.2">
      <c r="A350" s="6"/>
      <c r="B350" s="281"/>
      <c r="C350" s="282"/>
      <c r="D350" s="286" t="s">
        <v>547</v>
      </c>
      <c r="E350" s="287"/>
      <c r="F350" s="287"/>
      <c r="G350" s="287"/>
      <c r="H350" s="287"/>
      <c r="I350" s="287"/>
      <c r="J350" s="287"/>
      <c r="K350" s="287"/>
      <c r="L350" s="287"/>
      <c r="M350" s="287"/>
      <c r="N350" s="287"/>
      <c r="O350" s="287"/>
      <c r="P350" s="287"/>
      <c r="Q350" s="287"/>
      <c r="R350" s="287"/>
      <c r="S350" s="287"/>
      <c r="T350" s="287"/>
      <c r="U350" s="287"/>
      <c r="V350" s="287"/>
      <c r="W350" s="287"/>
      <c r="X350" s="287"/>
      <c r="Y350" s="287"/>
      <c r="Z350" s="287"/>
      <c r="AA350" s="287"/>
      <c r="AB350" s="287"/>
      <c r="AC350" s="287"/>
      <c r="AD350" s="287"/>
      <c r="AE350" s="287"/>
      <c r="AF350" s="287"/>
      <c r="AG350" s="287"/>
      <c r="AH350" s="287"/>
      <c r="AI350" s="287"/>
      <c r="AJ350" s="288"/>
      <c r="AK350" s="107"/>
    </row>
    <row r="351" spans="1:37" ht="16.5" customHeight="1" thickBot="1" x14ac:dyDescent="0.25">
      <c r="A351" s="6"/>
      <c r="B351" s="281"/>
      <c r="C351" s="282"/>
      <c r="D351" s="289"/>
      <c r="E351" s="290"/>
      <c r="F351" s="290"/>
      <c r="G351" s="290"/>
      <c r="H351" s="290"/>
      <c r="I351" s="290"/>
      <c r="J351" s="290"/>
      <c r="K351" s="290"/>
      <c r="L351" s="290"/>
      <c r="M351" s="290"/>
      <c r="N351" s="290"/>
      <c r="O351" s="290"/>
      <c r="P351" s="290"/>
      <c r="Q351" s="290"/>
      <c r="R351" s="290"/>
      <c r="S351" s="290"/>
      <c r="T351" s="290"/>
      <c r="U351" s="290"/>
      <c r="V351" s="290"/>
      <c r="W351" s="290"/>
      <c r="X351" s="290"/>
      <c r="Y351" s="290"/>
      <c r="Z351" s="290"/>
      <c r="AA351" s="290"/>
      <c r="AB351" s="290"/>
      <c r="AC351" s="290"/>
      <c r="AD351" s="290"/>
      <c r="AE351" s="290"/>
      <c r="AF351" s="290"/>
      <c r="AG351" s="290"/>
      <c r="AH351" s="290"/>
      <c r="AI351" s="290"/>
      <c r="AJ351" s="291"/>
      <c r="AK351" s="107"/>
    </row>
    <row r="352" spans="1:37" ht="16.5" customHeight="1" thickBot="1" x14ac:dyDescent="0.25">
      <c r="A352" s="6"/>
      <c r="B352" s="292"/>
      <c r="C352" s="293"/>
      <c r="D352" s="9" t="s">
        <v>549</v>
      </c>
      <c r="E352" s="10" t="s">
        <v>11</v>
      </c>
      <c r="F352" s="10"/>
      <c r="G352" s="10"/>
      <c r="H352" s="10"/>
      <c r="I352" s="10"/>
      <c r="J352" s="149"/>
      <c r="K352" s="10"/>
      <c r="L352" s="10"/>
      <c r="M352" s="10"/>
      <c r="N352" s="10"/>
      <c r="O352" s="10"/>
      <c r="P352" s="10"/>
      <c r="Q352" s="10"/>
      <c r="R352" s="10"/>
      <c r="S352" s="10" t="str">
        <f>'Kelas XI'!F338</f>
        <v>Wali Kelas   : IKA YUNITA INDRAWATI, M.Pd</v>
      </c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58"/>
      <c r="AK352" s="107"/>
    </row>
    <row r="353" spans="1:37" ht="16.5" customHeight="1" thickBot="1" x14ac:dyDescent="0.25">
      <c r="A353" s="6"/>
      <c r="B353" s="294" t="s">
        <v>6</v>
      </c>
      <c r="C353" s="294"/>
      <c r="D353" s="295" t="s">
        <v>7</v>
      </c>
      <c r="E353" s="292" t="s">
        <v>519</v>
      </c>
      <c r="F353" s="298"/>
      <c r="G353" s="298"/>
      <c r="H353" s="298"/>
      <c r="I353" s="298"/>
      <c r="J353" s="298"/>
      <c r="K353" s="298"/>
      <c r="L353" s="298"/>
      <c r="M353" s="298"/>
      <c r="N353" s="298"/>
      <c r="O353" s="298"/>
      <c r="P353" s="298"/>
      <c r="Q353" s="298"/>
      <c r="R353" s="298"/>
      <c r="S353" s="298"/>
      <c r="T353" s="298"/>
      <c r="U353" s="298"/>
      <c r="V353" s="298"/>
      <c r="W353" s="298"/>
      <c r="X353" s="298"/>
      <c r="Y353" s="298"/>
      <c r="Z353" s="298"/>
      <c r="AA353" s="298"/>
      <c r="AB353" s="298"/>
      <c r="AC353" s="298"/>
      <c r="AD353" s="298"/>
      <c r="AE353" s="298"/>
      <c r="AF353" s="298"/>
      <c r="AG353" s="298"/>
      <c r="AH353" s="298"/>
      <c r="AI353" s="298"/>
      <c r="AJ353" s="293"/>
      <c r="AK353" s="107"/>
    </row>
    <row r="354" spans="1:37" ht="16.5" customHeight="1" thickBot="1" x14ac:dyDescent="0.25">
      <c r="A354" s="6"/>
      <c r="B354" s="295" t="s">
        <v>8</v>
      </c>
      <c r="C354" s="295" t="s">
        <v>9</v>
      </c>
      <c r="D354" s="296"/>
      <c r="E354" s="292">
        <f>E8</f>
        <v>17</v>
      </c>
      <c r="F354" s="298"/>
      <c r="G354" s="292">
        <f>E354+1</f>
        <v>18</v>
      </c>
      <c r="H354" s="298"/>
      <c r="I354" s="292">
        <f t="shared" ref="I354" si="105">G354+1</f>
        <v>19</v>
      </c>
      <c r="J354" s="298"/>
      <c r="K354" s="292">
        <f t="shared" ref="K354" si="106">I354+1</f>
        <v>20</v>
      </c>
      <c r="L354" s="298"/>
      <c r="M354" s="292">
        <f t="shared" ref="M354" si="107">K354+1</f>
        <v>21</v>
      </c>
      <c r="N354" s="298"/>
      <c r="O354" s="292">
        <f t="shared" ref="O354" si="108">M354+1</f>
        <v>22</v>
      </c>
      <c r="P354" s="298"/>
      <c r="Q354" s="292">
        <f t="shared" ref="Q354" si="109">O354+1</f>
        <v>23</v>
      </c>
      <c r="R354" s="298"/>
      <c r="S354" s="292">
        <f t="shared" ref="S354" si="110">Q354+1</f>
        <v>24</v>
      </c>
      <c r="T354" s="298"/>
      <c r="U354" s="292">
        <f t="shared" ref="U354" si="111">S354+1</f>
        <v>25</v>
      </c>
      <c r="V354" s="298"/>
      <c r="W354" s="292">
        <f t="shared" ref="W354" si="112">U354+1</f>
        <v>26</v>
      </c>
      <c r="X354" s="298"/>
      <c r="Y354" s="292">
        <f t="shared" ref="Y354" si="113">W354+1</f>
        <v>27</v>
      </c>
      <c r="Z354" s="298"/>
      <c r="AA354" s="292">
        <f t="shared" ref="AA354" si="114">Y354+1</f>
        <v>28</v>
      </c>
      <c r="AB354" s="298"/>
      <c r="AC354" s="292">
        <f t="shared" ref="AC354" si="115">AA354+1</f>
        <v>29</v>
      </c>
      <c r="AD354" s="298"/>
      <c r="AE354" s="292">
        <f t="shared" ref="AE354" si="116">AC354+1</f>
        <v>30</v>
      </c>
      <c r="AF354" s="298"/>
      <c r="AG354" s="292">
        <f t="shared" ref="AG354" si="117">AE354+1</f>
        <v>31</v>
      </c>
      <c r="AH354" s="298"/>
      <c r="AI354" s="292">
        <f t="shared" ref="AI354" si="118">AG354+1</f>
        <v>32</v>
      </c>
      <c r="AJ354" s="298"/>
      <c r="AK354" s="107"/>
    </row>
    <row r="355" spans="1:37" ht="25.5" customHeight="1" thickBot="1" x14ac:dyDescent="0.25">
      <c r="A355" s="6"/>
      <c r="B355" s="297"/>
      <c r="C355" s="297"/>
      <c r="D355" s="297"/>
      <c r="E355" s="108" t="s">
        <v>13</v>
      </c>
      <c r="F355" s="108" t="s">
        <v>14</v>
      </c>
      <c r="G355" s="108" t="s">
        <v>13</v>
      </c>
      <c r="H355" s="108" t="s">
        <v>14</v>
      </c>
      <c r="I355" s="108" t="s">
        <v>13</v>
      </c>
      <c r="J355" s="108" t="s">
        <v>14</v>
      </c>
      <c r="K355" s="108" t="s">
        <v>13</v>
      </c>
      <c r="L355" s="108" t="s">
        <v>14</v>
      </c>
      <c r="M355" s="108" t="s">
        <v>13</v>
      </c>
      <c r="N355" s="108" t="s">
        <v>14</v>
      </c>
      <c r="O355" s="108" t="s">
        <v>13</v>
      </c>
      <c r="P355" s="108" t="s">
        <v>14</v>
      </c>
      <c r="Q355" s="108" t="s">
        <v>13</v>
      </c>
      <c r="R355" s="108" t="s">
        <v>14</v>
      </c>
      <c r="S355" s="108" t="s">
        <v>13</v>
      </c>
      <c r="T355" s="108" t="s">
        <v>14</v>
      </c>
      <c r="U355" s="108" t="s">
        <v>13</v>
      </c>
      <c r="V355" s="108" t="s">
        <v>14</v>
      </c>
      <c r="W355" s="108" t="s">
        <v>13</v>
      </c>
      <c r="X355" s="108" t="s">
        <v>14</v>
      </c>
      <c r="Y355" s="108" t="s">
        <v>13</v>
      </c>
      <c r="Z355" s="108" t="s">
        <v>14</v>
      </c>
      <c r="AA355" s="108" t="s">
        <v>13</v>
      </c>
      <c r="AB355" s="108" t="s">
        <v>14</v>
      </c>
      <c r="AC355" s="108" t="s">
        <v>13</v>
      </c>
      <c r="AD355" s="108" t="s">
        <v>14</v>
      </c>
      <c r="AE355" s="108" t="s">
        <v>13</v>
      </c>
      <c r="AF355" s="108" t="s">
        <v>14</v>
      </c>
      <c r="AG355" s="108" t="s">
        <v>13</v>
      </c>
      <c r="AH355" s="108" t="s">
        <v>14</v>
      </c>
      <c r="AI355" s="108" t="s">
        <v>13</v>
      </c>
      <c r="AJ355" s="108" t="s">
        <v>14</v>
      </c>
      <c r="AK355" s="107"/>
    </row>
    <row r="356" spans="1:37" ht="16.5" customHeight="1" x14ac:dyDescent="0.2">
      <c r="A356" s="6"/>
      <c r="B356" s="22">
        <v>1</v>
      </c>
      <c r="C356" s="22">
        <f>'Kelas XI'!C341</f>
        <v>16321</v>
      </c>
      <c r="D356" s="34" t="str">
        <f>'Kelas XI'!D341</f>
        <v>AISYAH RAHAYU NINGTYAS</v>
      </c>
      <c r="E356" s="12"/>
      <c r="F356" s="13"/>
      <c r="G356" s="12"/>
      <c r="H356" s="13"/>
      <c r="I356" s="12"/>
      <c r="J356" s="13"/>
      <c r="K356" s="12"/>
      <c r="L356" s="13"/>
      <c r="M356" s="12"/>
      <c r="N356" s="13"/>
      <c r="O356" s="12"/>
      <c r="P356" s="13"/>
      <c r="Q356" s="12"/>
      <c r="R356" s="13"/>
      <c r="S356" s="12"/>
      <c r="T356" s="13"/>
      <c r="U356" s="12"/>
      <c r="V356" s="13"/>
      <c r="W356" s="12"/>
      <c r="X356" s="13"/>
      <c r="Y356" s="12"/>
      <c r="Z356" s="13"/>
      <c r="AA356" s="12"/>
      <c r="AB356" s="13"/>
      <c r="AC356" s="12"/>
      <c r="AD356" s="13"/>
      <c r="AE356" s="12"/>
      <c r="AF356" s="13"/>
      <c r="AG356" s="12"/>
      <c r="AH356" s="13"/>
      <c r="AI356" s="12"/>
      <c r="AJ356" s="13"/>
      <c r="AK356" s="107"/>
    </row>
    <row r="357" spans="1:37" ht="16.5" customHeight="1" x14ac:dyDescent="0.2">
      <c r="A357" s="6"/>
      <c r="B357" s="135">
        <f t="shared" ref="B357:B393" si="119">B356+1</f>
        <v>2</v>
      </c>
      <c r="C357" s="135">
        <f>'Kelas XI'!C342</f>
        <v>16260</v>
      </c>
      <c r="D357" s="34" t="str">
        <f>'Kelas XI'!D342</f>
        <v>AISYAH RAHMA YUSUF</v>
      </c>
      <c r="E357" s="14"/>
      <c r="F357" s="15"/>
      <c r="G357" s="14"/>
      <c r="H357" s="15"/>
      <c r="I357" s="14"/>
      <c r="J357" s="15"/>
      <c r="K357" s="14"/>
      <c r="L357" s="15"/>
      <c r="M357" s="14"/>
      <c r="N357" s="15"/>
      <c r="O357" s="14"/>
      <c r="P357" s="15"/>
      <c r="Q357" s="14"/>
      <c r="R357" s="15"/>
      <c r="S357" s="14"/>
      <c r="T357" s="15"/>
      <c r="U357" s="14"/>
      <c r="V357" s="15"/>
      <c r="W357" s="14"/>
      <c r="X357" s="15"/>
      <c r="Y357" s="14"/>
      <c r="Z357" s="15"/>
      <c r="AA357" s="14"/>
      <c r="AB357" s="15"/>
      <c r="AC357" s="14"/>
      <c r="AD357" s="15"/>
      <c r="AE357" s="14"/>
      <c r="AF357" s="15"/>
      <c r="AG357" s="14"/>
      <c r="AH357" s="15"/>
      <c r="AI357" s="14"/>
      <c r="AJ357" s="15"/>
      <c r="AK357" s="107"/>
    </row>
    <row r="358" spans="1:37" ht="16.5" customHeight="1" x14ac:dyDescent="0.2">
      <c r="A358" s="6"/>
      <c r="B358" s="135">
        <f t="shared" si="119"/>
        <v>3</v>
      </c>
      <c r="C358" s="135">
        <f>'Kelas XI'!C343</f>
        <v>16351</v>
      </c>
      <c r="D358" s="34" t="str">
        <f>'Kelas XI'!D343</f>
        <v>ALYA NAPIROH</v>
      </c>
      <c r="E358" s="14"/>
      <c r="F358" s="15"/>
      <c r="G358" s="14"/>
      <c r="H358" s="15"/>
      <c r="I358" s="14"/>
      <c r="J358" s="15"/>
      <c r="K358" s="14"/>
      <c r="L358" s="15"/>
      <c r="M358" s="14"/>
      <c r="N358" s="15"/>
      <c r="O358" s="14"/>
      <c r="P358" s="15"/>
      <c r="Q358" s="14"/>
      <c r="R358" s="15"/>
      <c r="S358" s="14"/>
      <c r="T358" s="15"/>
      <c r="U358" s="14"/>
      <c r="V358" s="15"/>
      <c r="W358" s="14"/>
      <c r="X358" s="15"/>
      <c r="Y358" s="14"/>
      <c r="Z358" s="15"/>
      <c r="AA358" s="14"/>
      <c r="AB358" s="15"/>
      <c r="AC358" s="14"/>
      <c r="AD358" s="15"/>
      <c r="AE358" s="14"/>
      <c r="AF358" s="15"/>
      <c r="AG358" s="14"/>
      <c r="AH358" s="15"/>
      <c r="AI358" s="14"/>
      <c r="AJ358" s="15"/>
      <c r="AK358" s="107"/>
    </row>
    <row r="359" spans="1:37" ht="16.5" customHeight="1" x14ac:dyDescent="0.2">
      <c r="A359" s="6"/>
      <c r="B359" s="135">
        <f t="shared" si="119"/>
        <v>4</v>
      </c>
      <c r="C359" s="135">
        <f>'Kelas XI'!C344</f>
        <v>16324</v>
      </c>
      <c r="D359" s="34" t="str">
        <f>'Kelas XI'!D344</f>
        <v>AMIROH QORRY AINA</v>
      </c>
      <c r="E359" s="14"/>
      <c r="F359" s="15"/>
      <c r="G359" s="14"/>
      <c r="H359" s="15"/>
      <c r="I359" s="14"/>
      <c r="J359" s="15"/>
      <c r="K359" s="14"/>
      <c r="L359" s="15"/>
      <c r="M359" s="14"/>
      <c r="N359" s="15"/>
      <c r="O359" s="14"/>
      <c r="P359" s="15"/>
      <c r="Q359" s="14"/>
      <c r="R359" s="15"/>
      <c r="S359" s="14"/>
      <c r="T359" s="15"/>
      <c r="U359" s="14"/>
      <c r="V359" s="15"/>
      <c r="W359" s="14"/>
      <c r="X359" s="15"/>
      <c r="Y359" s="14"/>
      <c r="Z359" s="15"/>
      <c r="AA359" s="14"/>
      <c r="AB359" s="15"/>
      <c r="AC359" s="14"/>
      <c r="AD359" s="15"/>
      <c r="AE359" s="14"/>
      <c r="AF359" s="15"/>
      <c r="AG359" s="14"/>
      <c r="AH359" s="15"/>
      <c r="AI359" s="14"/>
      <c r="AJ359" s="15"/>
      <c r="AK359" s="107"/>
    </row>
    <row r="360" spans="1:37" ht="16.5" customHeight="1" x14ac:dyDescent="0.2">
      <c r="A360" s="6"/>
      <c r="B360" s="135">
        <f t="shared" si="119"/>
        <v>5</v>
      </c>
      <c r="C360" s="135">
        <f>'Kelas XI'!C345</f>
        <v>16292</v>
      </c>
      <c r="D360" s="34" t="str">
        <f>'Kelas XI'!D345</f>
        <v>ANA AULIA</v>
      </c>
      <c r="E360" s="14"/>
      <c r="F360" s="15"/>
      <c r="G360" s="14"/>
      <c r="H360" s="15"/>
      <c r="I360" s="14"/>
      <c r="J360" s="15"/>
      <c r="K360" s="14"/>
      <c r="L360" s="15"/>
      <c r="M360" s="14"/>
      <c r="N360" s="15"/>
      <c r="O360" s="14"/>
      <c r="P360" s="15"/>
      <c r="Q360" s="14"/>
      <c r="R360" s="15"/>
      <c r="S360" s="14"/>
      <c r="T360" s="15"/>
      <c r="U360" s="14"/>
      <c r="V360" s="15"/>
      <c r="W360" s="14"/>
      <c r="X360" s="15"/>
      <c r="Y360" s="14"/>
      <c r="Z360" s="15"/>
      <c r="AA360" s="14"/>
      <c r="AB360" s="15"/>
      <c r="AC360" s="14"/>
      <c r="AD360" s="15"/>
      <c r="AE360" s="14"/>
      <c r="AF360" s="15"/>
      <c r="AG360" s="14"/>
      <c r="AH360" s="15"/>
      <c r="AI360" s="14"/>
      <c r="AJ360" s="15"/>
      <c r="AK360" s="107"/>
    </row>
    <row r="361" spans="1:37" ht="16.5" customHeight="1" x14ac:dyDescent="0.2">
      <c r="A361" s="6"/>
      <c r="B361" s="135">
        <f t="shared" si="119"/>
        <v>6</v>
      </c>
      <c r="C361" s="135">
        <f>'Kelas XI'!C346</f>
        <v>16354</v>
      </c>
      <c r="D361" s="34" t="str">
        <f>'Kelas XI'!D346</f>
        <v>ANJUM MALIHA</v>
      </c>
      <c r="E361" s="14"/>
      <c r="F361" s="15"/>
      <c r="G361" s="14"/>
      <c r="H361" s="15"/>
      <c r="I361" s="14"/>
      <c r="J361" s="15"/>
      <c r="K361" s="14"/>
      <c r="L361" s="15"/>
      <c r="M361" s="14"/>
      <c r="N361" s="15"/>
      <c r="O361" s="14"/>
      <c r="P361" s="15"/>
      <c r="Q361" s="14"/>
      <c r="R361" s="15"/>
      <c r="S361" s="14"/>
      <c r="T361" s="15"/>
      <c r="U361" s="14"/>
      <c r="V361" s="15"/>
      <c r="W361" s="14"/>
      <c r="X361" s="15"/>
      <c r="Y361" s="14"/>
      <c r="Z361" s="15"/>
      <c r="AA361" s="14"/>
      <c r="AB361" s="15"/>
      <c r="AC361" s="14"/>
      <c r="AD361" s="15"/>
      <c r="AE361" s="14"/>
      <c r="AF361" s="15"/>
      <c r="AG361" s="14"/>
      <c r="AH361" s="15"/>
      <c r="AI361" s="14"/>
      <c r="AJ361" s="15"/>
      <c r="AK361" s="107"/>
    </row>
    <row r="362" spans="1:37" ht="16.5" customHeight="1" x14ac:dyDescent="0.2">
      <c r="A362" s="6"/>
      <c r="B362" s="135">
        <f t="shared" si="119"/>
        <v>7</v>
      </c>
      <c r="C362" s="135">
        <f>'Kelas XI'!C347</f>
        <v>16332</v>
      </c>
      <c r="D362" s="34" t="str">
        <f>'Kelas XI'!D347</f>
        <v>ELMA AINUN NADHIR</v>
      </c>
      <c r="E362" s="14"/>
      <c r="F362" s="15"/>
      <c r="G362" s="14"/>
      <c r="H362" s="15"/>
      <c r="I362" s="14"/>
      <c r="J362" s="15"/>
      <c r="K362" s="14"/>
      <c r="L362" s="15"/>
      <c r="M362" s="14"/>
      <c r="N362" s="15"/>
      <c r="O362" s="14"/>
      <c r="P362" s="15"/>
      <c r="Q362" s="14"/>
      <c r="R362" s="15"/>
      <c r="S362" s="14"/>
      <c r="T362" s="15"/>
      <c r="U362" s="14"/>
      <c r="V362" s="15"/>
      <c r="W362" s="14"/>
      <c r="X362" s="15"/>
      <c r="Y362" s="14"/>
      <c r="Z362" s="15"/>
      <c r="AA362" s="14"/>
      <c r="AB362" s="15"/>
      <c r="AC362" s="14"/>
      <c r="AD362" s="15"/>
      <c r="AE362" s="14"/>
      <c r="AF362" s="15"/>
      <c r="AG362" s="14"/>
      <c r="AH362" s="15"/>
      <c r="AI362" s="14"/>
      <c r="AJ362" s="15"/>
      <c r="AK362" s="107"/>
    </row>
    <row r="363" spans="1:37" ht="16.5" customHeight="1" x14ac:dyDescent="0.2">
      <c r="A363" s="6"/>
      <c r="B363" s="135">
        <f t="shared" si="119"/>
        <v>8</v>
      </c>
      <c r="C363" s="135">
        <f>'Kelas XI'!C348</f>
        <v>16335</v>
      </c>
      <c r="D363" s="34" t="str">
        <f>'Kelas XI'!D348</f>
        <v>FADILA NURIS FAUZIAH</v>
      </c>
      <c r="E363" s="14"/>
      <c r="F363" s="15"/>
      <c r="G363" s="14"/>
      <c r="H363" s="15"/>
      <c r="I363" s="14"/>
      <c r="J363" s="15"/>
      <c r="K363" s="14"/>
      <c r="L363" s="15"/>
      <c r="M363" s="14"/>
      <c r="N363" s="15"/>
      <c r="O363" s="14"/>
      <c r="P363" s="15"/>
      <c r="Q363" s="14"/>
      <c r="R363" s="15"/>
      <c r="S363" s="14"/>
      <c r="T363" s="15"/>
      <c r="U363" s="14"/>
      <c r="V363" s="15"/>
      <c r="W363" s="14"/>
      <c r="X363" s="15"/>
      <c r="Y363" s="14"/>
      <c r="Z363" s="15"/>
      <c r="AA363" s="14"/>
      <c r="AB363" s="15"/>
      <c r="AC363" s="14"/>
      <c r="AD363" s="15"/>
      <c r="AE363" s="14"/>
      <c r="AF363" s="15"/>
      <c r="AG363" s="14"/>
      <c r="AH363" s="15"/>
      <c r="AI363" s="14"/>
      <c r="AJ363" s="15"/>
      <c r="AK363" s="107"/>
    </row>
    <row r="364" spans="1:37" ht="16.5" customHeight="1" x14ac:dyDescent="0.2">
      <c r="A364" s="6"/>
      <c r="B364" s="135">
        <f t="shared" si="119"/>
        <v>9</v>
      </c>
      <c r="C364" s="135">
        <f>'Kelas XI'!C349</f>
        <v>16299</v>
      </c>
      <c r="D364" s="34" t="str">
        <f>'Kelas XI'!D349</f>
        <v>FARIKA ATHA TALITA</v>
      </c>
      <c r="E364" s="14"/>
      <c r="F364" s="15"/>
      <c r="G364" s="14"/>
      <c r="H364" s="15"/>
      <c r="I364" s="14"/>
      <c r="J364" s="15"/>
      <c r="K364" s="14"/>
      <c r="L364" s="15"/>
      <c r="M364" s="14"/>
      <c r="N364" s="15"/>
      <c r="O364" s="14"/>
      <c r="P364" s="15"/>
      <c r="Q364" s="14"/>
      <c r="R364" s="15"/>
      <c r="S364" s="14"/>
      <c r="T364" s="15"/>
      <c r="U364" s="14"/>
      <c r="V364" s="15"/>
      <c r="W364" s="14"/>
      <c r="X364" s="15"/>
      <c r="Y364" s="14"/>
      <c r="Z364" s="15"/>
      <c r="AA364" s="14"/>
      <c r="AB364" s="15"/>
      <c r="AC364" s="14"/>
      <c r="AD364" s="15"/>
      <c r="AE364" s="14"/>
      <c r="AF364" s="15"/>
      <c r="AG364" s="14"/>
      <c r="AH364" s="15"/>
      <c r="AI364" s="14"/>
      <c r="AJ364" s="15"/>
      <c r="AK364" s="107"/>
    </row>
    <row r="365" spans="1:37" ht="16.5" customHeight="1" x14ac:dyDescent="0.2">
      <c r="A365" s="6"/>
      <c r="B365" s="135">
        <f t="shared" si="119"/>
        <v>10</v>
      </c>
      <c r="C365" s="135">
        <f>'Kelas XI'!C350</f>
        <v>16268</v>
      </c>
      <c r="D365" s="34" t="str">
        <f>'Kelas XI'!D350</f>
        <v>ITA IFTITAHUS SAGHOFAH</v>
      </c>
      <c r="E365" s="14"/>
      <c r="F365" s="15"/>
      <c r="G365" s="14"/>
      <c r="H365" s="15"/>
      <c r="I365" s="14"/>
      <c r="J365" s="15"/>
      <c r="K365" s="14"/>
      <c r="L365" s="15"/>
      <c r="M365" s="14"/>
      <c r="N365" s="15"/>
      <c r="O365" s="14"/>
      <c r="P365" s="15"/>
      <c r="Q365" s="14"/>
      <c r="R365" s="15"/>
      <c r="S365" s="14"/>
      <c r="T365" s="15"/>
      <c r="U365" s="14"/>
      <c r="V365" s="15"/>
      <c r="W365" s="14"/>
      <c r="X365" s="15"/>
      <c r="Y365" s="14"/>
      <c r="Z365" s="15"/>
      <c r="AA365" s="14"/>
      <c r="AB365" s="15"/>
      <c r="AC365" s="14"/>
      <c r="AD365" s="15"/>
      <c r="AE365" s="14"/>
      <c r="AF365" s="15"/>
      <c r="AG365" s="14"/>
      <c r="AH365" s="15"/>
      <c r="AI365" s="14"/>
      <c r="AJ365" s="15"/>
      <c r="AK365" s="107"/>
    </row>
    <row r="366" spans="1:37" ht="16.5" customHeight="1" x14ac:dyDescent="0.2">
      <c r="A366" s="6"/>
      <c r="B366" s="135">
        <f t="shared" si="119"/>
        <v>11</v>
      </c>
      <c r="C366" s="135">
        <f>'Kelas XI'!C351</f>
        <v>16269</v>
      </c>
      <c r="D366" s="34" t="str">
        <f>'Kelas XI'!D351</f>
        <v>IZZATUL WIDAD</v>
      </c>
      <c r="E366" s="14"/>
      <c r="F366" s="15"/>
      <c r="G366" s="14"/>
      <c r="H366" s="15"/>
      <c r="I366" s="14"/>
      <c r="J366" s="15"/>
      <c r="K366" s="14"/>
      <c r="L366" s="15"/>
      <c r="M366" s="14"/>
      <c r="N366" s="15"/>
      <c r="O366" s="14"/>
      <c r="P366" s="15"/>
      <c r="Q366" s="14"/>
      <c r="R366" s="15"/>
      <c r="S366" s="14"/>
      <c r="T366" s="15"/>
      <c r="U366" s="14"/>
      <c r="V366" s="15"/>
      <c r="W366" s="14"/>
      <c r="X366" s="15"/>
      <c r="Y366" s="14"/>
      <c r="Z366" s="15"/>
      <c r="AA366" s="14"/>
      <c r="AB366" s="15"/>
      <c r="AC366" s="14"/>
      <c r="AD366" s="15"/>
      <c r="AE366" s="14"/>
      <c r="AF366" s="15"/>
      <c r="AG366" s="14"/>
      <c r="AH366" s="15"/>
      <c r="AI366" s="14"/>
      <c r="AJ366" s="15"/>
      <c r="AK366" s="107"/>
    </row>
    <row r="367" spans="1:37" ht="16.5" customHeight="1" x14ac:dyDescent="0.2">
      <c r="A367" s="6"/>
      <c r="B367" s="135">
        <f t="shared" si="119"/>
        <v>12</v>
      </c>
      <c r="C367" s="135">
        <f>'Kelas XI'!C352</f>
        <v>16305</v>
      </c>
      <c r="D367" s="34" t="str">
        <f>'Kelas XI'!D352</f>
        <v>KALIFA ARSYA SAQINA</v>
      </c>
      <c r="E367" s="14"/>
      <c r="F367" s="15"/>
      <c r="G367" s="14"/>
      <c r="H367" s="15"/>
      <c r="I367" s="14"/>
      <c r="J367" s="15"/>
      <c r="K367" s="14"/>
      <c r="L367" s="15"/>
      <c r="M367" s="14"/>
      <c r="N367" s="15"/>
      <c r="O367" s="14"/>
      <c r="P367" s="15"/>
      <c r="Q367" s="14"/>
      <c r="R367" s="15"/>
      <c r="S367" s="14"/>
      <c r="T367" s="15"/>
      <c r="U367" s="14"/>
      <c r="V367" s="15"/>
      <c r="W367" s="14"/>
      <c r="X367" s="15"/>
      <c r="Y367" s="14"/>
      <c r="Z367" s="15"/>
      <c r="AA367" s="14"/>
      <c r="AB367" s="15"/>
      <c r="AC367" s="14"/>
      <c r="AD367" s="15"/>
      <c r="AE367" s="14"/>
      <c r="AF367" s="15"/>
      <c r="AG367" s="14"/>
      <c r="AH367" s="15"/>
      <c r="AI367" s="14"/>
      <c r="AJ367" s="15"/>
      <c r="AK367" s="107"/>
    </row>
    <row r="368" spans="1:37" ht="16.5" customHeight="1" x14ac:dyDescent="0.2">
      <c r="A368" s="6"/>
      <c r="B368" s="135">
        <f t="shared" si="119"/>
        <v>13</v>
      </c>
      <c r="C368" s="135">
        <f>'Kelas XI'!C353</f>
        <v>16339</v>
      </c>
      <c r="D368" s="34" t="str">
        <f>'Kelas XI'!D353</f>
        <v>KHADIJA PUTRI NURAINI</v>
      </c>
      <c r="E368" s="14"/>
      <c r="F368" s="15"/>
      <c r="G368" s="14"/>
      <c r="H368" s="15"/>
      <c r="I368" s="14"/>
      <c r="J368" s="15"/>
      <c r="K368" s="14"/>
      <c r="L368" s="15"/>
      <c r="M368" s="14"/>
      <c r="N368" s="15"/>
      <c r="O368" s="14"/>
      <c r="P368" s="15"/>
      <c r="Q368" s="14"/>
      <c r="R368" s="15"/>
      <c r="S368" s="14"/>
      <c r="T368" s="15"/>
      <c r="U368" s="14"/>
      <c r="V368" s="15"/>
      <c r="W368" s="14"/>
      <c r="X368" s="15"/>
      <c r="Y368" s="14"/>
      <c r="Z368" s="15"/>
      <c r="AA368" s="14"/>
      <c r="AB368" s="15"/>
      <c r="AC368" s="14"/>
      <c r="AD368" s="15"/>
      <c r="AE368" s="14"/>
      <c r="AF368" s="15"/>
      <c r="AG368" s="14"/>
      <c r="AH368" s="15"/>
      <c r="AI368" s="14"/>
      <c r="AJ368" s="15"/>
      <c r="AK368" s="107"/>
    </row>
    <row r="369" spans="1:37" ht="16.5" customHeight="1" x14ac:dyDescent="0.2">
      <c r="A369" s="6"/>
      <c r="B369" s="135">
        <f t="shared" si="119"/>
        <v>14</v>
      </c>
      <c r="C369" s="135">
        <f>'Kelas XI'!C354</f>
        <v>16272</v>
      </c>
      <c r="D369" s="34" t="str">
        <f>'Kelas XI'!D354</f>
        <v>KHAILA NURMILA SYAHWA</v>
      </c>
      <c r="E369" s="14"/>
      <c r="F369" s="15"/>
      <c r="G369" s="14"/>
      <c r="H369" s="15"/>
      <c r="I369" s="14"/>
      <c r="J369" s="15"/>
      <c r="K369" s="14"/>
      <c r="L369" s="15"/>
      <c r="M369" s="14"/>
      <c r="N369" s="15"/>
      <c r="O369" s="14"/>
      <c r="P369" s="15"/>
      <c r="Q369" s="14"/>
      <c r="R369" s="15"/>
      <c r="S369" s="14"/>
      <c r="T369" s="15"/>
      <c r="U369" s="14"/>
      <c r="V369" s="15"/>
      <c r="W369" s="14"/>
      <c r="X369" s="15"/>
      <c r="Y369" s="14"/>
      <c r="Z369" s="15"/>
      <c r="AA369" s="14"/>
      <c r="AB369" s="15"/>
      <c r="AC369" s="14"/>
      <c r="AD369" s="15"/>
      <c r="AE369" s="14"/>
      <c r="AF369" s="15"/>
      <c r="AG369" s="14"/>
      <c r="AH369" s="15"/>
      <c r="AI369" s="14"/>
      <c r="AJ369" s="15"/>
      <c r="AK369" s="107"/>
    </row>
    <row r="370" spans="1:37" ht="16.5" customHeight="1" x14ac:dyDescent="0.2">
      <c r="A370" s="6"/>
      <c r="B370" s="135">
        <f t="shared" si="119"/>
        <v>15</v>
      </c>
      <c r="C370" s="135">
        <f>'Kelas XI'!C355</f>
        <v>16309</v>
      </c>
      <c r="D370" s="34" t="str">
        <f>'Kelas XI'!D355</f>
        <v>MALIKA ANJALI</v>
      </c>
      <c r="E370" s="14"/>
      <c r="F370" s="15"/>
      <c r="G370" s="14"/>
      <c r="H370" s="15"/>
      <c r="I370" s="14"/>
      <c r="J370" s="15"/>
      <c r="K370" s="14"/>
      <c r="L370" s="15"/>
      <c r="M370" s="14"/>
      <c r="N370" s="15"/>
      <c r="O370" s="14"/>
      <c r="P370" s="15"/>
      <c r="Q370" s="14"/>
      <c r="R370" s="15"/>
      <c r="S370" s="14"/>
      <c r="T370" s="15"/>
      <c r="U370" s="14"/>
      <c r="V370" s="15"/>
      <c r="W370" s="14"/>
      <c r="X370" s="15"/>
      <c r="Y370" s="14"/>
      <c r="Z370" s="15"/>
      <c r="AA370" s="14"/>
      <c r="AB370" s="15"/>
      <c r="AC370" s="14"/>
      <c r="AD370" s="15"/>
      <c r="AE370" s="14"/>
      <c r="AF370" s="15"/>
      <c r="AG370" s="14"/>
      <c r="AH370" s="15"/>
      <c r="AI370" s="14"/>
      <c r="AJ370" s="15"/>
      <c r="AK370" s="107"/>
    </row>
    <row r="371" spans="1:37" ht="16.5" customHeight="1" x14ac:dyDescent="0.2">
      <c r="A371" s="6"/>
      <c r="B371" s="135">
        <f t="shared" si="119"/>
        <v>16</v>
      </c>
      <c r="C371" s="135">
        <f>'Kelas XI'!C356</f>
        <v>16341</v>
      </c>
      <c r="D371" s="34" t="str">
        <f>'Kelas XI'!D356</f>
        <v>MAULIDIYAH HAMDANA ABDILLAH</v>
      </c>
      <c r="E371" s="14"/>
      <c r="F371" s="15"/>
      <c r="G371" s="14"/>
      <c r="H371" s="15"/>
      <c r="I371" s="14"/>
      <c r="J371" s="15"/>
      <c r="K371" s="14"/>
      <c r="L371" s="15"/>
      <c r="M371" s="14"/>
      <c r="N371" s="15"/>
      <c r="O371" s="14"/>
      <c r="P371" s="15"/>
      <c r="Q371" s="14"/>
      <c r="R371" s="15"/>
      <c r="S371" s="14"/>
      <c r="T371" s="15"/>
      <c r="U371" s="14"/>
      <c r="V371" s="15"/>
      <c r="W371" s="14"/>
      <c r="X371" s="15"/>
      <c r="Y371" s="14"/>
      <c r="Z371" s="15"/>
      <c r="AA371" s="14"/>
      <c r="AB371" s="15"/>
      <c r="AC371" s="14"/>
      <c r="AD371" s="15"/>
      <c r="AE371" s="14"/>
      <c r="AF371" s="15"/>
      <c r="AG371" s="14"/>
      <c r="AH371" s="15"/>
      <c r="AI371" s="14"/>
      <c r="AJ371" s="15"/>
      <c r="AK371" s="107"/>
    </row>
    <row r="372" spans="1:37" ht="16.5" customHeight="1" x14ac:dyDescent="0.2">
      <c r="A372" s="6"/>
      <c r="B372" s="135">
        <f t="shared" si="119"/>
        <v>17</v>
      </c>
      <c r="C372" s="135">
        <f>'Kelas XI'!C357</f>
        <v>16310</v>
      </c>
      <c r="D372" s="34" t="str">
        <f>'Kelas XI'!D357</f>
        <v>MEGAN MELATI SUKMA</v>
      </c>
      <c r="E372" s="14"/>
      <c r="F372" s="15"/>
      <c r="G372" s="14"/>
      <c r="H372" s="15"/>
      <c r="I372" s="14"/>
      <c r="J372" s="15"/>
      <c r="K372" s="14"/>
      <c r="L372" s="15"/>
      <c r="M372" s="14"/>
      <c r="N372" s="15"/>
      <c r="O372" s="14"/>
      <c r="P372" s="15"/>
      <c r="Q372" s="14"/>
      <c r="R372" s="15"/>
      <c r="S372" s="14"/>
      <c r="T372" s="15"/>
      <c r="U372" s="14"/>
      <c r="V372" s="15"/>
      <c r="W372" s="14"/>
      <c r="X372" s="15"/>
      <c r="Y372" s="14"/>
      <c r="Z372" s="15"/>
      <c r="AA372" s="14"/>
      <c r="AB372" s="15"/>
      <c r="AC372" s="14"/>
      <c r="AD372" s="15"/>
      <c r="AE372" s="14"/>
      <c r="AF372" s="15"/>
      <c r="AG372" s="14"/>
      <c r="AH372" s="15"/>
      <c r="AI372" s="14"/>
      <c r="AJ372" s="15"/>
      <c r="AK372" s="107"/>
    </row>
    <row r="373" spans="1:37" ht="16.5" customHeight="1" x14ac:dyDescent="0.2">
      <c r="A373" s="6"/>
      <c r="B373" s="135">
        <f t="shared" si="119"/>
        <v>18</v>
      </c>
      <c r="C373" s="135">
        <f>'Kelas XI'!C358</f>
        <v>16342</v>
      </c>
      <c r="D373" s="34" t="str">
        <f>'Kelas XI'!D358</f>
        <v>NABILA CIKA</v>
      </c>
      <c r="E373" s="14"/>
      <c r="F373" s="15"/>
      <c r="G373" s="14"/>
      <c r="H373" s="15"/>
      <c r="I373" s="14"/>
      <c r="J373" s="15"/>
      <c r="K373" s="14"/>
      <c r="L373" s="15"/>
      <c r="M373" s="14"/>
      <c r="N373" s="15"/>
      <c r="O373" s="14"/>
      <c r="P373" s="15"/>
      <c r="Q373" s="14"/>
      <c r="R373" s="15"/>
      <c r="S373" s="14"/>
      <c r="T373" s="15"/>
      <c r="U373" s="14"/>
      <c r="V373" s="15"/>
      <c r="W373" s="14"/>
      <c r="X373" s="15"/>
      <c r="Y373" s="14"/>
      <c r="Z373" s="15"/>
      <c r="AA373" s="14"/>
      <c r="AB373" s="15"/>
      <c r="AC373" s="14"/>
      <c r="AD373" s="15"/>
      <c r="AE373" s="14"/>
      <c r="AF373" s="15"/>
      <c r="AG373" s="14"/>
      <c r="AH373" s="15"/>
      <c r="AI373" s="14"/>
      <c r="AJ373" s="15"/>
      <c r="AK373" s="107"/>
    </row>
    <row r="374" spans="1:37" ht="16.5" customHeight="1" x14ac:dyDescent="0.2">
      <c r="A374" s="6"/>
      <c r="B374" s="135">
        <f t="shared" si="119"/>
        <v>19</v>
      </c>
      <c r="C374" s="135">
        <f>'Kelas XI'!C359</f>
        <v>16365</v>
      </c>
      <c r="D374" s="34" t="str">
        <f>'Kelas XI'!D359</f>
        <v>NAJMI MEISANI</v>
      </c>
      <c r="E374" s="14"/>
      <c r="F374" s="15"/>
      <c r="G374" s="14"/>
      <c r="H374" s="15"/>
      <c r="I374" s="14"/>
      <c r="J374" s="15"/>
      <c r="K374" s="14"/>
      <c r="L374" s="15"/>
      <c r="M374" s="14"/>
      <c r="N374" s="15"/>
      <c r="O374" s="14"/>
      <c r="P374" s="15"/>
      <c r="Q374" s="14"/>
      <c r="R374" s="15"/>
      <c r="S374" s="14"/>
      <c r="T374" s="15"/>
      <c r="U374" s="14"/>
      <c r="V374" s="15"/>
      <c r="W374" s="14"/>
      <c r="X374" s="15"/>
      <c r="Y374" s="14"/>
      <c r="Z374" s="15"/>
      <c r="AA374" s="14"/>
      <c r="AB374" s="15"/>
      <c r="AC374" s="14"/>
      <c r="AD374" s="15"/>
      <c r="AE374" s="14"/>
      <c r="AF374" s="15"/>
      <c r="AG374" s="14"/>
      <c r="AH374" s="15"/>
      <c r="AI374" s="14"/>
      <c r="AJ374" s="15"/>
      <c r="AK374" s="107"/>
    </row>
    <row r="375" spans="1:37" ht="16.5" customHeight="1" x14ac:dyDescent="0.2">
      <c r="A375" s="6"/>
      <c r="B375" s="135">
        <f t="shared" si="119"/>
        <v>20</v>
      </c>
      <c r="C375" s="135">
        <f>'Kelas XI'!C360</f>
        <v>16311</v>
      </c>
      <c r="D375" s="34" t="str">
        <f>'Kelas XI'!D360</f>
        <v>NAVI SAQIYA</v>
      </c>
      <c r="E375" s="14"/>
      <c r="F375" s="15"/>
      <c r="G375" s="14"/>
      <c r="H375" s="15"/>
      <c r="I375" s="14"/>
      <c r="J375" s="15"/>
      <c r="K375" s="14"/>
      <c r="L375" s="15"/>
      <c r="M375" s="14"/>
      <c r="N375" s="15"/>
      <c r="O375" s="14"/>
      <c r="P375" s="15"/>
      <c r="Q375" s="14"/>
      <c r="R375" s="15"/>
      <c r="S375" s="14"/>
      <c r="T375" s="15"/>
      <c r="U375" s="14"/>
      <c r="V375" s="15"/>
      <c r="W375" s="14"/>
      <c r="X375" s="15"/>
      <c r="Y375" s="14"/>
      <c r="Z375" s="15"/>
      <c r="AA375" s="14"/>
      <c r="AB375" s="15"/>
      <c r="AC375" s="14"/>
      <c r="AD375" s="15"/>
      <c r="AE375" s="14"/>
      <c r="AF375" s="15"/>
      <c r="AG375" s="14"/>
      <c r="AH375" s="15"/>
      <c r="AI375" s="14"/>
      <c r="AJ375" s="15"/>
      <c r="AK375" s="107"/>
    </row>
    <row r="376" spans="1:37" ht="16.5" customHeight="1" x14ac:dyDescent="0.2">
      <c r="A376" s="6"/>
      <c r="B376" s="135">
        <f t="shared" si="119"/>
        <v>21</v>
      </c>
      <c r="C376" s="135">
        <f>'Kelas XI'!C361</f>
        <v>16312</v>
      </c>
      <c r="D376" s="34" t="str">
        <f>'Kelas XI'!D361</f>
        <v>NAYLATUS SA’IDAH</v>
      </c>
      <c r="E376" s="14"/>
      <c r="F376" s="15"/>
      <c r="G376" s="14"/>
      <c r="H376" s="15"/>
      <c r="I376" s="14"/>
      <c r="J376" s="15"/>
      <c r="K376" s="14"/>
      <c r="L376" s="15"/>
      <c r="M376" s="14"/>
      <c r="N376" s="15"/>
      <c r="O376" s="14"/>
      <c r="P376" s="15"/>
      <c r="Q376" s="14"/>
      <c r="R376" s="15"/>
      <c r="S376" s="14"/>
      <c r="T376" s="15"/>
      <c r="U376" s="14"/>
      <c r="V376" s="15"/>
      <c r="W376" s="14"/>
      <c r="X376" s="15"/>
      <c r="Y376" s="14"/>
      <c r="Z376" s="15"/>
      <c r="AA376" s="14"/>
      <c r="AB376" s="15"/>
      <c r="AC376" s="14"/>
      <c r="AD376" s="15"/>
      <c r="AE376" s="14"/>
      <c r="AF376" s="15"/>
      <c r="AG376" s="14"/>
      <c r="AH376" s="15"/>
      <c r="AI376" s="14"/>
      <c r="AJ376" s="15"/>
      <c r="AK376" s="107"/>
    </row>
    <row r="377" spans="1:37" ht="16.5" customHeight="1" x14ac:dyDescent="0.2">
      <c r="A377" s="6"/>
      <c r="B377" s="135">
        <f t="shared" si="119"/>
        <v>22</v>
      </c>
      <c r="C377" s="135">
        <f>'Kelas XI'!C362</f>
        <v>16345</v>
      </c>
      <c r="D377" s="34" t="str">
        <f>'Kelas XI'!D362</f>
        <v>NINGRUM BUDIARTI</v>
      </c>
      <c r="E377" s="14"/>
      <c r="F377" s="15"/>
      <c r="G377" s="14"/>
      <c r="H377" s="15"/>
      <c r="I377" s="14"/>
      <c r="J377" s="15"/>
      <c r="K377" s="14"/>
      <c r="L377" s="15"/>
      <c r="M377" s="14"/>
      <c r="N377" s="15"/>
      <c r="O377" s="14"/>
      <c r="P377" s="15"/>
      <c r="Q377" s="14"/>
      <c r="R377" s="15"/>
      <c r="S377" s="14"/>
      <c r="T377" s="15"/>
      <c r="U377" s="14"/>
      <c r="V377" s="15"/>
      <c r="W377" s="14"/>
      <c r="X377" s="15"/>
      <c r="Y377" s="14"/>
      <c r="Z377" s="15"/>
      <c r="AA377" s="14"/>
      <c r="AB377" s="15"/>
      <c r="AC377" s="14"/>
      <c r="AD377" s="15"/>
      <c r="AE377" s="14"/>
      <c r="AF377" s="15"/>
      <c r="AG377" s="14"/>
      <c r="AH377" s="15"/>
      <c r="AI377" s="14"/>
      <c r="AJ377" s="15"/>
      <c r="AK377" s="107"/>
    </row>
    <row r="378" spans="1:37" ht="16.5" customHeight="1" x14ac:dyDescent="0.2">
      <c r="A378" s="6"/>
      <c r="B378" s="135">
        <f t="shared" si="119"/>
        <v>23</v>
      </c>
      <c r="C378" s="135">
        <f>'Kelas XI'!C363</f>
        <v>16372</v>
      </c>
      <c r="D378" s="34" t="str">
        <f>'Kelas XI'!D363</f>
        <v>SALSABILA AYU PUSPITA SARI</v>
      </c>
      <c r="E378" s="14"/>
      <c r="F378" s="15"/>
      <c r="G378" s="14"/>
      <c r="H378" s="15"/>
      <c r="I378" s="14"/>
      <c r="J378" s="15"/>
      <c r="K378" s="14"/>
      <c r="L378" s="15"/>
      <c r="M378" s="14"/>
      <c r="N378" s="15"/>
      <c r="O378" s="14"/>
      <c r="P378" s="15"/>
      <c r="Q378" s="14"/>
      <c r="R378" s="15"/>
      <c r="S378" s="14"/>
      <c r="T378" s="15"/>
      <c r="U378" s="14"/>
      <c r="V378" s="15"/>
      <c r="W378" s="14"/>
      <c r="X378" s="15"/>
      <c r="Y378" s="14"/>
      <c r="Z378" s="15"/>
      <c r="AA378" s="14"/>
      <c r="AB378" s="15"/>
      <c r="AC378" s="14"/>
      <c r="AD378" s="15"/>
      <c r="AE378" s="14"/>
      <c r="AF378" s="15"/>
      <c r="AG378" s="14"/>
      <c r="AH378" s="15"/>
      <c r="AI378" s="14"/>
      <c r="AJ378" s="15"/>
      <c r="AK378" s="107"/>
    </row>
    <row r="379" spans="1:37" ht="16.5" customHeight="1" x14ac:dyDescent="0.2">
      <c r="A379" s="6"/>
      <c r="B379" s="135">
        <f t="shared" si="119"/>
        <v>24</v>
      </c>
      <c r="C379" s="135">
        <f>'Kelas XI'!C364</f>
        <v>16347</v>
      </c>
      <c r="D379" s="34" t="str">
        <f>'Kelas XI'!D364</f>
        <v>SHAKIRA CHOIRUNNISA</v>
      </c>
      <c r="E379" s="14"/>
      <c r="F379" s="15"/>
      <c r="G379" s="14"/>
      <c r="H379" s="15"/>
      <c r="I379" s="14"/>
      <c r="J379" s="15"/>
      <c r="K379" s="14"/>
      <c r="L379" s="15"/>
      <c r="M379" s="14"/>
      <c r="N379" s="15"/>
      <c r="O379" s="14"/>
      <c r="P379" s="15"/>
      <c r="Q379" s="14"/>
      <c r="R379" s="15"/>
      <c r="S379" s="14"/>
      <c r="T379" s="15"/>
      <c r="U379" s="14"/>
      <c r="V379" s="15"/>
      <c r="W379" s="14"/>
      <c r="X379" s="15"/>
      <c r="Y379" s="14"/>
      <c r="Z379" s="15"/>
      <c r="AA379" s="14"/>
      <c r="AB379" s="15"/>
      <c r="AC379" s="14"/>
      <c r="AD379" s="15"/>
      <c r="AE379" s="14"/>
      <c r="AF379" s="15"/>
      <c r="AG379" s="14"/>
      <c r="AH379" s="15"/>
      <c r="AI379" s="14"/>
      <c r="AJ379" s="15"/>
      <c r="AK379" s="107"/>
    </row>
    <row r="380" spans="1:37" ht="16.5" customHeight="1" x14ac:dyDescent="0.2">
      <c r="A380" s="6"/>
      <c r="B380" s="135">
        <f t="shared" si="119"/>
        <v>25</v>
      </c>
      <c r="C380" s="135">
        <f>'Kelas XI'!C365</f>
        <v>16286</v>
      </c>
      <c r="D380" s="34" t="str">
        <f>'Kelas XI'!D365</f>
        <v>SILVI FAJRIYATUL BADI'AH</v>
      </c>
      <c r="E380" s="14"/>
      <c r="F380" s="15"/>
      <c r="G380" s="14"/>
      <c r="H380" s="15"/>
      <c r="I380" s="14"/>
      <c r="J380" s="15"/>
      <c r="K380" s="14"/>
      <c r="L380" s="15"/>
      <c r="M380" s="14"/>
      <c r="N380" s="15"/>
      <c r="O380" s="14"/>
      <c r="P380" s="15"/>
      <c r="Q380" s="14"/>
      <c r="R380" s="15"/>
      <c r="S380" s="14"/>
      <c r="T380" s="15"/>
      <c r="U380" s="14"/>
      <c r="V380" s="15"/>
      <c r="W380" s="14"/>
      <c r="X380" s="15"/>
      <c r="Y380" s="14"/>
      <c r="Z380" s="15"/>
      <c r="AA380" s="14"/>
      <c r="AB380" s="15"/>
      <c r="AC380" s="14"/>
      <c r="AD380" s="15"/>
      <c r="AE380" s="14"/>
      <c r="AF380" s="15"/>
      <c r="AG380" s="14"/>
      <c r="AH380" s="15"/>
      <c r="AI380" s="14"/>
      <c r="AJ380" s="15"/>
      <c r="AK380" s="107"/>
    </row>
    <row r="381" spans="1:37" ht="16.5" customHeight="1" x14ac:dyDescent="0.2">
      <c r="A381" s="6"/>
      <c r="B381" s="135">
        <f t="shared" si="119"/>
        <v>26</v>
      </c>
      <c r="C381" s="135">
        <f>'Kelas XI'!C366</f>
        <v>0</v>
      </c>
      <c r="D381" s="34">
        <f>'Kelas XI'!D366</f>
        <v>0</v>
      </c>
      <c r="E381" s="14"/>
      <c r="F381" s="15"/>
      <c r="G381" s="14"/>
      <c r="H381" s="15"/>
      <c r="I381" s="14"/>
      <c r="J381" s="15"/>
      <c r="K381" s="14"/>
      <c r="L381" s="15"/>
      <c r="M381" s="14"/>
      <c r="N381" s="15"/>
      <c r="O381" s="14"/>
      <c r="P381" s="15"/>
      <c r="Q381" s="14"/>
      <c r="R381" s="15"/>
      <c r="S381" s="14"/>
      <c r="T381" s="15"/>
      <c r="U381" s="14"/>
      <c r="V381" s="15"/>
      <c r="W381" s="14"/>
      <c r="X381" s="15"/>
      <c r="Y381" s="14"/>
      <c r="Z381" s="15"/>
      <c r="AA381" s="14"/>
      <c r="AB381" s="15"/>
      <c r="AC381" s="14"/>
      <c r="AD381" s="15"/>
      <c r="AE381" s="14"/>
      <c r="AF381" s="15"/>
      <c r="AG381" s="14"/>
      <c r="AH381" s="15"/>
      <c r="AI381" s="14"/>
      <c r="AJ381" s="15"/>
      <c r="AK381" s="107"/>
    </row>
    <row r="382" spans="1:37" ht="16.5" customHeight="1" x14ac:dyDescent="0.2">
      <c r="A382" s="6"/>
      <c r="B382" s="135">
        <f t="shared" si="119"/>
        <v>27</v>
      </c>
      <c r="C382" s="135">
        <f>'Kelas XI'!C367</f>
        <v>0</v>
      </c>
      <c r="D382" s="34">
        <f>'Kelas XI'!D367</f>
        <v>0</v>
      </c>
      <c r="E382" s="14"/>
      <c r="F382" s="15"/>
      <c r="G382" s="14"/>
      <c r="H382" s="15"/>
      <c r="I382" s="14"/>
      <c r="J382" s="15"/>
      <c r="K382" s="14"/>
      <c r="L382" s="15"/>
      <c r="M382" s="14"/>
      <c r="N382" s="15"/>
      <c r="O382" s="14"/>
      <c r="P382" s="15"/>
      <c r="Q382" s="14"/>
      <c r="R382" s="15"/>
      <c r="S382" s="14"/>
      <c r="T382" s="15"/>
      <c r="U382" s="14"/>
      <c r="V382" s="15"/>
      <c r="W382" s="14"/>
      <c r="X382" s="15"/>
      <c r="Y382" s="14"/>
      <c r="Z382" s="15"/>
      <c r="AA382" s="14"/>
      <c r="AB382" s="15"/>
      <c r="AC382" s="14"/>
      <c r="AD382" s="15"/>
      <c r="AE382" s="14"/>
      <c r="AF382" s="15"/>
      <c r="AG382" s="14"/>
      <c r="AH382" s="15"/>
      <c r="AI382" s="14"/>
      <c r="AJ382" s="15"/>
      <c r="AK382" s="107"/>
    </row>
    <row r="383" spans="1:37" ht="16.5" customHeight="1" x14ac:dyDescent="0.2">
      <c r="A383" s="6"/>
      <c r="B383" s="135">
        <f t="shared" si="119"/>
        <v>28</v>
      </c>
      <c r="C383" s="135">
        <f>'Kelas XI'!C368</f>
        <v>0</v>
      </c>
      <c r="D383" s="34">
        <f>'Kelas XI'!D368</f>
        <v>0</v>
      </c>
      <c r="E383" s="14"/>
      <c r="F383" s="15"/>
      <c r="G383" s="14"/>
      <c r="H383" s="15"/>
      <c r="I383" s="14"/>
      <c r="J383" s="15"/>
      <c r="K383" s="14"/>
      <c r="L383" s="15"/>
      <c r="M383" s="14"/>
      <c r="N383" s="15"/>
      <c r="O383" s="14"/>
      <c r="P383" s="15"/>
      <c r="Q383" s="14"/>
      <c r="R383" s="15"/>
      <c r="S383" s="14"/>
      <c r="T383" s="15"/>
      <c r="U383" s="14"/>
      <c r="V383" s="15"/>
      <c r="W383" s="14"/>
      <c r="X383" s="15"/>
      <c r="Y383" s="14"/>
      <c r="Z383" s="15"/>
      <c r="AA383" s="14"/>
      <c r="AB383" s="15"/>
      <c r="AC383" s="14"/>
      <c r="AD383" s="15"/>
      <c r="AE383" s="14"/>
      <c r="AF383" s="15"/>
      <c r="AG383" s="14"/>
      <c r="AH383" s="15"/>
      <c r="AI383" s="14"/>
      <c r="AJ383" s="15"/>
      <c r="AK383" s="107"/>
    </row>
    <row r="384" spans="1:37" ht="16.5" customHeight="1" x14ac:dyDescent="0.2">
      <c r="A384" s="6"/>
      <c r="B384" s="135">
        <f t="shared" si="119"/>
        <v>29</v>
      </c>
      <c r="C384" s="135">
        <f>'Kelas XI'!C369</f>
        <v>0</v>
      </c>
      <c r="D384" s="34">
        <f>'Kelas XI'!D369</f>
        <v>0</v>
      </c>
      <c r="E384" s="14"/>
      <c r="F384" s="15"/>
      <c r="G384" s="14"/>
      <c r="H384" s="15"/>
      <c r="I384" s="14"/>
      <c r="J384" s="15"/>
      <c r="K384" s="14"/>
      <c r="L384" s="15"/>
      <c r="M384" s="14"/>
      <c r="N384" s="15"/>
      <c r="O384" s="14"/>
      <c r="P384" s="15"/>
      <c r="Q384" s="14"/>
      <c r="R384" s="15"/>
      <c r="S384" s="14"/>
      <c r="T384" s="15"/>
      <c r="U384" s="14"/>
      <c r="V384" s="15"/>
      <c r="W384" s="14"/>
      <c r="X384" s="15"/>
      <c r="Y384" s="14"/>
      <c r="Z384" s="15"/>
      <c r="AA384" s="14"/>
      <c r="AB384" s="15"/>
      <c r="AC384" s="14"/>
      <c r="AD384" s="15"/>
      <c r="AE384" s="14"/>
      <c r="AF384" s="15"/>
      <c r="AG384" s="14"/>
      <c r="AH384" s="15"/>
      <c r="AI384" s="14"/>
      <c r="AJ384" s="15"/>
      <c r="AK384" s="107"/>
    </row>
    <row r="385" spans="1:37" ht="16.5" customHeight="1" x14ac:dyDescent="0.2">
      <c r="A385" s="6"/>
      <c r="B385" s="135">
        <f t="shared" si="119"/>
        <v>30</v>
      </c>
      <c r="C385" s="135">
        <f>'Kelas XI'!C370</f>
        <v>0</v>
      </c>
      <c r="D385" s="34">
        <f>'Kelas XI'!D370</f>
        <v>0</v>
      </c>
      <c r="E385" s="14"/>
      <c r="F385" s="15"/>
      <c r="G385" s="14"/>
      <c r="H385" s="15"/>
      <c r="I385" s="14"/>
      <c r="J385" s="15"/>
      <c r="K385" s="14"/>
      <c r="L385" s="15"/>
      <c r="M385" s="14"/>
      <c r="N385" s="15"/>
      <c r="O385" s="14"/>
      <c r="P385" s="15"/>
      <c r="Q385" s="14"/>
      <c r="R385" s="15"/>
      <c r="S385" s="14"/>
      <c r="T385" s="15"/>
      <c r="U385" s="14"/>
      <c r="V385" s="15"/>
      <c r="W385" s="14"/>
      <c r="X385" s="15"/>
      <c r="Y385" s="14"/>
      <c r="Z385" s="15"/>
      <c r="AA385" s="14"/>
      <c r="AB385" s="15"/>
      <c r="AC385" s="14"/>
      <c r="AD385" s="15"/>
      <c r="AE385" s="14"/>
      <c r="AF385" s="15"/>
      <c r="AG385" s="14"/>
      <c r="AH385" s="15"/>
      <c r="AI385" s="14"/>
      <c r="AJ385" s="15"/>
      <c r="AK385" s="107"/>
    </row>
    <row r="386" spans="1:37" ht="16.5" customHeight="1" x14ac:dyDescent="0.2">
      <c r="A386" s="6"/>
      <c r="B386" s="135">
        <f t="shared" si="119"/>
        <v>31</v>
      </c>
      <c r="C386" s="135">
        <f>'Kelas XI'!C371</f>
        <v>0</v>
      </c>
      <c r="D386" s="34">
        <f>'Kelas XI'!D371</f>
        <v>0</v>
      </c>
      <c r="E386" s="14"/>
      <c r="F386" s="15"/>
      <c r="G386" s="14"/>
      <c r="H386" s="15"/>
      <c r="I386" s="14"/>
      <c r="J386" s="15"/>
      <c r="K386" s="14"/>
      <c r="L386" s="15"/>
      <c r="M386" s="14"/>
      <c r="N386" s="15"/>
      <c r="O386" s="14"/>
      <c r="P386" s="15"/>
      <c r="Q386" s="14"/>
      <c r="R386" s="15"/>
      <c r="S386" s="14"/>
      <c r="T386" s="15"/>
      <c r="U386" s="14"/>
      <c r="V386" s="15"/>
      <c r="W386" s="14"/>
      <c r="X386" s="15"/>
      <c r="Y386" s="14"/>
      <c r="Z386" s="15"/>
      <c r="AA386" s="14"/>
      <c r="AB386" s="15"/>
      <c r="AC386" s="14"/>
      <c r="AD386" s="15"/>
      <c r="AE386" s="14"/>
      <c r="AF386" s="15"/>
      <c r="AG386" s="14"/>
      <c r="AH386" s="15"/>
      <c r="AI386" s="14"/>
      <c r="AJ386" s="15"/>
      <c r="AK386" s="107"/>
    </row>
    <row r="387" spans="1:37" ht="16.5" customHeight="1" x14ac:dyDescent="0.2">
      <c r="A387" s="6"/>
      <c r="B387" s="135">
        <f t="shared" si="119"/>
        <v>32</v>
      </c>
      <c r="C387" s="135">
        <f>'Kelas XI'!C372</f>
        <v>0</v>
      </c>
      <c r="D387" s="34">
        <f>'Kelas XI'!D372</f>
        <v>0</v>
      </c>
      <c r="E387" s="14"/>
      <c r="F387" s="15"/>
      <c r="G387" s="14"/>
      <c r="H387" s="15"/>
      <c r="I387" s="14"/>
      <c r="J387" s="15"/>
      <c r="K387" s="14"/>
      <c r="L387" s="15"/>
      <c r="M387" s="14"/>
      <c r="N387" s="15"/>
      <c r="O387" s="14"/>
      <c r="P387" s="15"/>
      <c r="Q387" s="14"/>
      <c r="R387" s="15"/>
      <c r="S387" s="14"/>
      <c r="T387" s="15"/>
      <c r="U387" s="14"/>
      <c r="V387" s="15"/>
      <c r="W387" s="14"/>
      <c r="X387" s="15"/>
      <c r="Y387" s="14"/>
      <c r="Z387" s="15"/>
      <c r="AA387" s="14"/>
      <c r="AB387" s="15"/>
      <c r="AC387" s="14"/>
      <c r="AD387" s="15"/>
      <c r="AE387" s="14"/>
      <c r="AF387" s="15"/>
      <c r="AG387" s="14"/>
      <c r="AH387" s="15"/>
      <c r="AI387" s="14"/>
      <c r="AJ387" s="15"/>
      <c r="AK387" s="107"/>
    </row>
    <row r="388" spans="1:37" ht="16.5" customHeight="1" x14ac:dyDescent="0.2">
      <c r="A388" s="6"/>
      <c r="B388" s="135">
        <f t="shared" si="119"/>
        <v>33</v>
      </c>
      <c r="C388" s="135">
        <f>'Kelas XI'!C373</f>
        <v>0</v>
      </c>
      <c r="D388" s="34">
        <f>'Kelas XI'!D373</f>
        <v>0</v>
      </c>
      <c r="E388" s="16"/>
      <c r="F388" s="17"/>
      <c r="G388" s="16"/>
      <c r="H388" s="17"/>
      <c r="I388" s="16"/>
      <c r="J388" s="17"/>
      <c r="K388" s="16"/>
      <c r="L388" s="17"/>
      <c r="M388" s="16"/>
      <c r="N388" s="17"/>
      <c r="O388" s="16"/>
      <c r="P388" s="17"/>
      <c r="Q388" s="16"/>
      <c r="R388" s="17"/>
      <c r="S388" s="16"/>
      <c r="T388" s="17"/>
      <c r="U388" s="16"/>
      <c r="V388" s="17"/>
      <c r="W388" s="16"/>
      <c r="X388" s="17"/>
      <c r="Y388" s="16"/>
      <c r="Z388" s="17"/>
      <c r="AA388" s="16"/>
      <c r="AB388" s="17"/>
      <c r="AC388" s="16"/>
      <c r="AD388" s="17"/>
      <c r="AE388" s="16"/>
      <c r="AF388" s="17"/>
      <c r="AG388" s="16"/>
      <c r="AH388" s="17"/>
      <c r="AI388" s="16"/>
      <c r="AJ388" s="17"/>
      <c r="AK388" s="107"/>
    </row>
    <row r="389" spans="1:37" ht="16.5" customHeight="1" x14ac:dyDescent="0.2">
      <c r="A389" s="6"/>
      <c r="B389" s="135">
        <f t="shared" si="119"/>
        <v>34</v>
      </c>
      <c r="C389" s="135">
        <f>'Kelas XI'!C374</f>
        <v>0</v>
      </c>
      <c r="D389" s="34">
        <f>'Kelas XI'!D374</f>
        <v>0</v>
      </c>
      <c r="E389" s="16"/>
      <c r="F389" s="17"/>
      <c r="G389" s="16"/>
      <c r="H389" s="17"/>
      <c r="I389" s="16"/>
      <c r="J389" s="17"/>
      <c r="K389" s="16"/>
      <c r="L389" s="17"/>
      <c r="M389" s="16"/>
      <c r="N389" s="17"/>
      <c r="O389" s="16"/>
      <c r="P389" s="17"/>
      <c r="Q389" s="16"/>
      <c r="R389" s="17"/>
      <c r="S389" s="16"/>
      <c r="T389" s="17"/>
      <c r="U389" s="16"/>
      <c r="V389" s="17"/>
      <c r="W389" s="16"/>
      <c r="X389" s="17"/>
      <c r="Y389" s="16"/>
      <c r="Z389" s="17"/>
      <c r="AA389" s="16"/>
      <c r="AB389" s="17"/>
      <c r="AC389" s="16"/>
      <c r="AD389" s="17"/>
      <c r="AE389" s="16"/>
      <c r="AF389" s="17"/>
      <c r="AG389" s="16"/>
      <c r="AH389" s="17"/>
      <c r="AI389" s="16"/>
      <c r="AJ389" s="17"/>
      <c r="AK389" s="107"/>
    </row>
    <row r="390" spans="1:37" ht="16.5" customHeight="1" x14ac:dyDescent="0.2">
      <c r="A390" s="6"/>
      <c r="B390" s="135">
        <f t="shared" si="119"/>
        <v>35</v>
      </c>
      <c r="C390" s="135">
        <f>'Kelas XI'!C375</f>
        <v>0</v>
      </c>
      <c r="D390" s="34">
        <f>'Kelas XI'!D375</f>
        <v>0</v>
      </c>
      <c r="E390" s="16"/>
      <c r="F390" s="17"/>
      <c r="G390" s="16"/>
      <c r="H390" s="17"/>
      <c r="I390" s="16"/>
      <c r="J390" s="17"/>
      <c r="K390" s="16"/>
      <c r="L390" s="17"/>
      <c r="M390" s="16"/>
      <c r="N390" s="17"/>
      <c r="O390" s="16"/>
      <c r="P390" s="17"/>
      <c r="Q390" s="16"/>
      <c r="R390" s="17"/>
      <c r="S390" s="16"/>
      <c r="T390" s="17"/>
      <c r="U390" s="16"/>
      <c r="V390" s="17"/>
      <c r="W390" s="16"/>
      <c r="X390" s="17"/>
      <c r="Y390" s="16"/>
      <c r="Z390" s="17"/>
      <c r="AA390" s="16"/>
      <c r="AB390" s="17"/>
      <c r="AC390" s="16"/>
      <c r="AD390" s="17"/>
      <c r="AE390" s="16"/>
      <c r="AF390" s="17"/>
      <c r="AG390" s="16"/>
      <c r="AH390" s="17"/>
      <c r="AI390" s="16"/>
      <c r="AJ390" s="17"/>
      <c r="AK390" s="107"/>
    </row>
    <row r="391" spans="1:37" ht="16.5" customHeight="1" x14ac:dyDescent="0.2">
      <c r="A391" s="6"/>
      <c r="B391" s="135">
        <f t="shared" si="119"/>
        <v>36</v>
      </c>
      <c r="C391" s="135">
        <f>'Kelas XI'!C376</f>
        <v>0</v>
      </c>
      <c r="D391" s="34">
        <f>'Kelas XI'!D376</f>
        <v>0</v>
      </c>
      <c r="E391" s="16"/>
      <c r="F391" s="17"/>
      <c r="G391" s="16"/>
      <c r="H391" s="17"/>
      <c r="I391" s="16"/>
      <c r="J391" s="17"/>
      <c r="K391" s="16"/>
      <c r="L391" s="17"/>
      <c r="M391" s="16"/>
      <c r="N391" s="17"/>
      <c r="O391" s="16"/>
      <c r="P391" s="17"/>
      <c r="Q391" s="16"/>
      <c r="R391" s="17"/>
      <c r="S391" s="16"/>
      <c r="T391" s="17"/>
      <c r="U391" s="16"/>
      <c r="V391" s="17"/>
      <c r="W391" s="16"/>
      <c r="X391" s="17"/>
      <c r="Y391" s="16"/>
      <c r="Z391" s="17"/>
      <c r="AA391" s="16"/>
      <c r="AB391" s="17"/>
      <c r="AC391" s="16"/>
      <c r="AD391" s="17"/>
      <c r="AE391" s="16"/>
      <c r="AF391" s="17"/>
      <c r="AG391" s="16"/>
      <c r="AH391" s="17"/>
      <c r="AI391" s="16"/>
      <c r="AJ391" s="17"/>
      <c r="AK391" s="107"/>
    </row>
    <row r="392" spans="1:37" ht="16.5" customHeight="1" x14ac:dyDescent="0.2">
      <c r="A392" s="6"/>
      <c r="B392" s="135">
        <f t="shared" si="119"/>
        <v>37</v>
      </c>
      <c r="C392" s="135">
        <f>'Kelas XI'!C377</f>
        <v>0</v>
      </c>
      <c r="D392" s="34">
        <f>'Kelas XI'!D377</f>
        <v>0</v>
      </c>
      <c r="E392" s="16"/>
      <c r="F392" s="17"/>
      <c r="G392" s="16"/>
      <c r="H392" s="17"/>
      <c r="I392" s="16"/>
      <c r="J392" s="17"/>
      <c r="K392" s="16"/>
      <c r="L392" s="17"/>
      <c r="M392" s="16"/>
      <c r="N392" s="17"/>
      <c r="O392" s="16"/>
      <c r="P392" s="17"/>
      <c r="Q392" s="16"/>
      <c r="R392" s="17"/>
      <c r="S392" s="16"/>
      <c r="T392" s="17"/>
      <c r="U392" s="16"/>
      <c r="V392" s="17"/>
      <c r="W392" s="16"/>
      <c r="X392" s="17"/>
      <c r="Y392" s="16"/>
      <c r="Z392" s="17"/>
      <c r="AA392" s="16"/>
      <c r="AB392" s="17"/>
      <c r="AC392" s="16"/>
      <c r="AD392" s="17"/>
      <c r="AE392" s="16"/>
      <c r="AF392" s="17"/>
      <c r="AG392" s="16"/>
      <c r="AH392" s="17"/>
      <c r="AI392" s="16"/>
      <c r="AJ392" s="17"/>
      <c r="AK392" s="107"/>
    </row>
    <row r="393" spans="1:37" ht="16.5" customHeight="1" thickBot="1" x14ac:dyDescent="0.25">
      <c r="A393" s="6"/>
      <c r="B393" s="143">
        <f t="shared" si="119"/>
        <v>38</v>
      </c>
      <c r="C393" s="143">
        <f>'Kelas XI'!C378</f>
        <v>0</v>
      </c>
      <c r="D393" s="147">
        <f>'Kelas XI'!D378</f>
        <v>0</v>
      </c>
      <c r="E393" s="18"/>
      <c r="F393" s="19"/>
      <c r="G393" s="18"/>
      <c r="H393" s="19"/>
      <c r="I393" s="18"/>
      <c r="J393" s="19"/>
      <c r="K393" s="18"/>
      <c r="L393" s="19"/>
      <c r="M393" s="18"/>
      <c r="N393" s="19"/>
      <c r="O393" s="18"/>
      <c r="P393" s="19"/>
      <c r="Q393" s="18"/>
      <c r="R393" s="19"/>
      <c r="S393" s="18"/>
      <c r="T393" s="19"/>
      <c r="U393" s="18"/>
      <c r="V393" s="19"/>
      <c r="W393" s="18"/>
      <c r="X393" s="19"/>
      <c r="Y393" s="18"/>
      <c r="Z393" s="19"/>
      <c r="AA393" s="18"/>
      <c r="AB393" s="19"/>
      <c r="AC393" s="18"/>
      <c r="AD393" s="19"/>
      <c r="AE393" s="18"/>
      <c r="AF393" s="19"/>
      <c r="AG393" s="18"/>
      <c r="AH393" s="19"/>
      <c r="AI393" s="18"/>
      <c r="AJ393" s="19"/>
      <c r="AK393" s="107"/>
    </row>
    <row r="394" spans="1:37" ht="16.5" customHeight="1" x14ac:dyDescent="0.2">
      <c r="A394" s="6"/>
      <c r="B394" s="6"/>
      <c r="C394" s="20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149"/>
      <c r="AK394" s="6"/>
    </row>
    <row r="395" spans="1:37" ht="16.5" customHeight="1" thickBot="1" x14ac:dyDescent="0.25"/>
    <row r="396" spans="1:37" ht="16.5" customHeight="1" x14ac:dyDescent="0.2">
      <c r="A396" s="6"/>
      <c r="B396" s="279"/>
      <c r="C396" s="280"/>
      <c r="D396" s="283" t="s">
        <v>3</v>
      </c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  <c r="Z396" s="284"/>
      <c r="AA396" s="284"/>
      <c r="AB396" s="284"/>
      <c r="AC396" s="284"/>
      <c r="AD396" s="284"/>
      <c r="AE396" s="284"/>
      <c r="AF396" s="284"/>
      <c r="AG396" s="284"/>
      <c r="AH396" s="284"/>
      <c r="AI396" s="284"/>
      <c r="AJ396" s="285"/>
      <c r="AK396" s="107"/>
    </row>
    <row r="397" spans="1:37" ht="16.5" customHeight="1" x14ac:dyDescent="0.2">
      <c r="A397" s="6"/>
      <c r="B397" s="281"/>
      <c r="C397" s="282"/>
      <c r="D397" s="286" t="s">
        <v>4</v>
      </c>
      <c r="E397" s="287"/>
      <c r="F397" s="287"/>
      <c r="G397" s="287"/>
      <c r="H397" s="287"/>
      <c r="I397" s="287"/>
      <c r="J397" s="287"/>
      <c r="K397" s="287"/>
      <c r="L397" s="287"/>
      <c r="M397" s="287"/>
      <c r="N397" s="287"/>
      <c r="O397" s="287"/>
      <c r="P397" s="287"/>
      <c r="Q397" s="287"/>
      <c r="R397" s="287"/>
      <c r="S397" s="287"/>
      <c r="T397" s="287"/>
      <c r="U397" s="287"/>
      <c r="V397" s="287"/>
      <c r="W397" s="287"/>
      <c r="X397" s="287"/>
      <c r="Y397" s="287"/>
      <c r="Z397" s="287"/>
      <c r="AA397" s="287"/>
      <c r="AB397" s="287"/>
      <c r="AC397" s="287"/>
      <c r="AD397" s="287"/>
      <c r="AE397" s="287"/>
      <c r="AF397" s="287"/>
      <c r="AG397" s="287"/>
      <c r="AH397" s="287"/>
      <c r="AI397" s="287"/>
      <c r="AJ397" s="288"/>
      <c r="AK397" s="107"/>
    </row>
    <row r="398" spans="1:37" ht="16.5" customHeight="1" x14ac:dyDescent="0.2">
      <c r="A398" s="6"/>
      <c r="B398" s="281"/>
      <c r="C398" s="282"/>
      <c r="D398" s="286" t="s">
        <v>547</v>
      </c>
      <c r="E398" s="287"/>
      <c r="F398" s="287"/>
      <c r="G398" s="287"/>
      <c r="H398" s="287"/>
      <c r="I398" s="287"/>
      <c r="J398" s="287"/>
      <c r="K398" s="287"/>
      <c r="L398" s="287"/>
      <c r="M398" s="287"/>
      <c r="N398" s="287"/>
      <c r="O398" s="287"/>
      <c r="P398" s="287"/>
      <c r="Q398" s="287"/>
      <c r="R398" s="287"/>
      <c r="S398" s="287"/>
      <c r="T398" s="287"/>
      <c r="U398" s="287"/>
      <c r="V398" s="287"/>
      <c r="W398" s="287"/>
      <c r="X398" s="287"/>
      <c r="Y398" s="287"/>
      <c r="Z398" s="287"/>
      <c r="AA398" s="287"/>
      <c r="AB398" s="287"/>
      <c r="AC398" s="287"/>
      <c r="AD398" s="287"/>
      <c r="AE398" s="287"/>
      <c r="AF398" s="287"/>
      <c r="AG398" s="287"/>
      <c r="AH398" s="287"/>
      <c r="AI398" s="287"/>
      <c r="AJ398" s="288"/>
      <c r="AK398" s="107"/>
    </row>
    <row r="399" spans="1:37" ht="16.5" customHeight="1" thickBot="1" x14ac:dyDescent="0.25">
      <c r="A399" s="6"/>
      <c r="B399" s="281"/>
      <c r="C399" s="282"/>
      <c r="D399" s="289"/>
      <c r="E399" s="290"/>
      <c r="F399" s="290"/>
      <c r="G399" s="290"/>
      <c r="H399" s="290"/>
      <c r="I399" s="290"/>
      <c r="J399" s="290"/>
      <c r="K399" s="290"/>
      <c r="L399" s="290"/>
      <c r="M399" s="290"/>
      <c r="N399" s="290"/>
      <c r="O399" s="290"/>
      <c r="P399" s="290"/>
      <c r="Q399" s="290"/>
      <c r="R399" s="290"/>
      <c r="S399" s="290"/>
      <c r="T399" s="290"/>
      <c r="U399" s="290"/>
      <c r="V399" s="290"/>
      <c r="W399" s="290"/>
      <c r="X399" s="290"/>
      <c r="Y399" s="290"/>
      <c r="Z399" s="290"/>
      <c r="AA399" s="290"/>
      <c r="AB399" s="290"/>
      <c r="AC399" s="290"/>
      <c r="AD399" s="290"/>
      <c r="AE399" s="290"/>
      <c r="AF399" s="290"/>
      <c r="AG399" s="290"/>
      <c r="AH399" s="290"/>
      <c r="AI399" s="290"/>
      <c r="AJ399" s="291"/>
      <c r="AK399" s="107"/>
    </row>
    <row r="400" spans="1:37" ht="16.5" customHeight="1" thickBot="1" x14ac:dyDescent="0.25">
      <c r="A400" s="6"/>
      <c r="B400" s="292"/>
      <c r="C400" s="293"/>
      <c r="D400" s="9" t="s">
        <v>548</v>
      </c>
      <c r="E400" s="10" t="s">
        <v>11</v>
      </c>
      <c r="F400" s="10"/>
      <c r="G400" s="10"/>
      <c r="H400" s="10"/>
      <c r="I400" s="10"/>
      <c r="J400" s="149"/>
      <c r="K400" s="10"/>
      <c r="L400" s="10"/>
      <c r="M400" s="10"/>
      <c r="N400" s="10"/>
      <c r="O400" s="10"/>
      <c r="P400" s="10"/>
      <c r="Q400" s="10"/>
      <c r="R400" s="10"/>
      <c r="S400" s="10" t="str">
        <f>'Kelas XI'!F385</f>
        <v>Wali Kelas   : LAZIMAH NUR AINI  ,S.Pd</v>
      </c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58"/>
      <c r="AK400" s="107"/>
    </row>
    <row r="401" spans="1:37" ht="16.5" customHeight="1" thickBot="1" x14ac:dyDescent="0.25">
      <c r="A401" s="6"/>
      <c r="B401" s="294" t="s">
        <v>6</v>
      </c>
      <c r="C401" s="294"/>
      <c r="D401" s="295" t="s">
        <v>7</v>
      </c>
      <c r="E401" s="292" t="s">
        <v>519</v>
      </c>
      <c r="F401" s="298"/>
      <c r="G401" s="298"/>
      <c r="H401" s="298"/>
      <c r="I401" s="298"/>
      <c r="J401" s="298"/>
      <c r="K401" s="298"/>
      <c r="L401" s="298"/>
      <c r="M401" s="298"/>
      <c r="N401" s="298"/>
      <c r="O401" s="298"/>
      <c r="P401" s="298"/>
      <c r="Q401" s="298"/>
      <c r="R401" s="298"/>
      <c r="S401" s="298"/>
      <c r="T401" s="298"/>
      <c r="U401" s="298"/>
      <c r="V401" s="298"/>
      <c r="W401" s="298"/>
      <c r="X401" s="298"/>
      <c r="Y401" s="298"/>
      <c r="Z401" s="298"/>
      <c r="AA401" s="298"/>
      <c r="AB401" s="298"/>
      <c r="AC401" s="298"/>
      <c r="AD401" s="298"/>
      <c r="AE401" s="298"/>
      <c r="AF401" s="298"/>
      <c r="AG401" s="298"/>
      <c r="AH401" s="298"/>
      <c r="AI401" s="298"/>
      <c r="AJ401" s="293"/>
      <c r="AK401" s="107"/>
    </row>
    <row r="402" spans="1:37" ht="16.5" customHeight="1" thickBot="1" x14ac:dyDescent="0.25">
      <c r="A402" s="6"/>
      <c r="B402" s="295" t="s">
        <v>8</v>
      </c>
      <c r="C402" s="295" t="s">
        <v>9</v>
      </c>
      <c r="D402" s="296"/>
      <c r="E402" s="292">
        <f>E8</f>
        <v>17</v>
      </c>
      <c r="F402" s="298"/>
      <c r="G402" s="292">
        <f>E402+1</f>
        <v>18</v>
      </c>
      <c r="H402" s="298"/>
      <c r="I402" s="292">
        <f t="shared" ref="I402" si="120">G402+1</f>
        <v>19</v>
      </c>
      <c r="J402" s="298"/>
      <c r="K402" s="292">
        <f t="shared" ref="K402" si="121">I402+1</f>
        <v>20</v>
      </c>
      <c r="L402" s="298"/>
      <c r="M402" s="292">
        <f t="shared" ref="M402" si="122">K402+1</f>
        <v>21</v>
      </c>
      <c r="N402" s="298"/>
      <c r="O402" s="292">
        <f t="shared" ref="O402" si="123">M402+1</f>
        <v>22</v>
      </c>
      <c r="P402" s="298"/>
      <c r="Q402" s="292">
        <f t="shared" ref="Q402" si="124">O402+1</f>
        <v>23</v>
      </c>
      <c r="R402" s="298"/>
      <c r="S402" s="292">
        <f t="shared" ref="S402" si="125">Q402+1</f>
        <v>24</v>
      </c>
      <c r="T402" s="298"/>
      <c r="U402" s="292">
        <f t="shared" ref="U402" si="126">S402+1</f>
        <v>25</v>
      </c>
      <c r="V402" s="298"/>
      <c r="W402" s="292">
        <f t="shared" ref="W402" si="127">U402+1</f>
        <v>26</v>
      </c>
      <c r="X402" s="298"/>
      <c r="Y402" s="292">
        <f t="shared" ref="Y402" si="128">W402+1</f>
        <v>27</v>
      </c>
      <c r="Z402" s="298"/>
      <c r="AA402" s="292">
        <f t="shared" ref="AA402" si="129">Y402+1</f>
        <v>28</v>
      </c>
      <c r="AB402" s="298"/>
      <c r="AC402" s="292">
        <f t="shared" ref="AC402" si="130">AA402+1</f>
        <v>29</v>
      </c>
      <c r="AD402" s="298"/>
      <c r="AE402" s="292">
        <f t="shared" ref="AE402" si="131">AC402+1</f>
        <v>30</v>
      </c>
      <c r="AF402" s="298"/>
      <c r="AG402" s="292">
        <f t="shared" ref="AG402" si="132">AE402+1</f>
        <v>31</v>
      </c>
      <c r="AH402" s="298"/>
      <c r="AI402" s="292">
        <f t="shared" ref="AI402" si="133">AG402+1</f>
        <v>32</v>
      </c>
      <c r="AJ402" s="298"/>
      <c r="AK402" s="107"/>
    </row>
    <row r="403" spans="1:37" ht="25.5" customHeight="1" thickBot="1" x14ac:dyDescent="0.25">
      <c r="A403" s="6"/>
      <c r="B403" s="297"/>
      <c r="C403" s="297"/>
      <c r="D403" s="297"/>
      <c r="E403" s="108" t="s">
        <v>13</v>
      </c>
      <c r="F403" s="108" t="s">
        <v>14</v>
      </c>
      <c r="G403" s="108" t="s">
        <v>13</v>
      </c>
      <c r="H403" s="108" t="s">
        <v>14</v>
      </c>
      <c r="I403" s="108" t="s">
        <v>13</v>
      </c>
      <c r="J403" s="108" t="s">
        <v>14</v>
      </c>
      <c r="K403" s="108" t="s">
        <v>13</v>
      </c>
      <c r="L403" s="108" t="s">
        <v>14</v>
      </c>
      <c r="M403" s="108" t="s">
        <v>13</v>
      </c>
      <c r="N403" s="108" t="s">
        <v>14</v>
      </c>
      <c r="O403" s="108" t="s">
        <v>13</v>
      </c>
      <c r="P403" s="108" t="s">
        <v>14</v>
      </c>
      <c r="Q403" s="108" t="s">
        <v>13</v>
      </c>
      <c r="R403" s="108" t="s">
        <v>14</v>
      </c>
      <c r="S403" s="108" t="s">
        <v>13</v>
      </c>
      <c r="T403" s="108" t="s">
        <v>14</v>
      </c>
      <c r="U403" s="108" t="s">
        <v>13</v>
      </c>
      <c r="V403" s="108" t="s">
        <v>14</v>
      </c>
      <c r="W403" s="108" t="s">
        <v>13</v>
      </c>
      <c r="X403" s="108" t="s">
        <v>14</v>
      </c>
      <c r="Y403" s="108" t="s">
        <v>13</v>
      </c>
      <c r="Z403" s="108" t="s">
        <v>14</v>
      </c>
      <c r="AA403" s="108" t="s">
        <v>13</v>
      </c>
      <c r="AB403" s="108" t="s">
        <v>14</v>
      </c>
      <c r="AC403" s="108" t="s">
        <v>13</v>
      </c>
      <c r="AD403" s="108" t="s">
        <v>14</v>
      </c>
      <c r="AE403" s="108" t="s">
        <v>13</v>
      </c>
      <c r="AF403" s="108" t="s">
        <v>14</v>
      </c>
      <c r="AG403" s="108" t="s">
        <v>13</v>
      </c>
      <c r="AH403" s="108" t="s">
        <v>14</v>
      </c>
      <c r="AI403" s="108" t="s">
        <v>13</v>
      </c>
      <c r="AJ403" s="108" t="s">
        <v>14</v>
      </c>
      <c r="AK403" s="107"/>
    </row>
    <row r="404" spans="1:37" ht="16.5" customHeight="1" x14ac:dyDescent="0.2">
      <c r="A404" s="6"/>
      <c r="B404" s="22">
        <v>1</v>
      </c>
      <c r="C404" s="22">
        <f>'Kelas XI'!C388</f>
        <v>16265</v>
      </c>
      <c r="D404" s="34" t="str">
        <f>'Kelas XI'!D388</f>
        <v>ARTAVIA DWI ANGGRAINI</v>
      </c>
      <c r="E404" s="12"/>
      <c r="F404" s="13"/>
      <c r="G404" s="12"/>
      <c r="H404" s="13"/>
      <c r="I404" s="12"/>
      <c r="J404" s="13"/>
      <c r="K404" s="12"/>
      <c r="L404" s="13"/>
      <c r="M404" s="12"/>
      <c r="N404" s="13"/>
      <c r="O404" s="12"/>
      <c r="P404" s="13"/>
      <c r="Q404" s="12"/>
      <c r="R404" s="13"/>
      <c r="S404" s="12"/>
      <c r="T404" s="13"/>
      <c r="U404" s="12"/>
      <c r="V404" s="13"/>
      <c r="W404" s="12"/>
      <c r="X404" s="13"/>
      <c r="Y404" s="12"/>
      <c r="Z404" s="13"/>
      <c r="AA404" s="12"/>
      <c r="AB404" s="13"/>
      <c r="AC404" s="12"/>
      <c r="AD404" s="13"/>
      <c r="AE404" s="12"/>
      <c r="AF404" s="13"/>
      <c r="AG404" s="12"/>
      <c r="AH404" s="13"/>
      <c r="AI404" s="12"/>
      <c r="AJ404" s="13"/>
      <c r="AK404" s="107"/>
    </row>
    <row r="405" spans="1:37" ht="16.5" customHeight="1" x14ac:dyDescent="0.2">
      <c r="A405" s="6"/>
      <c r="B405" s="135">
        <f t="shared" ref="B405:B441" si="134">B404+1</f>
        <v>2</v>
      </c>
      <c r="C405" s="135">
        <f>'Kelas XI'!C389</f>
        <v>16356</v>
      </c>
      <c r="D405" s="34" t="str">
        <f>'Kelas XI'!D389</f>
        <v>AYSHA KAYLANI PUTRI WAHID</v>
      </c>
      <c r="E405" s="14"/>
      <c r="F405" s="15"/>
      <c r="G405" s="14"/>
      <c r="H405" s="15"/>
      <c r="I405" s="14"/>
      <c r="J405" s="15"/>
      <c r="K405" s="14"/>
      <c r="L405" s="15"/>
      <c r="M405" s="14"/>
      <c r="N405" s="15"/>
      <c r="O405" s="14"/>
      <c r="P405" s="15"/>
      <c r="Q405" s="14"/>
      <c r="R405" s="15"/>
      <c r="S405" s="14"/>
      <c r="T405" s="15"/>
      <c r="U405" s="14"/>
      <c r="V405" s="15"/>
      <c r="W405" s="14"/>
      <c r="X405" s="15"/>
      <c r="Y405" s="14"/>
      <c r="Z405" s="15"/>
      <c r="AA405" s="14"/>
      <c r="AB405" s="15"/>
      <c r="AC405" s="14"/>
      <c r="AD405" s="15"/>
      <c r="AE405" s="14"/>
      <c r="AF405" s="15"/>
      <c r="AG405" s="14"/>
      <c r="AH405" s="15"/>
      <c r="AI405" s="14"/>
      <c r="AJ405" s="15"/>
      <c r="AK405" s="107"/>
    </row>
    <row r="406" spans="1:37" ht="16.5" customHeight="1" x14ac:dyDescent="0.2">
      <c r="A406" s="6"/>
      <c r="B406" s="135">
        <f t="shared" si="134"/>
        <v>3</v>
      </c>
      <c r="C406" s="135">
        <f>'Kelas XI'!C390</f>
        <v>16266</v>
      </c>
      <c r="D406" s="34" t="str">
        <f>'Kelas XI'!D390</f>
        <v>BINA AULIA SAPUTRI</v>
      </c>
      <c r="E406" s="14"/>
      <c r="F406" s="15"/>
      <c r="G406" s="14"/>
      <c r="H406" s="15"/>
      <c r="I406" s="14"/>
      <c r="J406" s="15"/>
      <c r="K406" s="14"/>
      <c r="L406" s="15"/>
      <c r="M406" s="14"/>
      <c r="N406" s="15"/>
      <c r="O406" s="14"/>
      <c r="P406" s="15"/>
      <c r="Q406" s="14"/>
      <c r="R406" s="15"/>
      <c r="S406" s="14"/>
      <c r="T406" s="15"/>
      <c r="U406" s="14"/>
      <c r="V406" s="15"/>
      <c r="W406" s="14"/>
      <c r="X406" s="15"/>
      <c r="Y406" s="14"/>
      <c r="Z406" s="15"/>
      <c r="AA406" s="14"/>
      <c r="AB406" s="15"/>
      <c r="AC406" s="14"/>
      <c r="AD406" s="15"/>
      <c r="AE406" s="14"/>
      <c r="AF406" s="15"/>
      <c r="AG406" s="14"/>
      <c r="AH406" s="15"/>
      <c r="AI406" s="14"/>
      <c r="AJ406" s="15"/>
      <c r="AK406" s="107"/>
    </row>
    <row r="407" spans="1:37" ht="16.5" customHeight="1" x14ac:dyDescent="0.2">
      <c r="A407" s="6"/>
      <c r="B407" s="135">
        <f t="shared" si="134"/>
        <v>4</v>
      </c>
      <c r="C407" s="135">
        <f>'Kelas XI'!C391</f>
        <v>16296</v>
      </c>
      <c r="D407" s="34" t="str">
        <f>'Kelas XI'!D391</f>
        <v>CINTANIA KINAYA EKYANTI</v>
      </c>
      <c r="E407" s="14"/>
      <c r="F407" s="15"/>
      <c r="G407" s="14"/>
      <c r="H407" s="15"/>
      <c r="I407" s="14"/>
      <c r="J407" s="15"/>
      <c r="K407" s="14"/>
      <c r="L407" s="15"/>
      <c r="M407" s="14"/>
      <c r="N407" s="15"/>
      <c r="O407" s="14"/>
      <c r="P407" s="15"/>
      <c r="Q407" s="14"/>
      <c r="R407" s="15"/>
      <c r="S407" s="14"/>
      <c r="T407" s="15"/>
      <c r="U407" s="14"/>
      <c r="V407" s="15"/>
      <c r="W407" s="14"/>
      <c r="X407" s="15"/>
      <c r="Y407" s="14"/>
      <c r="Z407" s="15"/>
      <c r="AA407" s="14"/>
      <c r="AB407" s="15"/>
      <c r="AC407" s="14"/>
      <c r="AD407" s="15"/>
      <c r="AE407" s="14"/>
      <c r="AF407" s="15"/>
      <c r="AG407" s="14"/>
      <c r="AH407" s="15"/>
      <c r="AI407" s="14"/>
      <c r="AJ407" s="15"/>
      <c r="AK407" s="107"/>
    </row>
    <row r="408" spans="1:37" ht="16.5" customHeight="1" x14ac:dyDescent="0.2">
      <c r="A408" s="6"/>
      <c r="B408" s="135">
        <f t="shared" si="134"/>
        <v>5</v>
      </c>
      <c r="C408" s="135">
        <f>'Kelas XI'!C392</f>
        <v>16357</v>
      </c>
      <c r="D408" s="34" t="str">
        <f>'Kelas XI'!D392</f>
        <v>DIVA AMALIA NALINI PUTRI</v>
      </c>
      <c r="E408" s="14"/>
      <c r="F408" s="15"/>
      <c r="G408" s="14"/>
      <c r="H408" s="15"/>
      <c r="I408" s="14"/>
      <c r="J408" s="15"/>
      <c r="K408" s="14"/>
      <c r="L408" s="15"/>
      <c r="M408" s="14"/>
      <c r="N408" s="15"/>
      <c r="O408" s="14"/>
      <c r="P408" s="15"/>
      <c r="Q408" s="14"/>
      <c r="R408" s="15"/>
      <c r="S408" s="14"/>
      <c r="T408" s="15"/>
      <c r="U408" s="14"/>
      <c r="V408" s="15"/>
      <c r="W408" s="14"/>
      <c r="X408" s="15"/>
      <c r="Y408" s="14"/>
      <c r="Z408" s="15"/>
      <c r="AA408" s="14"/>
      <c r="AB408" s="15"/>
      <c r="AC408" s="14"/>
      <c r="AD408" s="15"/>
      <c r="AE408" s="14"/>
      <c r="AF408" s="15"/>
      <c r="AG408" s="14"/>
      <c r="AH408" s="15"/>
      <c r="AI408" s="14"/>
      <c r="AJ408" s="15"/>
      <c r="AK408" s="107"/>
    </row>
    <row r="409" spans="1:37" ht="16.5" customHeight="1" x14ac:dyDescent="0.2">
      <c r="A409" s="6"/>
      <c r="B409" s="135">
        <f t="shared" si="134"/>
        <v>6</v>
      </c>
      <c r="C409" s="135">
        <f>'Kelas XI'!C393</f>
        <v>16358</v>
      </c>
      <c r="D409" s="34" t="str">
        <f>'Kelas XI'!D393</f>
        <v>ELIANA MAFIROH</v>
      </c>
      <c r="E409" s="14"/>
      <c r="F409" s="15"/>
      <c r="G409" s="14"/>
      <c r="H409" s="15"/>
      <c r="I409" s="14"/>
      <c r="J409" s="15"/>
      <c r="K409" s="14"/>
      <c r="L409" s="15"/>
      <c r="M409" s="14"/>
      <c r="N409" s="15"/>
      <c r="O409" s="14"/>
      <c r="P409" s="15"/>
      <c r="Q409" s="14"/>
      <c r="R409" s="15"/>
      <c r="S409" s="14"/>
      <c r="T409" s="15"/>
      <c r="U409" s="14"/>
      <c r="V409" s="15"/>
      <c r="W409" s="14"/>
      <c r="X409" s="15"/>
      <c r="Y409" s="14"/>
      <c r="Z409" s="15"/>
      <c r="AA409" s="14"/>
      <c r="AB409" s="15"/>
      <c r="AC409" s="14"/>
      <c r="AD409" s="15"/>
      <c r="AE409" s="14"/>
      <c r="AF409" s="15"/>
      <c r="AG409" s="14"/>
      <c r="AH409" s="15"/>
      <c r="AI409" s="14"/>
      <c r="AJ409" s="15"/>
      <c r="AK409" s="107"/>
    </row>
    <row r="410" spans="1:37" ht="16.5" customHeight="1" x14ac:dyDescent="0.2">
      <c r="A410" s="6"/>
      <c r="B410" s="135">
        <f t="shared" si="134"/>
        <v>7</v>
      </c>
      <c r="C410" s="135">
        <f>'Kelas XI'!C394</f>
        <v>16336</v>
      </c>
      <c r="D410" s="34" t="str">
        <f>'Kelas XI'!D394</f>
        <v>FADZILATUL KHOMSIYAH HAKIM</v>
      </c>
      <c r="E410" s="14"/>
      <c r="F410" s="15"/>
      <c r="G410" s="14"/>
      <c r="H410" s="15"/>
      <c r="I410" s="14"/>
      <c r="J410" s="15"/>
      <c r="K410" s="14"/>
      <c r="L410" s="15"/>
      <c r="M410" s="14"/>
      <c r="N410" s="15"/>
      <c r="O410" s="14"/>
      <c r="P410" s="15"/>
      <c r="Q410" s="14"/>
      <c r="R410" s="15"/>
      <c r="S410" s="14"/>
      <c r="T410" s="15"/>
      <c r="U410" s="14"/>
      <c r="V410" s="15"/>
      <c r="W410" s="14"/>
      <c r="X410" s="15"/>
      <c r="Y410" s="14"/>
      <c r="Z410" s="15"/>
      <c r="AA410" s="14"/>
      <c r="AB410" s="15"/>
      <c r="AC410" s="14"/>
      <c r="AD410" s="15"/>
      <c r="AE410" s="14"/>
      <c r="AF410" s="15"/>
      <c r="AG410" s="14"/>
      <c r="AH410" s="15"/>
      <c r="AI410" s="14"/>
      <c r="AJ410" s="15"/>
      <c r="AK410" s="107"/>
    </row>
    <row r="411" spans="1:37" ht="16.5" customHeight="1" x14ac:dyDescent="0.2">
      <c r="A411" s="6"/>
      <c r="B411" s="135">
        <f t="shared" si="134"/>
        <v>8</v>
      </c>
      <c r="C411" s="135">
        <f>'Kelas XI'!C395</f>
        <v>16300</v>
      </c>
      <c r="D411" s="34" t="str">
        <f>'Kelas XI'!D395</f>
        <v>FIKI FARACH QONI'ATILLAH</v>
      </c>
      <c r="E411" s="14"/>
      <c r="F411" s="15"/>
      <c r="G411" s="14"/>
      <c r="H411" s="15"/>
      <c r="I411" s="14"/>
      <c r="J411" s="15"/>
      <c r="K411" s="14"/>
      <c r="L411" s="15"/>
      <c r="M411" s="14"/>
      <c r="N411" s="15"/>
      <c r="O411" s="14"/>
      <c r="P411" s="15"/>
      <c r="Q411" s="14"/>
      <c r="R411" s="15"/>
      <c r="S411" s="14"/>
      <c r="T411" s="15"/>
      <c r="U411" s="14"/>
      <c r="V411" s="15"/>
      <c r="W411" s="14"/>
      <c r="X411" s="15"/>
      <c r="Y411" s="14"/>
      <c r="Z411" s="15"/>
      <c r="AA411" s="14"/>
      <c r="AB411" s="15"/>
      <c r="AC411" s="14"/>
      <c r="AD411" s="15"/>
      <c r="AE411" s="14"/>
      <c r="AF411" s="15"/>
      <c r="AG411" s="14"/>
      <c r="AH411" s="15"/>
      <c r="AI411" s="14"/>
      <c r="AJ411" s="15"/>
      <c r="AK411" s="107"/>
    </row>
    <row r="412" spans="1:37" ht="16.5" customHeight="1" x14ac:dyDescent="0.2">
      <c r="A412" s="6"/>
      <c r="B412" s="135">
        <f t="shared" si="134"/>
        <v>9</v>
      </c>
      <c r="C412" s="135">
        <f>'Kelas XI'!C396</f>
        <v>16301</v>
      </c>
      <c r="D412" s="34" t="str">
        <f>'Kelas XI'!D396</f>
        <v>FITRI JULIANA</v>
      </c>
      <c r="E412" s="14"/>
      <c r="F412" s="15"/>
      <c r="G412" s="14"/>
      <c r="H412" s="15"/>
      <c r="I412" s="14"/>
      <c r="J412" s="15"/>
      <c r="K412" s="14"/>
      <c r="L412" s="15"/>
      <c r="M412" s="14"/>
      <c r="N412" s="15"/>
      <c r="O412" s="14"/>
      <c r="P412" s="15"/>
      <c r="Q412" s="14"/>
      <c r="R412" s="15"/>
      <c r="S412" s="14"/>
      <c r="T412" s="15"/>
      <c r="U412" s="14"/>
      <c r="V412" s="15"/>
      <c r="W412" s="14"/>
      <c r="X412" s="15"/>
      <c r="Y412" s="14"/>
      <c r="Z412" s="15"/>
      <c r="AA412" s="14"/>
      <c r="AB412" s="15"/>
      <c r="AC412" s="14"/>
      <c r="AD412" s="15"/>
      <c r="AE412" s="14"/>
      <c r="AF412" s="15"/>
      <c r="AG412" s="14"/>
      <c r="AH412" s="15"/>
      <c r="AI412" s="14"/>
      <c r="AJ412" s="15"/>
      <c r="AK412" s="107"/>
    </row>
    <row r="413" spans="1:37" ht="16.5" customHeight="1" x14ac:dyDescent="0.2">
      <c r="A413" s="6"/>
      <c r="B413" s="135">
        <f t="shared" si="134"/>
        <v>10</v>
      </c>
      <c r="C413" s="135">
        <f>'Kelas XI'!C397</f>
        <v>16302</v>
      </c>
      <c r="D413" s="34" t="str">
        <f>'Kelas XI'!D397</f>
        <v>GALUH RIZKI ARFIANA</v>
      </c>
      <c r="E413" s="14"/>
      <c r="F413" s="15"/>
      <c r="G413" s="14"/>
      <c r="H413" s="15"/>
      <c r="I413" s="14"/>
      <c r="J413" s="15"/>
      <c r="K413" s="14"/>
      <c r="L413" s="15"/>
      <c r="M413" s="14"/>
      <c r="N413" s="15"/>
      <c r="O413" s="14"/>
      <c r="P413" s="15"/>
      <c r="Q413" s="14"/>
      <c r="R413" s="15"/>
      <c r="S413" s="14"/>
      <c r="T413" s="15"/>
      <c r="U413" s="14"/>
      <c r="V413" s="15"/>
      <c r="W413" s="14"/>
      <c r="X413" s="15"/>
      <c r="Y413" s="14"/>
      <c r="Z413" s="15"/>
      <c r="AA413" s="14"/>
      <c r="AB413" s="15"/>
      <c r="AC413" s="14"/>
      <c r="AD413" s="15"/>
      <c r="AE413" s="14"/>
      <c r="AF413" s="15"/>
      <c r="AG413" s="14"/>
      <c r="AH413" s="15"/>
      <c r="AI413" s="14"/>
      <c r="AJ413" s="15"/>
      <c r="AK413" s="107"/>
    </row>
    <row r="414" spans="1:37" ht="16.5" customHeight="1" x14ac:dyDescent="0.2">
      <c r="A414" s="6"/>
      <c r="B414" s="135">
        <f t="shared" si="134"/>
        <v>11</v>
      </c>
      <c r="C414" s="135">
        <f>'Kelas XI'!C398</f>
        <v>16304</v>
      </c>
      <c r="D414" s="34" t="str">
        <f>'Kelas XI'!D398</f>
        <v>INEZ MUMTAZ ELMAJIDA</v>
      </c>
      <c r="E414" s="14"/>
      <c r="F414" s="15"/>
      <c r="G414" s="14"/>
      <c r="H414" s="15"/>
      <c r="I414" s="14"/>
      <c r="J414" s="15"/>
      <c r="K414" s="14"/>
      <c r="L414" s="15"/>
      <c r="M414" s="14"/>
      <c r="N414" s="15"/>
      <c r="O414" s="14"/>
      <c r="P414" s="15"/>
      <c r="Q414" s="14"/>
      <c r="R414" s="15"/>
      <c r="S414" s="14"/>
      <c r="T414" s="15"/>
      <c r="U414" s="14"/>
      <c r="V414" s="15"/>
      <c r="W414" s="14"/>
      <c r="X414" s="15"/>
      <c r="Y414" s="14"/>
      <c r="Z414" s="15"/>
      <c r="AA414" s="14"/>
      <c r="AB414" s="15"/>
      <c r="AC414" s="14"/>
      <c r="AD414" s="15"/>
      <c r="AE414" s="14"/>
      <c r="AF414" s="15"/>
      <c r="AG414" s="14"/>
      <c r="AH414" s="15"/>
      <c r="AI414" s="14"/>
      <c r="AJ414" s="15"/>
      <c r="AK414" s="107"/>
    </row>
    <row r="415" spans="1:37" ht="16.5" customHeight="1" x14ac:dyDescent="0.2">
      <c r="A415" s="6"/>
      <c r="B415" s="135">
        <f t="shared" si="134"/>
        <v>12</v>
      </c>
      <c r="C415" s="135">
        <f>'Kelas XI'!C399</f>
        <v>16267</v>
      </c>
      <c r="D415" s="34" t="str">
        <f>'Kelas XI'!D399</f>
        <v>ISYATUN RODIYA</v>
      </c>
      <c r="E415" s="14"/>
      <c r="F415" s="15"/>
      <c r="G415" s="14"/>
      <c r="H415" s="15"/>
      <c r="I415" s="14"/>
      <c r="J415" s="15"/>
      <c r="K415" s="14"/>
      <c r="L415" s="15"/>
      <c r="M415" s="14"/>
      <c r="N415" s="15"/>
      <c r="O415" s="14"/>
      <c r="P415" s="15"/>
      <c r="Q415" s="14"/>
      <c r="R415" s="15"/>
      <c r="S415" s="14"/>
      <c r="T415" s="15"/>
      <c r="U415" s="14"/>
      <c r="V415" s="15"/>
      <c r="W415" s="14"/>
      <c r="X415" s="15"/>
      <c r="Y415" s="14"/>
      <c r="Z415" s="15"/>
      <c r="AA415" s="14"/>
      <c r="AB415" s="15"/>
      <c r="AC415" s="14"/>
      <c r="AD415" s="15"/>
      <c r="AE415" s="14"/>
      <c r="AF415" s="15"/>
      <c r="AG415" s="14"/>
      <c r="AH415" s="15"/>
      <c r="AI415" s="14"/>
      <c r="AJ415" s="15"/>
      <c r="AK415" s="107"/>
    </row>
    <row r="416" spans="1:37" ht="16.5" customHeight="1" x14ac:dyDescent="0.2">
      <c r="A416" s="6"/>
      <c r="B416" s="135">
        <f t="shared" si="134"/>
        <v>13</v>
      </c>
      <c r="C416" s="135">
        <f>'Kelas XI'!C400</f>
        <v>16271</v>
      </c>
      <c r="D416" s="34" t="str">
        <f>'Kelas XI'!D400</f>
        <v>KAYLA VIVIA RAHMADHANI</v>
      </c>
      <c r="E416" s="14"/>
      <c r="F416" s="15"/>
      <c r="G416" s="14"/>
      <c r="H416" s="15"/>
      <c r="I416" s="14"/>
      <c r="J416" s="15"/>
      <c r="K416" s="14"/>
      <c r="L416" s="15"/>
      <c r="M416" s="14"/>
      <c r="N416" s="15"/>
      <c r="O416" s="14"/>
      <c r="P416" s="15"/>
      <c r="Q416" s="14"/>
      <c r="R416" s="15"/>
      <c r="S416" s="14"/>
      <c r="T416" s="15"/>
      <c r="U416" s="14"/>
      <c r="V416" s="15"/>
      <c r="W416" s="14"/>
      <c r="X416" s="15"/>
      <c r="Y416" s="14"/>
      <c r="Z416" s="15"/>
      <c r="AA416" s="14"/>
      <c r="AB416" s="15"/>
      <c r="AC416" s="14"/>
      <c r="AD416" s="15"/>
      <c r="AE416" s="14"/>
      <c r="AF416" s="15"/>
      <c r="AG416" s="14"/>
      <c r="AH416" s="15"/>
      <c r="AI416" s="14"/>
      <c r="AJ416" s="15"/>
      <c r="AK416" s="107"/>
    </row>
    <row r="417" spans="1:37" ht="16.5" customHeight="1" x14ac:dyDescent="0.2">
      <c r="A417" s="6"/>
      <c r="B417" s="135">
        <f t="shared" si="134"/>
        <v>14</v>
      </c>
      <c r="C417" s="135">
        <f>'Kelas XI'!C401</f>
        <v>16275</v>
      </c>
      <c r="D417" s="34" t="str">
        <f>'Kelas XI'!D401</f>
        <v>MISSOUF SHAHIDHAH ADHAWI</v>
      </c>
      <c r="E417" s="14"/>
      <c r="F417" s="15"/>
      <c r="G417" s="14"/>
      <c r="H417" s="15"/>
      <c r="I417" s="14"/>
      <c r="J417" s="15"/>
      <c r="K417" s="14"/>
      <c r="L417" s="15"/>
      <c r="M417" s="14"/>
      <c r="N417" s="15"/>
      <c r="O417" s="14"/>
      <c r="P417" s="15"/>
      <c r="Q417" s="14"/>
      <c r="R417" s="15"/>
      <c r="S417" s="14"/>
      <c r="T417" s="15"/>
      <c r="U417" s="14"/>
      <c r="V417" s="15"/>
      <c r="W417" s="14"/>
      <c r="X417" s="15"/>
      <c r="Y417" s="14"/>
      <c r="Z417" s="15"/>
      <c r="AA417" s="14"/>
      <c r="AB417" s="15"/>
      <c r="AC417" s="14"/>
      <c r="AD417" s="15"/>
      <c r="AE417" s="14"/>
      <c r="AF417" s="15"/>
      <c r="AG417" s="14"/>
      <c r="AH417" s="15"/>
      <c r="AI417" s="14"/>
      <c r="AJ417" s="15"/>
      <c r="AK417" s="107"/>
    </row>
    <row r="418" spans="1:37" ht="16.5" customHeight="1" x14ac:dyDescent="0.2">
      <c r="A418" s="6"/>
      <c r="B418" s="135">
        <f t="shared" si="134"/>
        <v>15</v>
      </c>
      <c r="C418" s="135">
        <f>'Kelas XI'!C402</f>
        <v>16278</v>
      </c>
      <c r="D418" s="34" t="str">
        <f>'Kelas XI'!D402</f>
        <v>NAURAH ULVIANA RAHMAWATI</v>
      </c>
      <c r="E418" s="14"/>
      <c r="F418" s="15"/>
      <c r="G418" s="14"/>
      <c r="H418" s="15"/>
      <c r="I418" s="14"/>
      <c r="J418" s="15"/>
      <c r="K418" s="14"/>
      <c r="L418" s="15"/>
      <c r="M418" s="14"/>
      <c r="N418" s="15"/>
      <c r="O418" s="14"/>
      <c r="P418" s="15"/>
      <c r="Q418" s="14"/>
      <c r="R418" s="15"/>
      <c r="S418" s="14"/>
      <c r="T418" s="15"/>
      <c r="U418" s="14"/>
      <c r="V418" s="15"/>
      <c r="W418" s="14"/>
      <c r="X418" s="15"/>
      <c r="Y418" s="14"/>
      <c r="Z418" s="15"/>
      <c r="AA418" s="14"/>
      <c r="AB418" s="15"/>
      <c r="AC418" s="14"/>
      <c r="AD418" s="15"/>
      <c r="AE418" s="14"/>
      <c r="AF418" s="15"/>
      <c r="AG418" s="14"/>
      <c r="AH418" s="15"/>
      <c r="AI418" s="14"/>
      <c r="AJ418" s="15"/>
      <c r="AK418" s="107"/>
    </row>
    <row r="419" spans="1:37" ht="16.5" customHeight="1" x14ac:dyDescent="0.2">
      <c r="A419" s="6"/>
      <c r="B419" s="135">
        <f t="shared" si="134"/>
        <v>16</v>
      </c>
      <c r="C419" s="135">
        <f>'Kelas XI'!C403</f>
        <v>16346</v>
      </c>
      <c r="D419" s="34" t="str">
        <f>'Kelas XI'!D403</f>
        <v>NOVIZA LAILI AZHAR</v>
      </c>
      <c r="E419" s="14"/>
      <c r="F419" s="15"/>
      <c r="G419" s="14"/>
      <c r="H419" s="15"/>
      <c r="I419" s="14"/>
      <c r="J419" s="15"/>
      <c r="K419" s="14"/>
      <c r="L419" s="15"/>
      <c r="M419" s="14"/>
      <c r="N419" s="15"/>
      <c r="O419" s="14"/>
      <c r="P419" s="15"/>
      <c r="Q419" s="14"/>
      <c r="R419" s="15"/>
      <c r="S419" s="14"/>
      <c r="T419" s="15"/>
      <c r="U419" s="14"/>
      <c r="V419" s="15"/>
      <c r="W419" s="14"/>
      <c r="X419" s="15"/>
      <c r="Y419" s="14"/>
      <c r="Z419" s="15"/>
      <c r="AA419" s="14"/>
      <c r="AB419" s="15"/>
      <c r="AC419" s="14"/>
      <c r="AD419" s="15"/>
      <c r="AE419" s="14"/>
      <c r="AF419" s="15"/>
      <c r="AG419" s="14"/>
      <c r="AH419" s="15"/>
      <c r="AI419" s="14"/>
      <c r="AJ419" s="15"/>
      <c r="AK419" s="107"/>
    </row>
    <row r="420" spans="1:37" ht="16.5" customHeight="1" x14ac:dyDescent="0.2">
      <c r="A420" s="6"/>
      <c r="B420" s="135">
        <f t="shared" si="134"/>
        <v>17</v>
      </c>
      <c r="C420" s="135">
        <f>'Kelas XI'!C404</f>
        <v>16316</v>
      </c>
      <c r="D420" s="34" t="str">
        <f>'Kelas XI'!D404</f>
        <v>ROSALIE AZALIA</v>
      </c>
      <c r="E420" s="14"/>
      <c r="F420" s="15"/>
      <c r="G420" s="14"/>
      <c r="H420" s="15"/>
      <c r="I420" s="14"/>
      <c r="J420" s="15"/>
      <c r="K420" s="14"/>
      <c r="L420" s="15"/>
      <c r="M420" s="14"/>
      <c r="N420" s="15"/>
      <c r="O420" s="14"/>
      <c r="P420" s="15"/>
      <c r="Q420" s="14"/>
      <c r="R420" s="15"/>
      <c r="S420" s="14"/>
      <c r="T420" s="15"/>
      <c r="U420" s="14"/>
      <c r="V420" s="15"/>
      <c r="W420" s="14"/>
      <c r="X420" s="15"/>
      <c r="Y420" s="14"/>
      <c r="Z420" s="15"/>
      <c r="AA420" s="14"/>
      <c r="AB420" s="15"/>
      <c r="AC420" s="14"/>
      <c r="AD420" s="15"/>
      <c r="AE420" s="14"/>
      <c r="AF420" s="15"/>
      <c r="AG420" s="14"/>
      <c r="AH420" s="15"/>
      <c r="AI420" s="14"/>
      <c r="AJ420" s="15"/>
      <c r="AK420" s="107"/>
    </row>
    <row r="421" spans="1:37" ht="16.5" customHeight="1" x14ac:dyDescent="0.2">
      <c r="A421" s="6"/>
      <c r="B421" s="135">
        <f t="shared" si="134"/>
        <v>18</v>
      </c>
      <c r="C421" s="135">
        <f>'Kelas XI'!C405</f>
        <v>16284</v>
      </c>
      <c r="D421" s="34" t="str">
        <f>'Kelas XI'!D405</f>
        <v>SALSABILA 'AINURROHMAH</v>
      </c>
      <c r="E421" s="14"/>
      <c r="F421" s="15"/>
      <c r="G421" s="14"/>
      <c r="H421" s="15"/>
      <c r="I421" s="14"/>
      <c r="J421" s="15"/>
      <c r="K421" s="14"/>
      <c r="L421" s="15"/>
      <c r="M421" s="14"/>
      <c r="N421" s="15"/>
      <c r="O421" s="14"/>
      <c r="P421" s="15"/>
      <c r="Q421" s="14"/>
      <c r="R421" s="15"/>
      <c r="S421" s="14"/>
      <c r="T421" s="15"/>
      <c r="U421" s="14"/>
      <c r="V421" s="15"/>
      <c r="W421" s="14"/>
      <c r="X421" s="15"/>
      <c r="Y421" s="14"/>
      <c r="Z421" s="15"/>
      <c r="AA421" s="14"/>
      <c r="AB421" s="15"/>
      <c r="AC421" s="14"/>
      <c r="AD421" s="15"/>
      <c r="AE421" s="14"/>
      <c r="AF421" s="15"/>
      <c r="AG421" s="14"/>
      <c r="AH421" s="15"/>
      <c r="AI421" s="14"/>
      <c r="AJ421" s="15"/>
      <c r="AK421" s="107"/>
    </row>
    <row r="422" spans="1:37" ht="16.5" customHeight="1" x14ac:dyDescent="0.2">
      <c r="A422" s="6"/>
      <c r="B422" s="135">
        <f t="shared" si="134"/>
        <v>19</v>
      </c>
      <c r="C422" s="135">
        <f>'Kelas XI'!C406</f>
        <v>16317</v>
      </c>
      <c r="D422" s="34" t="str">
        <f>'Kelas XI'!D406</f>
        <v>SAYYIDA FAIRUZA SYADZILA</v>
      </c>
      <c r="E422" s="14"/>
      <c r="F422" s="15"/>
      <c r="G422" s="14"/>
      <c r="H422" s="15"/>
      <c r="I422" s="14"/>
      <c r="J422" s="15"/>
      <c r="K422" s="14"/>
      <c r="L422" s="15"/>
      <c r="M422" s="14"/>
      <c r="N422" s="15"/>
      <c r="O422" s="14"/>
      <c r="P422" s="15"/>
      <c r="Q422" s="14"/>
      <c r="R422" s="15"/>
      <c r="S422" s="14"/>
      <c r="T422" s="15"/>
      <c r="U422" s="14"/>
      <c r="V422" s="15"/>
      <c r="W422" s="14"/>
      <c r="X422" s="15"/>
      <c r="Y422" s="14"/>
      <c r="Z422" s="15"/>
      <c r="AA422" s="14"/>
      <c r="AB422" s="15"/>
      <c r="AC422" s="14"/>
      <c r="AD422" s="15"/>
      <c r="AE422" s="14"/>
      <c r="AF422" s="15"/>
      <c r="AG422" s="14"/>
      <c r="AH422" s="15"/>
      <c r="AI422" s="14"/>
      <c r="AJ422" s="15"/>
      <c r="AK422" s="107"/>
    </row>
    <row r="423" spans="1:37" ht="16.5" customHeight="1" x14ac:dyDescent="0.2">
      <c r="A423" s="6"/>
      <c r="B423" s="135">
        <f t="shared" si="134"/>
        <v>20</v>
      </c>
      <c r="C423" s="135">
        <f>'Kelas XI'!C407</f>
        <v>16374</v>
      </c>
      <c r="D423" s="34" t="str">
        <f>'Kelas XI'!D407</f>
        <v>SAYYIDAH THIFAL ATQIYAH</v>
      </c>
      <c r="E423" s="14"/>
      <c r="F423" s="15"/>
      <c r="G423" s="14"/>
      <c r="H423" s="15"/>
      <c r="I423" s="14"/>
      <c r="J423" s="15"/>
      <c r="K423" s="14"/>
      <c r="L423" s="15"/>
      <c r="M423" s="14"/>
      <c r="N423" s="15"/>
      <c r="O423" s="14"/>
      <c r="P423" s="15"/>
      <c r="Q423" s="14"/>
      <c r="R423" s="15"/>
      <c r="S423" s="14"/>
      <c r="T423" s="15"/>
      <c r="U423" s="14"/>
      <c r="V423" s="15"/>
      <c r="W423" s="14"/>
      <c r="X423" s="15"/>
      <c r="Y423" s="14"/>
      <c r="Z423" s="15"/>
      <c r="AA423" s="14"/>
      <c r="AB423" s="15"/>
      <c r="AC423" s="14"/>
      <c r="AD423" s="15"/>
      <c r="AE423" s="14"/>
      <c r="AF423" s="15"/>
      <c r="AG423" s="14"/>
      <c r="AH423" s="15"/>
      <c r="AI423" s="14"/>
      <c r="AJ423" s="15"/>
      <c r="AK423" s="107"/>
    </row>
    <row r="424" spans="1:37" ht="16.5" customHeight="1" x14ac:dyDescent="0.2">
      <c r="A424" s="6"/>
      <c r="B424" s="135">
        <f t="shared" si="134"/>
        <v>21</v>
      </c>
      <c r="C424" s="135">
        <f>'Kelas XI'!C408</f>
        <v>16376</v>
      </c>
      <c r="D424" s="34" t="str">
        <f>'Kelas XI'!D408</f>
        <v>TISYA AZALIA RAMADHANI</v>
      </c>
      <c r="E424" s="14"/>
      <c r="F424" s="15"/>
      <c r="G424" s="14"/>
      <c r="H424" s="15"/>
      <c r="I424" s="14"/>
      <c r="J424" s="15"/>
      <c r="K424" s="14"/>
      <c r="L424" s="15"/>
      <c r="M424" s="14"/>
      <c r="N424" s="15"/>
      <c r="O424" s="14"/>
      <c r="P424" s="15"/>
      <c r="Q424" s="14"/>
      <c r="R424" s="15"/>
      <c r="S424" s="14"/>
      <c r="T424" s="15"/>
      <c r="U424" s="14"/>
      <c r="V424" s="15"/>
      <c r="W424" s="14"/>
      <c r="X424" s="15"/>
      <c r="Y424" s="14"/>
      <c r="Z424" s="15"/>
      <c r="AA424" s="14"/>
      <c r="AB424" s="15"/>
      <c r="AC424" s="14"/>
      <c r="AD424" s="15"/>
      <c r="AE424" s="14"/>
      <c r="AF424" s="15"/>
      <c r="AG424" s="14"/>
      <c r="AH424" s="15"/>
      <c r="AI424" s="14"/>
      <c r="AJ424" s="15"/>
      <c r="AK424" s="107"/>
    </row>
    <row r="425" spans="1:37" ht="16.5" customHeight="1" x14ac:dyDescent="0.2">
      <c r="A425" s="6"/>
      <c r="B425" s="135">
        <f t="shared" si="134"/>
        <v>22</v>
      </c>
      <c r="C425" s="135">
        <f>'Kelas XI'!C409</f>
        <v>16288</v>
      </c>
      <c r="D425" s="34" t="str">
        <f>'Kelas XI'!D409</f>
        <v>YUNITA SIWI SUGIARNI</v>
      </c>
      <c r="E425" s="14"/>
      <c r="F425" s="15"/>
      <c r="G425" s="14"/>
      <c r="H425" s="15"/>
      <c r="I425" s="14"/>
      <c r="J425" s="15"/>
      <c r="K425" s="14"/>
      <c r="L425" s="15"/>
      <c r="M425" s="14"/>
      <c r="N425" s="15"/>
      <c r="O425" s="14"/>
      <c r="P425" s="15"/>
      <c r="Q425" s="14"/>
      <c r="R425" s="15"/>
      <c r="S425" s="14"/>
      <c r="T425" s="15"/>
      <c r="U425" s="14"/>
      <c r="V425" s="15"/>
      <c r="W425" s="14"/>
      <c r="X425" s="15"/>
      <c r="Y425" s="14"/>
      <c r="Z425" s="15"/>
      <c r="AA425" s="14"/>
      <c r="AB425" s="15"/>
      <c r="AC425" s="14"/>
      <c r="AD425" s="15"/>
      <c r="AE425" s="14"/>
      <c r="AF425" s="15"/>
      <c r="AG425" s="14"/>
      <c r="AH425" s="15"/>
      <c r="AI425" s="14"/>
      <c r="AJ425" s="15"/>
      <c r="AK425" s="107"/>
    </row>
    <row r="426" spans="1:37" ht="16.5" customHeight="1" x14ac:dyDescent="0.2">
      <c r="A426" s="6"/>
      <c r="B426" s="135">
        <f t="shared" si="134"/>
        <v>23</v>
      </c>
      <c r="C426" s="135">
        <f>'Kelas XI'!C410</f>
        <v>16379</v>
      </c>
      <c r="D426" s="34" t="str">
        <f>'Kelas XI'!D410</f>
        <v>ZULFIA INDANA ZULFA</v>
      </c>
      <c r="E426" s="14"/>
      <c r="F426" s="15"/>
      <c r="G426" s="14"/>
      <c r="H426" s="15"/>
      <c r="I426" s="14"/>
      <c r="J426" s="15"/>
      <c r="K426" s="14"/>
      <c r="L426" s="15"/>
      <c r="M426" s="14"/>
      <c r="N426" s="15"/>
      <c r="O426" s="14"/>
      <c r="P426" s="15"/>
      <c r="Q426" s="14"/>
      <c r="R426" s="15"/>
      <c r="S426" s="14"/>
      <c r="T426" s="15"/>
      <c r="U426" s="14"/>
      <c r="V426" s="15"/>
      <c r="W426" s="14"/>
      <c r="X426" s="15"/>
      <c r="Y426" s="14"/>
      <c r="Z426" s="15"/>
      <c r="AA426" s="14"/>
      <c r="AB426" s="15"/>
      <c r="AC426" s="14"/>
      <c r="AD426" s="15"/>
      <c r="AE426" s="14"/>
      <c r="AF426" s="15"/>
      <c r="AG426" s="14"/>
      <c r="AH426" s="15"/>
      <c r="AI426" s="14"/>
      <c r="AJ426" s="15"/>
      <c r="AK426" s="107"/>
    </row>
    <row r="427" spans="1:37" ht="16.5" customHeight="1" x14ac:dyDescent="0.2">
      <c r="A427" s="6"/>
      <c r="B427" s="135">
        <f t="shared" si="134"/>
        <v>24</v>
      </c>
      <c r="C427" s="135">
        <f>'Kelas XI'!C411</f>
        <v>0</v>
      </c>
      <c r="D427" s="34">
        <f>'Kelas XI'!D411</f>
        <v>0</v>
      </c>
      <c r="E427" s="14"/>
      <c r="F427" s="15"/>
      <c r="G427" s="14"/>
      <c r="H427" s="15"/>
      <c r="I427" s="14"/>
      <c r="J427" s="15"/>
      <c r="K427" s="14"/>
      <c r="L427" s="15"/>
      <c r="M427" s="14"/>
      <c r="N427" s="15"/>
      <c r="O427" s="14"/>
      <c r="P427" s="15"/>
      <c r="Q427" s="14"/>
      <c r="R427" s="15"/>
      <c r="S427" s="14"/>
      <c r="T427" s="15"/>
      <c r="U427" s="14"/>
      <c r="V427" s="15"/>
      <c r="W427" s="14"/>
      <c r="X427" s="15"/>
      <c r="Y427" s="14"/>
      <c r="Z427" s="15"/>
      <c r="AA427" s="14"/>
      <c r="AB427" s="15"/>
      <c r="AC427" s="14"/>
      <c r="AD427" s="15"/>
      <c r="AE427" s="14"/>
      <c r="AF427" s="15"/>
      <c r="AG427" s="14"/>
      <c r="AH427" s="15"/>
      <c r="AI427" s="14"/>
      <c r="AJ427" s="15"/>
      <c r="AK427" s="107"/>
    </row>
    <row r="428" spans="1:37" ht="16.5" customHeight="1" x14ac:dyDescent="0.2">
      <c r="A428" s="6"/>
      <c r="B428" s="135">
        <f t="shared" si="134"/>
        <v>25</v>
      </c>
      <c r="C428" s="135">
        <f>'Kelas XI'!C412</f>
        <v>0</v>
      </c>
      <c r="D428" s="34">
        <f>'Kelas XI'!D412</f>
        <v>0</v>
      </c>
      <c r="E428" s="14"/>
      <c r="F428" s="15"/>
      <c r="G428" s="14"/>
      <c r="H428" s="15"/>
      <c r="I428" s="14"/>
      <c r="J428" s="15"/>
      <c r="K428" s="14"/>
      <c r="L428" s="15"/>
      <c r="M428" s="14"/>
      <c r="N428" s="15"/>
      <c r="O428" s="14"/>
      <c r="P428" s="15"/>
      <c r="Q428" s="14"/>
      <c r="R428" s="15"/>
      <c r="S428" s="14"/>
      <c r="T428" s="15"/>
      <c r="U428" s="14"/>
      <c r="V428" s="15"/>
      <c r="W428" s="14"/>
      <c r="X428" s="15"/>
      <c r="Y428" s="14"/>
      <c r="Z428" s="15"/>
      <c r="AA428" s="14"/>
      <c r="AB428" s="15"/>
      <c r="AC428" s="14"/>
      <c r="AD428" s="15"/>
      <c r="AE428" s="14"/>
      <c r="AF428" s="15"/>
      <c r="AG428" s="14"/>
      <c r="AH428" s="15"/>
      <c r="AI428" s="14"/>
      <c r="AJ428" s="15"/>
      <c r="AK428" s="107"/>
    </row>
    <row r="429" spans="1:37" ht="16.5" customHeight="1" x14ac:dyDescent="0.2">
      <c r="A429" s="6"/>
      <c r="B429" s="135">
        <f t="shared" si="134"/>
        <v>26</v>
      </c>
      <c r="C429" s="135">
        <f>'Kelas XI'!C414</f>
        <v>0</v>
      </c>
      <c r="D429" s="34">
        <f>'Kelas XI'!D413</f>
        <v>0</v>
      </c>
      <c r="E429" s="14"/>
      <c r="F429" s="15"/>
      <c r="G429" s="14"/>
      <c r="H429" s="15"/>
      <c r="I429" s="14"/>
      <c r="J429" s="15"/>
      <c r="K429" s="14"/>
      <c r="L429" s="15"/>
      <c r="M429" s="14"/>
      <c r="N429" s="15"/>
      <c r="O429" s="14"/>
      <c r="P429" s="15"/>
      <c r="Q429" s="14"/>
      <c r="R429" s="15"/>
      <c r="S429" s="14"/>
      <c r="T429" s="15"/>
      <c r="U429" s="14"/>
      <c r="V429" s="15"/>
      <c r="W429" s="14"/>
      <c r="X429" s="15"/>
      <c r="Y429" s="14"/>
      <c r="Z429" s="15"/>
      <c r="AA429" s="14"/>
      <c r="AB429" s="15"/>
      <c r="AC429" s="14"/>
      <c r="AD429" s="15"/>
      <c r="AE429" s="14"/>
      <c r="AF429" s="15"/>
      <c r="AG429" s="14"/>
      <c r="AH429" s="15"/>
      <c r="AI429" s="14"/>
      <c r="AJ429" s="15"/>
      <c r="AK429" s="107"/>
    </row>
    <row r="430" spans="1:37" ht="16.5" customHeight="1" x14ac:dyDescent="0.2">
      <c r="A430" s="6"/>
      <c r="B430" s="135">
        <f t="shared" si="134"/>
        <v>27</v>
      </c>
      <c r="C430" s="135">
        <f>'Kelas XI'!C415</f>
        <v>0</v>
      </c>
      <c r="D430" s="34">
        <f>'Kelas XI'!D414</f>
        <v>0</v>
      </c>
      <c r="E430" s="14"/>
      <c r="F430" s="15"/>
      <c r="G430" s="14"/>
      <c r="H430" s="15"/>
      <c r="I430" s="14"/>
      <c r="J430" s="15"/>
      <c r="K430" s="14"/>
      <c r="L430" s="15"/>
      <c r="M430" s="14"/>
      <c r="N430" s="15"/>
      <c r="O430" s="14"/>
      <c r="P430" s="15"/>
      <c r="Q430" s="14"/>
      <c r="R430" s="15"/>
      <c r="S430" s="14"/>
      <c r="T430" s="15"/>
      <c r="U430" s="14"/>
      <c r="V430" s="15"/>
      <c r="W430" s="14"/>
      <c r="X430" s="15"/>
      <c r="Y430" s="14"/>
      <c r="Z430" s="15"/>
      <c r="AA430" s="14"/>
      <c r="AB430" s="15"/>
      <c r="AC430" s="14"/>
      <c r="AD430" s="15"/>
      <c r="AE430" s="14"/>
      <c r="AF430" s="15"/>
      <c r="AG430" s="14"/>
      <c r="AH430" s="15"/>
      <c r="AI430" s="14"/>
      <c r="AJ430" s="15"/>
      <c r="AK430" s="107"/>
    </row>
    <row r="431" spans="1:37" ht="16.5" customHeight="1" x14ac:dyDescent="0.2">
      <c r="A431" s="6"/>
      <c r="B431" s="135">
        <f t="shared" si="134"/>
        <v>28</v>
      </c>
      <c r="C431" s="135">
        <f>'Kelas XI'!C416</f>
        <v>0</v>
      </c>
      <c r="D431" s="34">
        <f>'Kelas XI'!D415</f>
        <v>0</v>
      </c>
      <c r="E431" s="14"/>
      <c r="F431" s="15"/>
      <c r="G431" s="14"/>
      <c r="H431" s="15"/>
      <c r="I431" s="14"/>
      <c r="J431" s="15"/>
      <c r="K431" s="14"/>
      <c r="L431" s="15"/>
      <c r="M431" s="14"/>
      <c r="N431" s="15"/>
      <c r="O431" s="14"/>
      <c r="P431" s="15"/>
      <c r="Q431" s="14"/>
      <c r="R431" s="15"/>
      <c r="S431" s="14"/>
      <c r="T431" s="15"/>
      <c r="U431" s="14"/>
      <c r="V431" s="15"/>
      <c r="W431" s="14"/>
      <c r="X431" s="15"/>
      <c r="Y431" s="14"/>
      <c r="Z431" s="15"/>
      <c r="AA431" s="14"/>
      <c r="AB431" s="15"/>
      <c r="AC431" s="14"/>
      <c r="AD431" s="15"/>
      <c r="AE431" s="14"/>
      <c r="AF431" s="15"/>
      <c r="AG431" s="14"/>
      <c r="AH431" s="15"/>
      <c r="AI431" s="14"/>
      <c r="AJ431" s="15"/>
      <c r="AK431" s="107"/>
    </row>
    <row r="432" spans="1:37" ht="16.5" customHeight="1" x14ac:dyDescent="0.2">
      <c r="A432" s="6"/>
      <c r="B432" s="135">
        <f t="shared" si="134"/>
        <v>29</v>
      </c>
      <c r="C432" s="135">
        <f>'Kelas XI'!C417</f>
        <v>0</v>
      </c>
      <c r="D432" s="34">
        <f>'Kelas XI'!D416</f>
        <v>0</v>
      </c>
      <c r="E432" s="14"/>
      <c r="F432" s="15"/>
      <c r="G432" s="14"/>
      <c r="H432" s="15"/>
      <c r="I432" s="14"/>
      <c r="J432" s="15"/>
      <c r="K432" s="14"/>
      <c r="L432" s="15"/>
      <c r="M432" s="14"/>
      <c r="N432" s="15"/>
      <c r="O432" s="14"/>
      <c r="P432" s="15"/>
      <c r="Q432" s="14"/>
      <c r="R432" s="15"/>
      <c r="S432" s="14"/>
      <c r="T432" s="15"/>
      <c r="U432" s="14"/>
      <c r="V432" s="15"/>
      <c r="W432" s="14"/>
      <c r="X432" s="15"/>
      <c r="Y432" s="14"/>
      <c r="Z432" s="15"/>
      <c r="AA432" s="14"/>
      <c r="AB432" s="15"/>
      <c r="AC432" s="14"/>
      <c r="AD432" s="15"/>
      <c r="AE432" s="14"/>
      <c r="AF432" s="15"/>
      <c r="AG432" s="14"/>
      <c r="AH432" s="15"/>
      <c r="AI432" s="14"/>
      <c r="AJ432" s="15"/>
      <c r="AK432" s="107"/>
    </row>
    <row r="433" spans="1:37" ht="16.5" customHeight="1" x14ac:dyDescent="0.2">
      <c r="A433" s="6"/>
      <c r="B433" s="135">
        <f t="shared" si="134"/>
        <v>30</v>
      </c>
      <c r="C433" s="135">
        <f>'Kelas XI'!C418</f>
        <v>0</v>
      </c>
      <c r="D433" s="34">
        <f>'Kelas XI'!D417</f>
        <v>0</v>
      </c>
      <c r="E433" s="14"/>
      <c r="F433" s="15"/>
      <c r="G433" s="14"/>
      <c r="H433" s="15"/>
      <c r="I433" s="14"/>
      <c r="J433" s="15"/>
      <c r="K433" s="14"/>
      <c r="L433" s="15"/>
      <c r="M433" s="14"/>
      <c r="N433" s="15"/>
      <c r="O433" s="14"/>
      <c r="P433" s="15"/>
      <c r="Q433" s="14"/>
      <c r="R433" s="15"/>
      <c r="S433" s="14"/>
      <c r="T433" s="15"/>
      <c r="U433" s="14"/>
      <c r="V433" s="15"/>
      <c r="W433" s="14"/>
      <c r="X433" s="15"/>
      <c r="Y433" s="14"/>
      <c r="Z433" s="15"/>
      <c r="AA433" s="14"/>
      <c r="AB433" s="15"/>
      <c r="AC433" s="14"/>
      <c r="AD433" s="15"/>
      <c r="AE433" s="14"/>
      <c r="AF433" s="15"/>
      <c r="AG433" s="14"/>
      <c r="AH433" s="15"/>
      <c r="AI433" s="14"/>
      <c r="AJ433" s="15"/>
      <c r="AK433" s="107"/>
    </row>
    <row r="434" spans="1:37" ht="16.5" customHeight="1" x14ac:dyDescent="0.2">
      <c r="A434" s="6"/>
      <c r="B434" s="135">
        <f t="shared" si="134"/>
        <v>31</v>
      </c>
      <c r="C434" s="135">
        <f>'Kelas XI'!C419</f>
        <v>0</v>
      </c>
      <c r="D434" s="34">
        <f>'Kelas XI'!D418</f>
        <v>0</v>
      </c>
      <c r="E434" s="14"/>
      <c r="F434" s="15"/>
      <c r="G434" s="14"/>
      <c r="H434" s="15"/>
      <c r="I434" s="14"/>
      <c r="J434" s="15"/>
      <c r="K434" s="14"/>
      <c r="L434" s="15"/>
      <c r="M434" s="14"/>
      <c r="N434" s="15"/>
      <c r="O434" s="14"/>
      <c r="P434" s="15"/>
      <c r="Q434" s="14"/>
      <c r="R434" s="15"/>
      <c r="S434" s="14"/>
      <c r="T434" s="15"/>
      <c r="U434" s="14"/>
      <c r="V434" s="15"/>
      <c r="W434" s="14"/>
      <c r="X434" s="15"/>
      <c r="Y434" s="14"/>
      <c r="Z434" s="15"/>
      <c r="AA434" s="14"/>
      <c r="AB434" s="15"/>
      <c r="AC434" s="14"/>
      <c r="AD434" s="15"/>
      <c r="AE434" s="14"/>
      <c r="AF434" s="15"/>
      <c r="AG434" s="14"/>
      <c r="AH434" s="15"/>
      <c r="AI434" s="14"/>
      <c r="AJ434" s="15"/>
      <c r="AK434" s="107"/>
    </row>
    <row r="435" spans="1:37" ht="16.5" customHeight="1" x14ac:dyDescent="0.2">
      <c r="A435" s="6"/>
      <c r="B435" s="135">
        <f t="shared" si="134"/>
        <v>32</v>
      </c>
      <c r="C435" s="135">
        <f>'Kelas XI'!C420</f>
        <v>0</v>
      </c>
      <c r="D435" s="34">
        <f>'Kelas XI'!D419</f>
        <v>0</v>
      </c>
      <c r="E435" s="14"/>
      <c r="F435" s="15"/>
      <c r="G435" s="14"/>
      <c r="H435" s="15"/>
      <c r="I435" s="14"/>
      <c r="J435" s="15"/>
      <c r="K435" s="14"/>
      <c r="L435" s="15"/>
      <c r="M435" s="14"/>
      <c r="N435" s="15"/>
      <c r="O435" s="14"/>
      <c r="P435" s="15"/>
      <c r="Q435" s="14"/>
      <c r="R435" s="15"/>
      <c r="S435" s="14"/>
      <c r="T435" s="15"/>
      <c r="U435" s="14"/>
      <c r="V435" s="15"/>
      <c r="W435" s="14"/>
      <c r="X435" s="15"/>
      <c r="Y435" s="14"/>
      <c r="Z435" s="15"/>
      <c r="AA435" s="14"/>
      <c r="AB435" s="15"/>
      <c r="AC435" s="14"/>
      <c r="AD435" s="15"/>
      <c r="AE435" s="14"/>
      <c r="AF435" s="15"/>
      <c r="AG435" s="14"/>
      <c r="AH435" s="15"/>
      <c r="AI435" s="14"/>
      <c r="AJ435" s="15"/>
      <c r="AK435" s="107"/>
    </row>
    <row r="436" spans="1:37" ht="16.5" customHeight="1" x14ac:dyDescent="0.2">
      <c r="A436" s="6"/>
      <c r="B436" s="135">
        <f t="shared" si="134"/>
        <v>33</v>
      </c>
      <c r="C436" s="135">
        <f>'Kelas XI'!C421</f>
        <v>0</v>
      </c>
      <c r="D436" s="34">
        <f>'Kelas XI'!D420</f>
        <v>0</v>
      </c>
      <c r="E436" s="16"/>
      <c r="F436" s="17"/>
      <c r="G436" s="16"/>
      <c r="H436" s="17"/>
      <c r="I436" s="16"/>
      <c r="J436" s="17"/>
      <c r="K436" s="16"/>
      <c r="L436" s="17"/>
      <c r="M436" s="16"/>
      <c r="N436" s="17"/>
      <c r="O436" s="16"/>
      <c r="P436" s="17"/>
      <c r="Q436" s="16"/>
      <c r="R436" s="17"/>
      <c r="S436" s="16"/>
      <c r="T436" s="17"/>
      <c r="U436" s="16"/>
      <c r="V436" s="17"/>
      <c r="W436" s="16"/>
      <c r="X436" s="17"/>
      <c r="Y436" s="16"/>
      <c r="Z436" s="17"/>
      <c r="AA436" s="16"/>
      <c r="AB436" s="17"/>
      <c r="AC436" s="16"/>
      <c r="AD436" s="17"/>
      <c r="AE436" s="16"/>
      <c r="AF436" s="17"/>
      <c r="AG436" s="16"/>
      <c r="AH436" s="17"/>
      <c r="AI436" s="16"/>
      <c r="AJ436" s="17"/>
      <c r="AK436" s="107"/>
    </row>
    <row r="437" spans="1:37" ht="16.5" customHeight="1" x14ac:dyDescent="0.2">
      <c r="A437" s="6"/>
      <c r="B437" s="135">
        <f t="shared" si="134"/>
        <v>34</v>
      </c>
      <c r="C437" s="135">
        <f>'Kelas XI'!C422</f>
        <v>0</v>
      </c>
      <c r="D437" s="34">
        <f>'Kelas XI'!D421</f>
        <v>0</v>
      </c>
      <c r="E437" s="16"/>
      <c r="F437" s="17"/>
      <c r="G437" s="16"/>
      <c r="H437" s="17"/>
      <c r="I437" s="16"/>
      <c r="J437" s="17"/>
      <c r="K437" s="16"/>
      <c r="L437" s="17"/>
      <c r="M437" s="16"/>
      <c r="N437" s="17"/>
      <c r="O437" s="16"/>
      <c r="P437" s="17"/>
      <c r="Q437" s="16"/>
      <c r="R437" s="17"/>
      <c r="S437" s="16"/>
      <c r="T437" s="17"/>
      <c r="U437" s="16"/>
      <c r="V437" s="17"/>
      <c r="W437" s="16"/>
      <c r="X437" s="17"/>
      <c r="Y437" s="16"/>
      <c r="Z437" s="17"/>
      <c r="AA437" s="16"/>
      <c r="AB437" s="17"/>
      <c r="AC437" s="16"/>
      <c r="AD437" s="17"/>
      <c r="AE437" s="16"/>
      <c r="AF437" s="17"/>
      <c r="AG437" s="16"/>
      <c r="AH437" s="17"/>
      <c r="AI437" s="16"/>
      <c r="AJ437" s="17"/>
      <c r="AK437" s="107"/>
    </row>
    <row r="438" spans="1:37" ht="16.5" customHeight="1" x14ac:dyDescent="0.2">
      <c r="A438" s="6"/>
      <c r="B438" s="135">
        <f t="shared" si="134"/>
        <v>35</v>
      </c>
      <c r="C438" s="135">
        <f>'Kelas XI'!C423</f>
        <v>0</v>
      </c>
      <c r="D438" s="34">
        <f>'Kelas XI'!D422</f>
        <v>0</v>
      </c>
      <c r="E438" s="16"/>
      <c r="F438" s="17"/>
      <c r="G438" s="16"/>
      <c r="H438" s="17"/>
      <c r="I438" s="16"/>
      <c r="J438" s="17"/>
      <c r="K438" s="16"/>
      <c r="L438" s="17"/>
      <c r="M438" s="16"/>
      <c r="N438" s="17"/>
      <c r="O438" s="16"/>
      <c r="P438" s="17"/>
      <c r="Q438" s="16"/>
      <c r="R438" s="17"/>
      <c r="S438" s="16"/>
      <c r="T438" s="17"/>
      <c r="U438" s="16"/>
      <c r="V438" s="17"/>
      <c r="W438" s="16"/>
      <c r="X438" s="17"/>
      <c r="Y438" s="16"/>
      <c r="Z438" s="17"/>
      <c r="AA438" s="16"/>
      <c r="AB438" s="17"/>
      <c r="AC438" s="16"/>
      <c r="AD438" s="17"/>
      <c r="AE438" s="16"/>
      <c r="AF438" s="17"/>
      <c r="AG438" s="16"/>
      <c r="AH438" s="17"/>
      <c r="AI438" s="16"/>
      <c r="AJ438" s="17"/>
      <c r="AK438" s="107"/>
    </row>
    <row r="439" spans="1:37" ht="16.5" customHeight="1" x14ac:dyDescent="0.2">
      <c r="A439" s="6"/>
      <c r="B439" s="135">
        <f t="shared" si="134"/>
        <v>36</v>
      </c>
      <c r="C439" s="135">
        <f>'Kelas XI'!C424</f>
        <v>0</v>
      </c>
      <c r="D439" s="34">
        <f>'Kelas XI'!D423</f>
        <v>0</v>
      </c>
      <c r="E439" s="16"/>
      <c r="F439" s="17"/>
      <c r="G439" s="16"/>
      <c r="H439" s="17"/>
      <c r="I439" s="16"/>
      <c r="J439" s="17"/>
      <c r="K439" s="16"/>
      <c r="L439" s="17"/>
      <c r="M439" s="16"/>
      <c r="N439" s="17"/>
      <c r="O439" s="16"/>
      <c r="P439" s="17"/>
      <c r="Q439" s="16"/>
      <c r="R439" s="17"/>
      <c r="S439" s="16"/>
      <c r="T439" s="17"/>
      <c r="U439" s="16"/>
      <c r="V439" s="17"/>
      <c r="W439" s="16"/>
      <c r="X439" s="17"/>
      <c r="Y439" s="16"/>
      <c r="Z439" s="17"/>
      <c r="AA439" s="16"/>
      <c r="AB439" s="17"/>
      <c r="AC439" s="16"/>
      <c r="AD439" s="17"/>
      <c r="AE439" s="16"/>
      <c r="AF439" s="17"/>
      <c r="AG439" s="16"/>
      <c r="AH439" s="17"/>
      <c r="AI439" s="16"/>
      <c r="AJ439" s="17"/>
      <c r="AK439" s="107"/>
    </row>
    <row r="440" spans="1:37" ht="16.5" customHeight="1" x14ac:dyDescent="0.2">
      <c r="A440" s="6"/>
      <c r="B440" s="135">
        <f t="shared" si="134"/>
        <v>37</v>
      </c>
      <c r="C440" s="135">
        <f>'Kelas XI'!C425</f>
        <v>0</v>
      </c>
      <c r="D440" s="34">
        <f>'Kelas XI'!D424</f>
        <v>0</v>
      </c>
      <c r="E440" s="16"/>
      <c r="F440" s="17"/>
      <c r="G440" s="16"/>
      <c r="H440" s="17"/>
      <c r="I440" s="16"/>
      <c r="J440" s="17"/>
      <c r="K440" s="16"/>
      <c r="L440" s="17"/>
      <c r="M440" s="16"/>
      <c r="N440" s="17"/>
      <c r="O440" s="16"/>
      <c r="P440" s="17"/>
      <c r="Q440" s="16"/>
      <c r="R440" s="17"/>
      <c r="S440" s="16"/>
      <c r="T440" s="17"/>
      <c r="U440" s="16"/>
      <c r="V440" s="17"/>
      <c r="W440" s="16"/>
      <c r="X440" s="17"/>
      <c r="Y440" s="16"/>
      <c r="Z440" s="17"/>
      <c r="AA440" s="16"/>
      <c r="AB440" s="17"/>
      <c r="AC440" s="16"/>
      <c r="AD440" s="17"/>
      <c r="AE440" s="16"/>
      <c r="AF440" s="17"/>
      <c r="AG440" s="16"/>
      <c r="AH440" s="17"/>
      <c r="AI440" s="16"/>
      <c r="AJ440" s="17"/>
      <c r="AK440" s="107"/>
    </row>
    <row r="441" spans="1:37" ht="16.5" customHeight="1" thickBot="1" x14ac:dyDescent="0.25">
      <c r="A441" s="6"/>
      <c r="B441" s="143">
        <f t="shared" si="134"/>
        <v>38</v>
      </c>
      <c r="C441" s="143">
        <f>'Kelas XI'!C426</f>
        <v>0</v>
      </c>
      <c r="D441" s="145">
        <f>'Kelas XI'!D425</f>
        <v>0</v>
      </c>
      <c r="E441" s="18"/>
      <c r="F441" s="19"/>
      <c r="G441" s="18"/>
      <c r="H441" s="19"/>
      <c r="I441" s="18"/>
      <c r="J441" s="19"/>
      <c r="K441" s="18"/>
      <c r="L441" s="19"/>
      <c r="M441" s="18"/>
      <c r="N441" s="19"/>
      <c r="O441" s="18"/>
      <c r="P441" s="19"/>
      <c r="Q441" s="18"/>
      <c r="R441" s="19"/>
      <c r="S441" s="18"/>
      <c r="T441" s="19"/>
      <c r="U441" s="18"/>
      <c r="V441" s="19"/>
      <c r="W441" s="18"/>
      <c r="X441" s="19"/>
      <c r="Y441" s="18"/>
      <c r="Z441" s="19"/>
      <c r="AA441" s="18"/>
      <c r="AB441" s="19"/>
      <c r="AC441" s="18"/>
      <c r="AD441" s="19"/>
      <c r="AE441" s="18"/>
      <c r="AF441" s="19"/>
      <c r="AG441" s="18"/>
      <c r="AH441" s="19"/>
      <c r="AI441" s="18"/>
      <c r="AJ441" s="19"/>
      <c r="AK441" s="107"/>
    </row>
  </sheetData>
  <mergeCells count="244">
    <mergeCell ref="U354:V354"/>
    <mergeCell ref="W354:X354"/>
    <mergeCell ref="Y354:Z354"/>
    <mergeCell ref="AA354:AB354"/>
    <mergeCell ref="U402:V402"/>
    <mergeCell ref="W402:X402"/>
    <mergeCell ref="Y402:Z402"/>
    <mergeCell ref="AA402:AB402"/>
    <mergeCell ref="U159:V159"/>
    <mergeCell ref="W159:X159"/>
    <mergeCell ref="Y159:Z159"/>
    <mergeCell ref="AA159:AB159"/>
    <mergeCell ref="U209:V209"/>
    <mergeCell ref="W209:X209"/>
    <mergeCell ref="Y209:Z209"/>
    <mergeCell ref="AA209:AB209"/>
    <mergeCell ref="U259:V259"/>
    <mergeCell ref="W259:X259"/>
    <mergeCell ref="Y259:Z259"/>
    <mergeCell ref="AA259:AB259"/>
    <mergeCell ref="U306:V306"/>
    <mergeCell ref="W306:X306"/>
    <mergeCell ref="Y306:Z306"/>
    <mergeCell ref="AA306:AB306"/>
    <mergeCell ref="B396:C399"/>
    <mergeCell ref="D396:AJ396"/>
    <mergeCell ref="D397:AJ397"/>
    <mergeCell ref="D398:AJ398"/>
    <mergeCell ref="D399:AJ399"/>
    <mergeCell ref="B400:C400"/>
    <mergeCell ref="B401:C401"/>
    <mergeCell ref="D401:D403"/>
    <mergeCell ref="E401:AJ401"/>
    <mergeCell ref="B402:B403"/>
    <mergeCell ref="C402:C403"/>
    <mergeCell ref="E402:F402"/>
    <mergeCell ref="G402:H402"/>
    <mergeCell ref="I402:J402"/>
    <mergeCell ref="K402:L402"/>
    <mergeCell ref="M402:N402"/>
    <mergeCell ref="O402:P402"/>
    <mergeCell ref="Q402:R402"/>
    <mergeCell ref="S402:T402"/>
    <mergeCell ref="AC402:AD402"/>
    <mergeCell ref="AE402:AF402"/>
    <mergeCell ref="AG402:AH402"/>
    <mergeCell ref="AI402:AJ402"/>
    <mergeCell ref="B2:C5"/>
    <mergeCell ref="D2:AJ2"/>
    <mergeCell ref="D3:AJ3"/>
    <mergeCell ref="D4:AJ4"/>
    <mergeCell ref="D5:AJ5"/>
    <mergeCell ref="B7:C7"/>
    <mergeCell ref="D7:D9"/>
    <mergeCell ref="B6:C6"/>
    <mergeCell ref="B8:B9"/>
    <mergeCell ref="C8:C9"/>
    <mergeCell ref="I8:J8"/>
    <mergeCell ref="K8:L8"/>
    <mergeCell ref="O8:P8"/>
    <mergeCell ref="AG8:AH8"/>
    <mergeCell ref="AI8:AJ8"/>
    <mergeCell ref="Q8:R8"/>
    <mergeCell ref="S8:T8"/>
    <mergeCell ref="AC8:AD8"/>
    <mergeCell ref="AE8:AF8"/>
    <mergeCell ref="U8:V8"/>
    <mergeCell ref="W8:X8"/>
    <mergeCell ref="Y8:Z8"/>
    <mergeCell ref="AA8:AB8"/>
    <mergeCell ref="B53:C56"/>
    <mergeCell ref="D53:AJ53"/>
    <mergeCell ref="D54:AJ54"/>
    <mergeCell ref="D55:AJ55"/>
    <mergeCell ref="D56:AJ56"/>
    <mergeCell ref="M8:N8"/>
    <mergeCell ref="E7:AJ7"/>
    <mergeCell ref="E8:F8"/>
    <mergeCell ref="G8:H8"/>
    <mergeCell ref="B57:C57"/>
    <mergeCell ref="B58:C58"/>
    <mergeCell ref="D58:D60"/>
    <mergeCell ref="O59:P59"/>
    <mergeCell ref="AE59:AF59"/>
    <mergeCell ref="AG59:AH59"/>
    <mergeCell ref="AI59:AJ59"/>
    <mergeCell ref="E58:AJ58"/>
    <mergeCell ref="Q59:R59"/>
    <mergeCell ref="S59:T59"/>
    <mergeCell ref="AC59:AD59"/>
    <mergeCell ref="U59:V59"/>
    <mergeCell ref="W59:X59"/>
    <mergeCell ref="Y59:Z59"/>
    <mergeCell ref="AA59:AB59"/>
    <mergeCell ref="B103:C106"/>
    <mergeCell ref="D103:AJ103"/>
    <mergeCell ref="D104:AJ104"/>
    <mergeCell ref="D105:AJ105"/>
    <mergeCell ref="D106:AJ106"/>
    <mergeCell ref="B59:B60"/>
    <mergeCell ref="C59:C60"/>
    <mergeCell ref="M59:N59"/>
    <mergeCell ref="E108:AJ108"/>
    <mergeCell ref="B107:C107"/>
    <mergeCell ref="B108:C108"/>
    <mergeCell ref="D108:D110"/>
    <mergeCell ref="B109:B110"/>
    <mergeCell ref="C109:C110"/>
    <mergeCell ref="AE109:AF109"/>
    <mergeCell ref="AG109:AH109"/>
    <mergeCell ref="AI109:AJ109"/>
    <mergeCell ref="AC109:AD109"/>
    <mergeCell ref="E59:F59"/>
    <mergeCell ref="G59:H59"/>
    <mergeCell ref="I59:J59"/>
    <mergeCell ref="K59:L59"/>
    <mergeCell ref="U109:V109"/>
    <mergeCell ref="W109:X109"/>
    <mergeCell ref="B153:C156"/>
    <mergeCell ref="D153:AJ153"/>
    <mergeCell ref="D154:AJ154"/>
    <mergeCell ref="D155:AJ155"/>
    <mergeCell ref="D156:AJ156"/>
    <mergeCell ref="O109:P109"/>
    <mergeCell ref="E109:F109"/>
    <mergeCell ref="G109:H109"/>
    <mergeCell ref="I109:J109"/>
    <mergeCell ref="K109:L109"/>
    <mergeCell ref="M109:N109"/>
    <mergeCell ref="Q109:R109"/>
    <mergeCell ref="S109:T109"/>
    <mergeCell ref="Y109:Z109"/>
    <mergeCell ref="AA109:AB109"/>
    <mergeCell ref="C209:C210"/>
    <mergeCell ref="B203:C206"/>
    <mergeCell ref="D203:AJ203"/>
    <mergeCell ref="D204:AJ204"/>
    <mergeCell ref="D205:AJ205"/>
    <mergeCell ref="D206:AJ206"/>
    <mergeCell ref="B157:C157"/>
    <mergeCell ref="B158:C158"/>
    <mergeCell ref="D158:D160"/>
    <mergeCell ref="B159:B160"/>
    <mergeCell ref="C159:C160"/>
    <mergeCell ref="Q159:R159"/>
    <mergeCell ref="S159:T159"/>
    <mergeCell ref="AC159:AD159"/>
    <mergeCell ref="I159:J159"/>
    <mergeCell ref="E158:AJ158"/>
    <mergeCell ref="AG159:AH159"/>
    <mergeCell ref="AI159:AJ159"/>
    <mergeCell ref="K159:L159"/>
    <mergeCell ref="O159:P159"/>
    <mergeCell ref="G159:H159"/>
    <mergeCell ref="M159:N159"/>
    <mergeCell ref="E159:F159"/>
    <mergeCell ref="AE159:AF159"/>
    <mergeCell ref="B257:C257"/>
    <mergeCell ref="B207:C207"/>
    <mergeCell ref="B208:C208"/>
    <mergeCell ref="D208:D210"/>
    <mergeCell ref="B209:B210"/>
    <mergeCell ref="G209:H209"/>
    <mergeCell ref="M209:N209"/>
    <mergeCell ref="E209:F209"/>
    <mergeCell ref="S209:T209"/>
    <mergeCell ref="I209:J209"/>
    <mergeCell ref="K209:L209"/>
    <mergeCell ref="E208:AJ208"/>
    <mergeCell ref="AE209:AF209"/>
    <mergeCell ref="AG209:AH209"/>
    <mergeCell ref="AI209:AJ209"/>
    <mergeCell ref="Q209:R209"/>
    <mergeCell ref="AC209:AD209"/>
    <mergeCell ref="AC207:AJ207"/>
    <mergeCell ref="B253:C256"/>
    <mergeCell ref="D253:AJ253"/>
    <mergeCell ref="D254:AJ254"/>
    <mergeCell ref="D255:AJ255"/>
    <mergeCell ref="D256:AJ256"/>
    <mergeCell ref="O209:P209"/>
    <mergeCell ref="B258:C258"/>
    <mergeCell ref="D258:D260"/>
    <mergeCell ref="B259:B260"/>
    <mergeCell ref="C259:C260"/>
    <mergeCell ref="AC259:AD259"/>
    <mergeCell ref="I259:J259"/>
    <mergeCell ref="K259:L259"/>
    <mergeCell ref="S259:T259"/>
    <mergeCell ref="E258:AJ258"/>
    <mergeCell ref="AE259:AF259"/>
    <mergeCell ref="AG259:AH259"/>
    <mergeCell ref="AI259:AJ259"/>
    <mergeCell ref="O259:P259"/>
    <mergeCell ref="G259:H259"/>
    <mergeCell ref="M259:N259"/>
    <mergeCell ref="E259:F259"/>
    <mergeCell ref="Q259:R259"/>
    <mergeCell ref="B348:C351"/>
    <mergeCell ref="D348:AJ348"/>
    <mergeCell ref="D349:AJ349"/>
    <mergeCell ref="D350:AJ350"/>
    <mergeCell ref="D351:AJ351"/>
    <mergeCell ref="G306:H306"/>
    <mergeCell ref="Q306:R306"/>
    <mergeCell ref="S306:T306"/>
    <mergeCell ref="AC306:AD306"/>
    <mergeCell ref="K306:L306"/>
    <mergeCell ref="B304:C304"/>
    <mergeCell ref="B305:C305"/>
    <mergeCell ref="D305:D307"/>
    <mergeCell ref="B306:B307"/>
    <mergeCell ref="C306:C307"/>
    <mergeCell ref="E305:AJ305"/>
    <mergeCell ref="AE306:AF306"/>
    <mergeCell ref="AG306:AH306"/>
    <mergeCell ref="AI306:AJ306"/>
    <mergeCell ref="M306:N306"/>
    <mergeCell ref="I306:J306"/>
    <mergeCell ref="E306:F306"/>
    <mergeCell ref="Q354:R354"/>
    <mergeCell ref="S354:T354"/>
    <mergeCell ref="AC354:AD354"/>
    <mergeCell ref="O306:P306"/>
    <mergeCell ref="B300:C303"/>
    <mergeCell ref="D300:AJ300"/>
    <mergeCell ref="D301:AJ301"/>
    <mergeCell ref="D302:AJ302"/>
    <mergeCell ref="D303:AJ303"/>
    <mergeCell ref="AE354:AF354"/>
    <mergeCell ref="AG354:AH354"/>
    <mergeCell ref="AI354:AJ354"/>
    <mergeCell ref="E354:F354"/>
    <mergeCell ref="E353:AJ353"/>
    <mergeCell ref="G354:H354"/>
    <mergeCell ref="B353:C353"/>
    <mergeCell ref="D353:D355"/>
    <mergeCell ref="B354:B355"/>
    <mergeCell ref="C354:C355"/>
    <mergeCell ref="O354:P354"/>
    <mergeCell ref="I354:J354"/>
    <mergeCell ref="K354:L354"/>
    <mergeCell ref="M354:N354"/>
    <mergeCell ref="B352:C352"/>
  </mergeCells>
  <phoneticPr fontId="6" type="noConversion"/>
  <printOptions horizontalCentered="1"/>
  <pageMargins left="0.23622047244094499" right="0.39370078740157499" top="0.722440945" bottom="0.23622047244094499" header="0.511811023622047" footer="0.511811023622047"/>
  <pageSetup paperSize="14" scale="60" orientation="landscape" horizontalDpi="360" verticalDpi="360" r:id="rId1"/>
  <headerFooter alignWithMargins="0"/>
  <rowBreaks count="8" manualBreakCount="8">
    <brk id="51" min="1" max="35" man="1"/>
    <brk id="101" min="1" max="35" man="1"/>
    <brk id="151" min="1" max="35" man="1"/>
    <brk id="201" max="16383" man="1"/>
    <brk id="251" max="16383" man="1"/>
    <brk id="298" max="16383" man="1"/>
    <brk id="346" max="16383" man="1"/>
    <brk id="394" min="1" max="35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C461-13D3-489E-AAB1-9B368A18BB5A}">
  <dimension ref="A1:AE364"/>
  <sheetViews>
    <sheetView tabSelected="1" view="pageBreakPreview" topLeftCell="A37" zoomScale="75" zoomScaleNormal="80" zoomScaleSheetLayoutView="75" workbookViewId="0">
      <selection activeCell="C82" sqref="C82:D82"/>
    </sheetView>
  </sheetViews>
  <sheetFormatPr defaultRowHeight="18.95" customHeight="1" x14ac:dyDescent="0.2"/>
  <cols>
    <col min="1" max="1" width="5.42578125" style="50" customWidth="1"/>
    <col min="2" max="2" width="6.42578125" style="50" customWidth="1"/>
    <col min="3" max="3" width="9" style="50" customWidth="1"/>
    <col min="4" max="4" width="58.7109375" style="50" customWidth="1"/>
    <col min="5" max="5" width="4.42578125" style="50" customWidth="1"/>
    <col min="6" max="20" width="4.140625" style="50" customWidth="1"/>
    <col min="21" max="16384" width="9.140625" style="50"/>
  </cols>
  <sheetData>
    <row r="1" spans="1:22" ht="18.95" customHeight="1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95" customHeight="1" x14ac:dyDescent="0.2">
      <c r="A2" s="1"/>
      <c r="B2" s="255"/>
      <c r="C2" s="256"/>
      <c r="D2" s="259" t="s">
        <v>3</v>
      </c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1"/>
      <c r="U2" s="1"/>
      <c r="V2" s="1"/>
    </row>
    <row r="3" spans="1:22" ht="18.95" customHeight="1" x14ac:dyDescent="0.2">
      <c r="A3" s="1"/>
      <c r="B3" s="257"/>
      <c r="C3" s="258"/>
      <c r="D3" s="262" t="s">
        <v>4</v>
      </c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4"/>
      <c r="U3" s="1"/>
      <c r="V3" s="1"/>
    </row>
    <row r="4" spans="1:22" ht="18.95" customHeight="1" thickBot="1" x14ac:dyDescent="0.25">
      <c r="A4" s="1"/>
      <c r="B4" s="257"/>
      <c r="C4" s="258"/>
      <c r="D4" s="265" t="s">
        <v>547</v>
      </c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7"/>
      <c r="U4" s="1"/>
      <c r="V4" s="1"/>
    </row>
    <row r="5" spans="1:22" ht="18.95" customHeight="1" thickBot="1" x14ac:dyDescent="0.25">
      <c r="A5" s="1"/>
      <c r="B5" s="268"/>
      <c r="C5" s="269"/>
      <c r="D5" s="25" t="s">
        <v>249</v>
      </c>
      <c r="E5" s="26"/>
      <c r="F5" s="27" t="s">
        <v>2</v>
      </c>
      <c r="G5" s="27"/>
      <c r="H5" s="27"/>
      <c r="I5" s="28"/>
      <c r="J5" s="28" t="s">
        <v>520</v>
      </c>
      <c r="K5" s="27"/>
      <c r="L5" s="27"/>
      <c r="M5" s="27"/>
      <c r="N5" s="27"/>
      <c r="O5" s="27"/>
      <c r="P5" s="27"/>
      <c r="Q5" s="27"/>
      <c r="R5" s="27"/>
      <c r="S5" s="27"/>
      <c r="T5" s="123"/>
      <c r="U5" s="1"/>
      <c r="V5" s="1"/>
    </row>
    <row r="6" spans="1:22" ht="18.95" customHeight="1" thickBot="1" x14ac:dyDescent="0.25">
      <c r="A6" s="1"/>
      <c r="B6" s="271" t="s">
        <v>6</v>
      </c>
      <c r="C6" s="272"/>
      <c r="D6" s="270" t="s">
        <v>7</v>
      </c>
      <c r="E6" s="273" t="s">
        <v>12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1"/>
      <c r="V6" s="1"/>
    </row>
    <row r="7" spans="1:22" ht="23.25" customHeight="1" thickBot="1" x14ac:dyDescent="0.25">
      <c r="A7" s="1"/>
      <c r="B7" s="42" t="s">
        <v>10</v>
      </c>
      <c r="C7" s="29" t="s">
        <v>9</v>
      </c>
      <c r="D7" s="270"/>
      <c r="E7" s="274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1"/>
      <c r="V7" s="1"/>
    </row>
    <row r="8" spans="1:22" ht="24.95" customHeight="1" x14ac:dyDescent="0.2">
      <c r="A8" s="1"/>
      <c r="B8" s="30">
        <v>1</v>
      </c>
      <c r="C8" s="39">
        <v>15821</v>
      </c>
      <c r="D8" s="160" t="s">
        <v>39</v>
      </c>
      <c r="E8" s="207" t="s">
        <v>0</v>
      </c>
      <c r="F8" s="170"/>
      <c r="G8" s="79"/>
      <c r="H8" s="80"/>
      <c r="I8" s="80"/>
      <c r="J8" s="102"/>
      <c r="K8" s="170"/>
      <c r="L8" s="79"/>
      <c r="M8" s="80"/>
      <c r="N8" s="80"/>
      <c r="O8" s="102"/>
      <c r="P8" s="170"/>
      <c r="Q8" s="79"/>
      <c r="R8" s="80"/>
      <c r="S8" s="80"/>
      <c r="T8" s="125"/>
      <c r="U8" s="1"/>
      <c r="V8" s="1"/>
    </row>
    <row r="9" spans="1:22" ht="24.95" customHeight="1" x14ac:dyDescent="0.2">
      <c r="A9" s="1"/>
      <c r="B9" s="30">
        <v>2</v>
      </c>
      <c r="C9" s="39">
        <v>15927</v>
      </c>
      <c r="D9" s="49" t="s">
        <v>101</v>
      </c>
      <c r="E9" s="169" t="s">
        <v>0</v>
      </c>
      <c r="F9" s="170"/>
      <c r="G9" s="60"/>
      <c r="H9" s="2"/>
      <c r="I9" s="2"/>
      <c r="J9" s="102"/>
      <c r="K9" s="170"/>
      <c r="L9" s="60"/>
      <c r="M9" s="2"/>
      <c r="N9" s="2"/>
      <c r="O9" s="102"/>
      <c r="P9" s="170"/>
      <c r="Q9" s="60"/>
      <c r="R9" s="2"/>
      <c r="S9" s="2"/>
      <c r="T9" s="125"/>
      <c r="U9" s="1"/>
      <c r="V9" s="1"/>
    </row>
    <row r="10" spans="1:22" ht="24.95" customHeight="1" x14ac:dyDescent="0.2">
      <c r="A10" s="1"/>
      <c r="B10" s="30">
        <v>3</v>
      </c>
      <c r="C10" s="39">
        <v>15892</v>
      </c>
      <c r="D10" s="49" t="s">
        <v>227</v>
      </c>
      <c r="E10" s="169" t="s">
        <v>0</v>
      </c>
      <c r="F10" s="170"/>
      <c r="G10" s="60"/>
      <c r="H10" s="2"/>
      <c r="I10" s="2"/>
      <c r="J10" s="102"/>
      <c r="K10" s="170"/>
      <c r="L10" s="60"/>
      <c r="M10" s="2"/>
      <c r="N10" s="2"/>
      <c r="O10" s="102"/>
      <c r="P10" s="170"/>
      <c r="Q10" s="60"/>
      <c r="R10" s="2"/>
      <c r="S10" s="2"/>
      <c r="T10" s="125"/>
      <c r="U10" s="1"/>
      <c r="V10" s="1"/>
    </row>
    <row r="11" spans="1:22" ht="24.95" customHeight="1" x14ac:dyDescent="0.2">
      <c r="A11" s="1"/>
      <c r="B11" s="30">
        <v>4</v>
      </c>
      <c r="C11" s="39">
        <v>15860</v>
      </c>
      <c r="D11" s="49" t="s">
        <v>56</v>
      </c>
      <c r="E11" s="169" t="s">
        <v>0</v>
      </c>
      <c r="F11" s="170"/>
      <c r="G11" s="60"/>
      <c r="H11" s="2"/>
      <c r="I11" s="2"/>
      <c r="J11" s="102"/>
      <c r="K11" s="170"/>
      <c r="L11" s="60"/>
      <c r="M11" s="2"/>
      <c r="N11" s="2"/>
      <c r="O11" s="102"/>
      <c r="P11" s="170"/>
      <c r="Q11" s="60"/>
      <c r="R11" s="2"/>
      <c r="S11" s="2"/>
      <c r="T11" s="125"/>
      <c r="U11" s="1"/>
      <c r="V11" s="1"/>
    </row>
    <row r="12" spans="1:22" ht="24.95" customHeight="1" x14ac:dyDescent="0.2">
      <c r="A12" s="1"/>
      <c r="B12" s="30">
        <v>5</v>
      </c>
      <c r="C12" s="39">
        <v>15893</v>
      </c>
      <c r="D12" s="49" t="s">
        <v>219</v>
      </c>
      <c r="E12" s="169" t="s">
        <v>0</v>
      </c>
      <c r="F12" s="170"/>
      <c r="G12" s="60"/>
      <c r="H12" s="2"/>
      <c r="I12" s="2"/>
      <c r="J12" s="102"/>
      <c r="K12" s="170"/>
      <c r="L12" s="60"/>
      <c r="M12" s="2"/>
      <c r="N12" s="2"/>
      <c r="O12" s="102"/>
      <c r="P12" s="170"/>
      <c r="Q12" s="60"/>
      <c r="R12" s="2"/>
      <c r="S12" s="2"/>
      <c r="T12" s="125"/>
      <c r="U12" s="1"/>
      <c r="V12" s="1"/>
    </row>
    <row r="13" spans="1:22" ht="24.95" customHeight="1" x14ac:dyDescent="0.2">
      <c r="A13" s="1"/>
      <c r="B13" s="30">
        <v>6</v>
      </c>
      <c r="C13" s="39">
        <v>15862</v>
      </c>
      <c r="D13" s="49" t="s">
        <v>47</v>
      </c>
      <c r="E13" s="169" t="s">
        <v>0</v>
      </c>
      <c r="F13" s="170"/>
      <c r="G13" s="60"/>
      <c r="H13" s="2"/>
      <c r="I13" s="2"/>
      <c r="J13" s="102"/>
      <c r="K13" s="170"/>
      <c r="L13" s="60"/>
      <c r="M13" s="2"/>
      <c r="N13" s="2"/>
      <c r="O13" s="102"/>
      <c r="P13" s="170"/>
      <c r="Q13" s="60"/>
      <c r="R13" s="2"/>
      <c r="S13" s="2"/>
      <c r="T13" s="125"/>
      <c r="U13" s="1"/>
      <c r="V13" s="1"/>
    </row>
    <row r="14" spans="1:22" ht="24.95" customHeight="1" x14ac:dyDescent="0.2">
      <c r="A14" s="1"/>
      <c r="B14" s="30">
        <v>7</v>
      </c>
      <c r="C14" s="39">
        <v>15828</v>
      </c>
      <c r="D14" s="49" t="s">
        <v>32</v>
      </c>
      <c r="E14" s="169" t="s">
        <v>0</v>
      </c>
      <c r="F14" s="170"/>
      <c r="G14" s="60"/>
      <c r="H14" s="2"/>
      <c r="I14" s="2"/>
      <c r="J14" s="102"/>
      <c r="K14" s="170"/>
      <c r="L14" s="60"/>
      <c r="M14" s="2"/>
      <c r="N14" s="2"/>
      <c r="O14" s="102"/>
      <c r="P14" s="170"/>
      <c r="Q14" s="60"/>
      <c r="R14" s="2"/>
      <c r="S14" s="2"/>
      <c r="T14" s="125"/>
      <c r="U14" s="1"/>
      <c r="V14" s="1"/>
    </row>
    <row r="15" spans="1:22" ht="24.95" customHeight="1" x14ac:dyDescent="0.2">
      <c r="A15" s="1"/>
      <c r="B15" s="30">
        <v>8</v>
      </c>
      <c r="C15" s="39">
        <v>15896</v>
      </c>
      <c r="D15" s="49" t="s">
        <v>228</v>
      </c>
      <c r="E15" s="169" t="s">
        <v>0</v>
      </c>
      <c r="F15" s="170"/>
      <c r="G15" s="60"/>
      <c r="H15" s="2"/>
      <c r="I15" s="2"/>
      <c r="J15" s="102"/>
      <c r="K15" s="170"/>
      <c r="L15" s="60"/>
      <c r="M15" s="2"/>
      <c r="N15" s="2"/>
      <c r="O15" s="102"/>
      <c r="P15" s="170"/>
      <c r="Q15" s="60"/>
      <c r="R15" s="2"/>
      <c r="S15" s="2"/>
      <c r="T15" s="125"/>
      <c r="U15" s="1"/>
      <c r="V15" s="1"/>
    </row>
    <row r="16" spans="1:22" ht="24.95" customHeight="1" x14ac:dyDescent="0.2">
      <c r="A16" s="1"/>
      <c r="B16" s="30">
        <v>9</v>
      </c>
      <c r="C16" s="39">
        <v>15832</v>
      </c>
      <c r="D16" s="49" t="s">
        <v>19</v>
      </c>
      <c r="E16" s="169" t="s">
        <v>0</v>
      </c>
      <c r="F16" s="170"/>
      <c r="G16" s="60"/>
      <c r="H16" s="2"/>
      <c r="I16" s="2"/>
      <c r="J16" s="102"/>
      <c r="K16" s="170"/>
      <c r="L16" s="60"/>
      <c r="M16" s="2"/>
      <c r="N16" s="2"/>
      <c r="O16" s="102"/>
      <c r="P16" s="170"/>
      <c r="Q16" s="60"/>
      <c r="R16" s="2"/>
      <c r="S16" s="2"/>
      <c r="T16" s="125"/>
      <c r="U16" s="1"/>
      <c r="V16" s="1"/>
    </row>
    <row r="17" spans="1:22" ht="24.95" customHeight="1" x14ac:dyDescent="0.2">
      <c r="A17" s="1"/>
      <c r="B17" s="30">
        <v>10</v>
      </c>
      <c r="C17" s="39">
        <v>15864</v>
      </c>
      <c r="D17" s="49" t="s">
        <v>48</v>
      </c>
      <c r="E17" s="169" t="s">
        <v>0</v>
      </c>
      <c r="F17" s="170"/>
      <c r="G17" s="60"/>
      <c r="H17" s="2"/>
      <c r="I17" s="2"/>
      <c r="J17" s="102"/>
      <c r="K17" s="170"/>
      <c r="L17" s="60"/>
      <c r="M17" s="2"/>
      <c r="N17" s="2"/>
      <c r="O17" s="102"/>
      <c r="P17" s="170"/>
      <c r="Q17" s="60"/>
      <c r="R17" s="2"/>
      <c r="S17" s="2"/>
      <c r="T17" s="125"/>
      <c r="U17" s="1"/>
      <c r="V17" s="1"/>
    </row>
    <row r="18" spans="1:22" ht="24.95" customHeight="1" x14ac:dyDescent="0.2">
      <c r="A18" s="1"/>
      <c r="B18" s="30">
        <v>11</v>
      </c>
      <c r="C18" s="39">
        <v>15934</v>
      </c>
      <c r="D18" s="49" t="s">
        <v>102</v>
      </c>
      <c r="E18" s="169" t="s">
        <v>0</v>
      </c>
      <c r="F18" s="170"/>
      <c r="G18" s="60"/>
      <c r="H18" s="2"/>
      <c r="I18" s="2"/>
      <c r="J18" s="102"/>
      <c r="K18" s="170"/>
      <c r="L18" s="60"/>
      <c r="M18" s="2"/>
      <c r="N18" s="2"/>
      <c r="O18" s="102"/>
      <c r="P18" s="170"/>
      <c r="Q18" s="60"/>
      <c r="R18" s="2"/>
      <c r="S18" s="2"/>
      <c r="T18" s="125"/>
      <c r="U18" s="1"/>
      <c r="V18" s="1"/>
    </row>
    <row r="19" spans="1:22" ht="24.95" customHeight="1" x14ac:dyDescent="0.2">
      <c r="A19" s="1"/>
      <c r="B19" s="30">
        <v>12</v>
      </c>
      <c r="C19" s="39">
        <v>15868</v>
      </c>
      <c r="D19" s="49" t="s">
        <v>69</v>
      </c>
      <c r="E19" s="169" t="s">
        <v>0</v>
      </c>
      <c r="F19" s="170"/>
      <c r="G19" s="60"/>
      <c r="H19" s="2"/>
      <c r="I19" s="2"/>
      <c r="J19" s="102"/>
      <c r="K19" s="170"/>
      <c r="L19" s="60"/>
      <c r="M19" s="2"/>
      <c r="N19" s="2"/>
      <c r="O19" s="102"/>
      <c r="P19" s="170"/>
      <c r="Q19" s="60"/>
      <c r="R19" s="2"/>
      <c r="S19" s="2"/>
      <c r="T19" s="125"/>
      <c r="U19" s="1"/>
      <c r="V19" s="1"/>
    </row>
    <row r="20" spans="1:22" ht="24.95" customHeight="1" x14ac:dyDescent="0.2">
      <c r="A20" s="1"/>
      <c r="B20" s="30">
        <v>13</v>
      </c>
      <c r="C20" s="39">
        <v>15869</v>
      </c>
      <c r="D20" s="49" t="s">
        <v>59</v>
      </c>
      <c r="E20" s="169" t="s">
        <v>0</v>
      </c>
      <c r="F20" s="170"/>
      <c r="G20" s="60"/>
      <c r="H20" s="2"/>
      <c r="I20" s="2"/>
      <c r="J20" s="102"/>
      <c r="K20" s="170"/>
      <c r="L20" s="60"/>
      <c r="M20" s="2"/>
      <c r="N20" s="2"/>
      <c r="O20" s="102"/>
      <c r="P20" s="170"/>
      <c r="Q20" s="60"/>
      <c r="R20" s="2"/>
      <c r="S20" s="2"/>
      <c r="T20" s="125"/>
      <c r="U20" s="1"/>
      <c r="V20" s="1"/>
    </row>
    <row r="21" spans="1:22" ht="24.95" customHeight="1" x14ac:dyDescent="0.2">
      <c r="A21" s="1"/>
      <c r="B21" s="30">
        <v>14</v>
      </c>
      <c r="C21" s="39">
        <v>15935</v>
      </c>
      <c r="D21" s="49" t="s">
        <v>90</v>
      </c>
      <c r="E21" s="169" t="s">
        <v>0</v>
      </c>
      <c r="F21" s="170"/>
      <c r="G21" s="60"/>
      <c r="H21" s="2"/>
      <c r="I21" s="2"/>
      <c r="J21" s="102"/>
      <c r="K21" s="170"/>
      <c r="L21" s="60"/>
      <c r="M21" s="2"/>
      <c r="N21" s="2"/>
      <c r="O21" s="102"/>
      <c r="P21" s="170"/>
      <c r="Q21" s="60"/>
      <c r="R21" s="2"/>
      <c r="S21" s="2"/>
      <c r="T21" s="125"/>
      <c r="U21" s="1"/>
      <c r="V21" s="1"/>
    </row>
    <row r="22" spans="1:22" ht="24.95" customHeight="1" x14ac:dyDescent="0.2">
      <c r="A22" s="1"/>
      <c r="B22" s="30">
        <v>15</v>
      </c>
      <c r="C22" s="39">
        <v>15936</v>
      </c>
      <c r="D22" s="49" t="s">
        <v>95</v>
      </c>
      <c r="E22" s="169" t="s">
        <v>0</v>
      </c>
      <c r="F22" s="170"/>
      <c r="G22" s="60"/>
      <c r="H22" s="2"/>
      <c r="I22" s="2"/>
      <c r="J22" s="102"/>
      <c r="K22" s="170"/>
      <c r="L22" s="60"/>
      <c r="M22" s="2"/>
      <c r="N22" s="2"/>
      <c r="O22" s="102"/>
      <c r="P22" s="170"/>
      <c r="Q22" s="60"/>
      <c r="R22" s="2"/>
      <c r="S22" s="2"/>
      <c r="T22" s="125"/>
      <c r="U22" s="1"/>
      <c r="V22" s="1"/>
    </row>
    <row r="23" spans="1:22" ht="24.95" customHeight="1" x14ac:dyDescent="0.2">
      <c r="A23" s="1"/>
      <c r="B23" s="30">
        <v>16</v>
      </c>
      <c r="C23" s="39">
        <v>15837</v>
      </c>
      <c r="D23" s="49" t="s">
        <v>230</v>
      </c>
      <c r="E23" s="169" t="s">
        <v>0</v>
      </c>
      <c r="F23" s="170"/>
      <c r="G23" s="60"/>
      <c r="H23" s="2"/>
      <c r="I23" s="2"/>
      <c r="J23" s="102"/>
      <c r="K23" s="170"/>
      <c r="L23" s="60"/>
      <c r="M23" s="2"/>
      <c r="N23" s="2"/>
      <c r="O23" s="102"/>
      <c r="P23" s="170"/>
      <c r="Q23" s="60"/>
      <c r="R23" s="2"/>
      <c r="S23" s="2"/>
      <c r="T23" s="125"/>
      <c r="U23" s="1"/>
      <c r="V23" s="1"/>
    </row>
    <row r="24" spans="1:22" ht="24.95" customHeight="1" x14ac:dyDescent="0.2">
      <c r="A24" s="1"/>
      <c r="B24" s="30">
        <v>17</v>
      </c>
      <c r="C24" s="39">
        <v>15904</v>
      </c>
      <c r="D24" s="49" t="s">
        <v>220</v>
      </c>
      <c r="E24" s="169" t="s">
        <v>0</v>
      </c>
      <c r="F24" s="170"/>
      <c r="G24" s="60"/>
      <c r="H24" s="2"/>
      <c r="I24" s="2"/>
      <c r="J24" s="102"/>
      <c r="K24" s="170"/>
      <c r="L24" s="60"/>
      <c r="M24" s="2"/>
      <c r="N24" s="2"/>
      <c r="O24" s="102"/>
      <c r="P24" s="170"/>
      <c r="Q24" s="60"/>
      <c r="R24" s="2"/>
      <c r="S24" s="2"/>
      <c r="T24" s="125"/>
      <c r="U24" s="1"/>
      <c r="V24" s="1"/>
    </row>
    <row r="25" spans="1:22" ht="24.95" customHeight="1" x14ac:dyDescent="0.2">
      <c r="A25" s="1"/>
      <c r="B25" s="30">
        <v>18</v>
      </c>
      <c r="C25" s="39">
        <v>15873</v>
      </c>
      <c r="D25" s="49" t="s">
        <v>61</v>
      </c>
      <c r="E25" s="169" t="s">
        <v>0</v>
      </c>
      <c r="F25" s="170"/>
      <c r="G25" s="60"/>
      <c r="H25" s="2"/>
      <c r="I25" s="2"/>
      <c r="J25" s="102"/>
      <c r="K25" s="170"/>
      <c r="L25" s="60"/>
      <c r="M25" s="2"/>
      <c r="N25" s="2"/>
      <c r="O25" s="102"/>
      <c r="P25" s="170"/>
      <c r="Q25" s="60"/>
      <c r="R25" s="2"/>
      <c r="S25" s="2"/>
      <c r="T25" s="125"/>
      <c r="U25" s="1"/>
      <c r="V25" s="1"/>
    </row>
    <row r="26" spans="1:22" ht="24.95" customHeight="1" x14ac:dyDescent="0.2">
      <c r="A26" s="1"/>
      <c r="B26" s="30">
        <v>19</v>
      </c>
      <c r="C26" s="39">
        <v>15907</v>
      </c>
      <c r="D26" s="49" t="s">
        <v>213</v>
      </c>
      <c r="E26" s="169" t="s">
        <v>0</v>
      </c>
      <c r="F26" s="170"/>
      <c r="G26" s="60"/>
      <c r="H26" s="2"/>
      <c r="I26" s="2"/>
      <c r="J26" s="102"/>
      <c r="K26" s="170"/>
      <c r="L26" s="60"/>
      <c r="M26" s="2"/>
      <c r="N26" s="2"/>
      <c r="O26" s="102"/>
      <c r="P26" s="170"/>
      <c r="Q26" s="60"/>
      <c r="R26" s="2"/>
      <c r="S26" s="2"/>
      <c r="T26" s="125"/>
      <c r="U26" s="1"/>
      <c r="V26" s="1"/>
    </row>
    <row r="27" spans="1:22" ht="24.95" customHeight="1" x14ac:dyDescent="0.2">
      <c r="A27" s="1"/>
      <c r="B27" s="30">
        <v>20</v>
      </c>
      <c r="C27" s="39">
        <v>15910</v>
      </c>
      <c r="D27" s="49" t="s">
        <v>221</v>
      </c>
      <c r="E27" s="169" t="s">
        <v>0</v>
      </c>
      <c r="F27" s="170"/>
      <c r="G27" s="65"/>
      <c r="H27" s="2"/>
      <c r="I27" s="2"/>
      <c r="J27" s="102"/>
      <c r="K27" s="170"/>
      <c r="L27" s="65"/>
      <c r="M27" s="2"/>
      <c r="N27" s="2"/>
      <c r="O27" s="102"/>
      <c r="P27" s="170"/>
      <c r="Q27" s="65"/>
      <c r="R27" s="2"/>
      <c r="S27" s="2"/>
      <c r="T27" s="125"/>
      <c r="U27" s="1"/>
      <c r="V27" s="1"/>
    </row>
    <row r="28" spans="1:22" ht="24.95" customHeight="1" x14ac:dyDescent="0.2">
      <c r="A28" s="1"/>
      <c r="B28" s="30">
        <v>21</v>
      </c>
      <c r="C28" s="39">
        <v>15844</v>
      </c>
      <c r="D28" s="49" t="s">
        <v>25</v>
      </c>
      <c r="E28" s="169" t="s">
        <v>0</v>
      </c>
      <c r="F28" s="170"/>
      <c r="G28" s="65"/>
      <c r="H28" s="2"/>
      <c r="I28" s="2"/>
      <c r="J28" s="102"/>
      <c r="K28" s="170"/>
      <c r="L28" s="65"/>
      <c r="M28" s="2"/>
      <c r="N28" s="2"/>
      <c r="O28" s="102"/>
      <c r="P28" s="170"/>
      <c r="Q28" s="65"/>
      <c r="R28" s="2"/>
      <c r="S28" s="2"/>
      <c r="T28" s="125"/>
      <c r="U28" s="1"/>
      <c r="V28" s="1"/>
    </row>
    <row r="29" spans="1:22" ht="24.95" customHeight="1" x14ac:dyDescent="0.2">
      <c r="A29" s="1"/>
      <c r="B29" s="30">
        <v>22</v>
      </c>
      <c r="C29" s="39">
        <v>15914</v>
      </c>
      <c r="D29" s="49" t="s">
        <v>223</v>
      </c>
      <c r="E29" s="169" t="s">
        <v>0</v>
      </c>
      <c r="F29" s="170"/>
      <c r="G29" s="65"/>
      <c r="H29" s="2"/>
      <c r="I29" s="2"/>
      <c r="J29" s="102"/>
      <c r="K29" s="170"/>
      <c r="L29" s="65"/>
      <c r="M29" s="2"/>
      <c r="N29" s="2"/>
      <c r="O29" s="102"/>
      <c r="P29" s="170"/>
      <c r="Q29" s="65"/>
      <c r="R29" s="2"/>
      <c r="S29" s="2"/>
      <c r="T29" s="125"/>
      <c r="U29" s="1"/>
      <c r="V29" s="1"/>
    </row>
    <row r="30" spans="1:22" ht="24.95" customHeight="1" x14ac:dyDescent="0.2">
      <c r="A30" s="1"/>
      <c r="B30" s="30">
        <v>23</v>
      </c>
      <c r="C30" s="39">
        <v>16076</v>
      </c>
      <c r="D30" s="49" t="s">
        <v>85</v>
      </c>
      <c r="E30" s="169" t="s">
        <v>0</v>
      </c>
      <c r="F30" s="170"/>
      <c r="G30" s="65"/>
      <c r="H30" s="2"/>
      <c r="I30" s="2"/>
      <c r="J30" s="102"/>
      <c r="K30" s="170"/>
      <c r="L30" s="65"/>
      <c r="M30" s="2"/>
      <c r="N30" s="2"/>
      <c r="O30" s="102"/>
      <c r="P30" s="170"/>
      <c r="Q30" s="65"/>
      <c r="R30" s="2"/>
      <c r="S30" s="2"/>
      <c r="T30" s="125"/>
      <c r="U30" s="1"/>
      <c r="V30" s="1"/>
    </row>
    <row r="31" spans="1:22" ht="24.95" customHeight="1" x14ac:dyDescent="0.2">
      <c r="A31" s="1"/>
      <c r="B31" s="30">
        <v>24</v>
      </c>
      <c r="C31" s="39">
        <v>15877</v>
      </c>
      <c r="D31" s="49" t="s">
        <v>45</v>
      </c>
      <c r="E31" s="169" t="s">
        <v>0</v>
      </c>
      <c r="F31" s="170"/>
      <c r="G31" s="66"/>
      <c r="H31" s="67"/>
      <c r="I31" s="67"/>
      <c r="J31" s="103"/>
      <c r="K31" s="170"/>
      <c r="L31" s="66"/>
      <c r="M31" s="67"/>
      <c r="N31" s="67"/>
      <c r="O31" s="103"/>
      <c r="P31" s="170"/>
      <c r="Q31" s="66"/>
      <c r="R31" s="67"/>
      <c r="S31" s="67"/>
      <c r="T31" s="126"/>
      <c r="U31" s="1"/>
      <c r="V31" s="1"/>
    </row>
    <row r="32" spans="1:22" ht="24.95" customHeight="1" x14ac:dyDescent="0.2">
      <c r="A32" s="1"/>
      <c r="B32" s="30">
        <v>25</v>
      </c>
      <c r="C32" s="39">
        <v>15945</v>
      </c>
      <c r="D32" s="49" t="s">
        <v>97</v>
      </c>
      <c r="E32" s="169" t="s">
        <v>0</v>
      </c>
      <c r="F32" s="170"/>
      <c r="G32" s="66"/>
      <c r="H32" s="67"/>
      <c r="I32" s="67"/>
      <c r="J32" s="103"/>
      <c r="K32" s="170"/>
      <c r="L32" s="66"/>
      <c r="M32" s="67"/>
      <c r="N32" s="67"/>
      <c r="O32" s="103"/>
      <c r="P32" s="170"/>
      <c r="Q32" s="66"/>
      <c r="R32" s="67"/>
      <c r="S32" s="67"/>
      <c r="T32" s="126"/>
      <c r="U32" s="1"/>
      <c r="V32" s="1"/>
    </row>
    <row r="33" spans="1:22" ht="24.95" customHeight="1" x14ac:dyDescent="0.2">
      <c r="A33" s="1"/>
      <c r="B33" s="30">
        <v>26</v>
      </c>
      <c r="C33" s="39">
        <v>15948</v>
      </c>
      <c r="D33" s="49" t="s">
        <v>240</v>
      </c>
      <c r="E33" s="169" t="s">
        <v>0</v>
      </c>
      <c r="F33" s="170"/>
      <c r="G33" s="66"/>
      <c r="H33" s="67"/>
      <c r="I33" s="67"/>
      <c r="J33" s="103"/>
      <c r="K33" s="170"/>
      <c r="L33" s="66"/>
      <c r="M33" s="67"/>
      <c r="N33" s="67"/>
      <c r="O33" s="103"/>
      <c r="P33" s="170"/>
      <c r="Q33" s="66"/>
      <c r="R33" s="67"/>
      <c r="S33" s="67"/>
      <c r="T33" s="126"/>
      <c r="U33" s="1"/>
      <c r="V33" s="1"/>
    </row>
    <row r="34" spans="1:22" ht="24.95" customHeight="1" x14ac:dyDescent="0.2">
      <c r="A34" s="1"/>
      <c r="B34" s="30">
        <v>27</v>
      </c>
      <c r="C34" s="39">
        <v>15915</v>
      </c>
      <c r="D34" s="49" t="s">
        <v>211</v>
      </c>
      <c r="E34" s="169" t="s">
        <v>0</v>
      </c>
      <c r="F34" s="170"/>
      <c r="G34" s="66"/>
      <c r="H34" s="67"/>
      <c r="I34" s="67"/>
      <c r="J34" s="103"/>
      <c r="K34" s="170"/>
      <c r="L34" s="66"/>
      <c r="M34" s="67"/>
      <c r="N34" s="67"/>
      <c r="O34" s="103"/>
      <c r="P34" s="170"/>
      <c r="Q34" s="66"/>
      <c r="R34" s="67"/>
      <c r="S34" s="67"/>
      <c r="T34" s="126"/>
      <c r="U34" s="1"/>
      <c r="V34" s="1"/>
    </row>
    <row r="35" spans="1:22" ht="24.95" customHeight="1" x14ac:dyDescent="0.2">
      <c r="A35" s="1"/>
      <c r="B35" s="30">
        <v>28</v>
      </c>
      <c r="C35" s="39">
        <v>15918</v>
      </c>
      <c r="D35" s="49" t="s">
        <v>212</v>
      </c>
      <c r="E35" s="169" t="s">
        <v>0</v>
      </c>
      <c r="F35" s="170"/>
      <c r="G35" s="66"/>
      <c r="H35" s="67"/>
      <c r="I35" s="67"/>
      <c r="J35" s="103"/>
      <c r="K35" s="170"/>
      <c r="L35" s="66"/>
      <c r="M35" s="67"/>
      <c r="N35" s="67"/>
      <c r="O35" s="103"/>
      <c r="P35" s="170"/>
      <c r="Q35" s="66"/>
      <c r="R35" s="67"/>
      <c r="S35" s="67"/>
      <c r="T35" s="126"/>
      <c r="U35" s="1"/>
      <c r="V35" s="1"/>
    </row>
    <row r="36" spans="1:22" ht="24.95" customHeight="1" x14ac:dyDescent="0.2">
      <c r="A36" s="1"/>
      <c r="B36" s="30">
        <v>29</v>
      </c>
      <c r="C36" s="39">
        <v>15919</v>
      </c>
      <c r="D36" s="49" t="s">
        <v>78</v>
      </c>
      <c r="E36" s="169" t="s">
        <v>0</v>
      </c>
      <c r="F36" s="170"/>
      <c r="G36" s="66"/>
      <c r="H36" s="67"/>
      <c r="I36" s="67"/>
      <c r="J36" s="103"/>
      <c r="K36" s="170"/>
      <c r="L36" s="66"/>
      <c r="M36" s="67"/>
      <c r="N36" s="67"/>
      <c r="O36" s="103"/>
      <c r="P36" s="170"/>
      <c r="Q36" s="66"/>
      <c r="R36" s="67"/>
      <c r="S36" s="67"/>
      <c r="T36" s="126"/>
      <c r="U36" s="1"/>
      <c r="V36" s="1"/>
    </row>
    <row r="37" spans="1:22" ht="24.95" customHeight="1" x14ac:dyDescent="0.2">
      <c r="A37" s="1"/>
      <c r="B37" s="30">
        <v>30</v>
      </c>
      <c r="C37" s="39">
        <v>15920</v>
      </c>
      <c r="D37" s="49" t="s">
        <v>224</v>
      </c>
      <c r="E37" s="169" t="s">
        <v>0</v>
      </c>
      <c r="F37" s="170"/>
      <c r="G37" s="66"/>
      <c r="H37" s="67"/>
      <c r="I37" s="67"/>
      <c r="J37" s="103"/>
      <c r="K37" s="170"/>
      <c r="L37" s="66"/>
      <c r="M37" s="67"/>
      <c r="N37" s="67"/>
      <c r="O37" s="103"/>
      <c r="P37" s="170"/>
      <c r="Q37" s="66"/>
      <c r="R37" s="67"/>
      <c r="S37" s="67"/>
      <c r="T37" s="126"/>
      <c r="U37" s="1"/>
      <c r="V37" s="1"/>
    </row>
    <row r="38" spans="1:22" ht="24.95" customHeight="1" x14ac:dyDescent="0.2">
      <c r="A38" s="1"/>
      <c r="B38" s="30">
        <v>31</v>
      </c>
      <c r="C38" s="39">
        <v>15953</v>
      </c>
      <c r="D38" s="49" t="s">
        <v>105</v>
      </c>
      <c r="E38" s="169" t="s">
        <v>0</v>
      </c>
      <c r="F38" s="170"/>
      <c r="G38" s="66"/>
      <c r="H38" s="67"/>
      <c r="I38" s="67"/>
      <c r="J38" s="103"/>
      <c r="K38" s="170"/>
      <c r="L38" s="66"/>
      <c r="M38" s="67"/>
      <c r="N38" s="67"/>
      <c r="O38" s="103"/>
      <c r="P38" s="170"/>
      <c r="Q38" s="66"/>
      <c r="R38" s="67"/>
      <c r="S38" s="67"/>
      <c r="T38" s="126"/>
      <c r="U38" s="1"/>
      <c r="V38" s="1"/>
    </row>
    <row r="39" spans="1:22" ht="24.95" customHeight="1" x14ac:dyDescent="0.2">
      <c r="A39" s="1"/>
      <c r="B39" s="30">
        <v>32</v>
      </c>
      <c r="C39" s="39">
        <v>15848</v>
      </c>
      <c r="D39" s="49" t="s">
        <v>232</v>
      </c>
      <c r="E39" s="169" t="s">
        <v>0</v>
      </c>
      <c r="F39" s="170"/>
      <c r="G39" s="66"/>
      <c r="H39" s="67"/>
      <c r="I39" s="67"/>
      <c r="J39" s="103"/>
      <c r="K39" s="170"/>
      <c r="L39" s="66"/>
      <c r="M39" s="67"/>
      <c r="N39" s="67"/>
      <c r="O39" s="103"/>
      <c r="P39" s="170"/>
      <c r="Q39" s="66"/>
      <c r="R39" s="67"/>
      <c r="S39" s="67"/>
      <c r="T39" s="126"/>
      <c r="U39" s="1"/>
      <c r="V39" s="1"/>
    </row>
    <row r="40" spans="1:22" ht="24.95" customHeight="1" x14ac:dyDescent="0.2">
      <c r="A40" s="1"/>
      <c r="B40" s="30">
        <v>33</v>
      </c>
      <c r="C40" s="39">
        <v>15882</v>
      </c>
      <c r="D40" s="49" t="s">
        <v>57</v>
      </c>
      <c r="E40" s="171" t="s">
        <v>0</v>
      </c>
      <c r="F40" s="172"/>
      <c r="G40" s="65"/>
      <c r="H40" s="2"/>
      <c r="I40" s="2"/>
      <c r="J40" s="102"/>
      <c r="K40" s="172"/>
      <c r="L40" s="65"/>
      <c r="M40" s="2"/>
      <c r="N40" s="2"/>
      <c r="O40" s="102"/>
      <c r="P40" s="172"/>
      <c r="Q40" s="65"/>
      <c r="R40" s="2"/>
      <c r="S40" s="2"/>
      <c r="T40" s="125"/>
      <c r="U40" s="1"/>
      <c r="V40" s="1"/>
    </row>
    <row r="41" spans="1:22" ht="24.95" customHeight="1" x14ac:dyDescent="0.2">
      <c r="A41" s="1"/>
      <c r="B41" s="30">
        <v>34</v>
      </c>
      <c r="C41" s="39">
        <v>15851</v>
      </c>
      <c r="D41" s="180" t="s">
        <v>20</v>
      </c>
      <c r="E41" s="250" t="s">
        <v>0</v>
      </c>
      <c r="F41" s="251"/>
      <c r="G41" s="65"/>
      <c r="H41" s="2"/>
      <c r="I41" s="2"/>
      <c r="J41" s="102"/>
      <c r="K41" s="251"/>
      <c r="L41" s="65"/>
      <c r="M41" s="2"/>
      <c r="N41" s="2"/>
      <c r="O41" s="102"/>
      <c r="P41" s="251"/>
      <c r="Q41" s="65"/>
      <c r="R41" s="2"/>
      <c r="S41" s="2"/>
      <c r="T41" s="125"/>
      <c r="U41" s="1"/>
      <c r="V41" s="1"/>
    </row>
    <row r="42" spans="1:22" ht="24.95" customHeight="1" x14ac:dyDescent="0.2">
      <c r="A42" s="1"/>
      <c r="B42" s="30">
        <v>35</v>
      </c>
      <c r="C42" s="39"/>
      <c r="D42" s="100"/>
      <c r="E42" s="211" t="s">
        <v>0</v>
      </c>
      <c r="F42" s="173"/>
      <c r="G42" s="65"/>
      <c r="H42" s="2"/>
      <c r="I42" s="2"/>
      <c r="J42" s="102"/>
      <c r="K42" s="173"/>
      <c r="L42" s="65"/>
      <c r="M42" s="2"/>
      <c r="N42" s="2"/>
      <c r="O42" s="102"/>
      <c r="P42" s="173"/>
      <c r="Q42" s="65"/>
      <c r="R42" s="2"/>
      <c r="S42" s="2"/>
      <c r="T42" s="125"/>
      <c r="U42" s="1"/>
      <c r="V42" s="1"/>
    </row>
    <row r="43" spans="1:22" ht="24.95" customHeight="1" thickBot="1" x14ac:dyDescent="0.25">
      <c r="A43" s="1"/>
      <c r="B43" s="41">
        <v>36</v>
      </c>
      <c r="C43" s="52"/>
      <c r="D43" s="210"/>
      <c r="E43" s="212"/>
      <c r="F43" s="101"/>
      <c r="G43" s="74"/>
      <c r="H43" s="75"/>
      <c r="I43" s="75"/>
      <c r="J43" s="104"/>
      <c r="K43" s="101"/>
      <c r="L43" s="74"/>
      <c r="M43" s="75"/>
      <c r="N43" s="75"/>
      <c r="O43" s="104"/>
      <c r="P43" s="101"/>
      <c r="Q43" s="74"/>
      <c r="R43" s="75"/>
      <c r="S43" s="75"/>
      <c r="T43" s="104"/>
      <c r="U43" s="1"/>
      <c r="V43" s="1"/>
    </row>
    <row r="44" spans="1:22" ht="23.1" customHeight="1" x14ac:dyDescent="0.2">
      <c r="A44" s="1"/>
      <c r="B44" s="37"/>
      <c r="C44" s="37"/>
      <c r="D44" s="1"/>
      <c r="E44" s="3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3.1" customHeight="1" thickBot="1" x14ac:dyDescent="0.25">
      <c r="V45" s="1"/>
    </row>
    <row r="46" spans="1:22" ht="23.1" customHeight="1" x14ac:dyDescent="0.2">
      <c r="A46" s="1"/>
      <c r="B46" s="255"/>
      <c r="C46" s="256"/>
      <c r="D46" s="259" t="s">
        <v>3</v>
      </c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S46" s="260"/>
      <c r="T46" s="261"/>
      <c r="U46" s="1"/>
      <c r="V46" s="1"/>
    </row>
    <row r="47" spans="1:22" ht="23.1" customHeight="1" x14ac:dyDescent="0.2">
      <c r="A47" s="1"/>
      <c r="B47" s="257"/>
      <c r="C47" s="258"/>
      <c r="D47" s="262" t="s">
        <v>4</v>
      </c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4"/>
      <c r="U47" s="1"/>
      <c r="V47" s="1"/>
    </row>
    <row r="48" spans="1:22" ht="23.1" customHeight="1" thickBot="1" x14ac:dyDescent="0.25">
      <c r="A48" s="1"/>
      <c r="B48" s="257"/>
      <c r="C48" s="258"/>
      <c r="D48" s="262" t="s">
        <v>547</v>
      </c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4"/>
      <c r="U48" s="1"/>
      <c r="V48" s="1"/>
    </row>
    <row r="49" spans="1:22" ht="23.1" customHeight="1" thickBot="1" x14ac:dyDescent="0.25">
      <c r="A49" s="1"/>
      <c r="B49" s="270"/>
      <c r="C49" s="270"/>
      <c r="D49" s="54" t="s">
        <v>250</v>
      </c>
      <c r="E49" s="29"/>
      <c r="F49" s="54" t="s">
        <v>2</v>
      </c>
      <c r="G49" s="54"/>
      <c r="H49" s="54"/>
      <c r="I49" s="105"/>
      <c r="J49" s="106" t="s">
        <v>819</v>
      </c>
      <c r="K49" s="106"/>
      <c r="L49" s="106"/>
      <c r="M49" s="106"/>
      <c r="N49" s="106"/>
      <c r="O49" s="106"/>
      <c r="P49" s="106"/>
      <c r="Q49" s="106"/>
      <c r="R49" s="106"/>
      <c r="S49" s="106"/>
      <c r="T49" s="124"/>
      <c r="U49" s="1"/>
      <c r="V49" s="1"/>
    </row>
    <row r="50" spans="1:22" ht="23.1" customHeight="1" thickBot="1" x14ac:dyDescent="0.25">
      <c r="A50" s="1"/>
      <c r="B50" s="270" t="s">
        <v>6</v>
      </c>
      <c r="C50" s="270"/>
      <c r="D50" s="275" t="s">
        <v>7</v>
      </c>
      <c r="E50" s="273" t="s">
        <v>12</v>
      </c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1"/>
      <c r="V50" s="1"/>
    </row>
    <row r="51" spans="1:22" ht="23.1" customHeight="1" thickBot="1" x14ac:dyDescent="0.25">
      <c r="A51" s="1"/>
      <c r="B51" s="29" t="s">
        <v>10</v>
      </c>
      <c r="C51" s="29" t="s">
        <v>9</v>
      </c>
      <c r="D51" s="276"/>
      <c r="E51" s="274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1"/>
      <c r="V51" s="1"/>
    </row>
    <row r="52" spans="1:22" ht="24.95" customHeight="1" x14ac:dyDescent="0.2">
      <c r="A52" s="1"/>
      <c r="B52" s="31">
        <v>1</v>
      </c>
      <c r="C52" s="31">
        <v>15822</v>
      </c>
      <c r="D52" s="161" t="s">
        <v>35</v>
      </c>
      <c r="E52" s="175" t="s">
        <v>0</v>
      </c>
      <c r="F52" s="176"/>
      <c r="G52" s="55"/>
      <c r="H52" s="5"/>
      <c r="I52" s="5"/>
      <c r="J52" s="56"/>
      <c r="K52" s="57"/>
      <c r="L52" s="55"/>
      <c r="M52" s="5"/>
      <c r="N52" s="5"/>
      <c r="O52" s="56"/>
      <c r="P52" s="4"/>
      <c r="Q52" s="58"/>
      <c r="R52" s="93"/>
      <c r="S52" s="55"/>
      <c r="T52" s="59"/>
      <c r="U52" s="1"/>
      <c r="V52" s="1"/>
    </row>
    <row r="53" spans="1:22" ht="24.95" customHeight="1" x14ac:dyDescent="0.2">
      <c r="A53" s="1"/>
      <c r="B53" s="30">
        <v>2</v>
      </c>
      <c r="C53" s="30">
        <v>15823</v>
      </c>
      <c r="D53" s="162" t="s">
        <v>42</v>
      </c>
      <c r="E53" s="169" t="s">
        <v>0</v>
      </c>
      <c r="F53" s="177"/>
      <c r="G53" s="60"/>
      <c r="H53" s="2"/>
      <c r="I53" s="2"/>
      <c r="J53" s="61"/>
      <c r="K53" s="62"/>
      <c r="L53" s="60"/>
      <c r="M53" s="2"/>
      <c r="N53" s="2"/>
      <c r="O53" s="61"/>
      <c r="P53" s="3"/>
      <c r="Q53" s="63"/>
      <c r="R53" s="36"/>
      <c r="S53" s="60"/>
      <c r="T53" s="64"/>
      <c r="U53" s="1"/>
      <c r="V53" s="1"/>
    </row>
    <row r="54" spans="1:22" ht="24.95" customHeight="1" x14ac:dyDescent="0.2">
      <c r="A54" s="1"/>
      <c r="B54" s="31">
        <v>3</v>
      </c>
      <c r="C54" s="31">
        <v>15857</v>
      </c>
      <c r="D54" s="162" t="s">
        <v>67</v>
      </c>
      <c r="E54" s="169" t="s">
        <v>0</v>
      </c>
      <c r="F54" s="177"/>
      <c r="G54" s="60"/>
      <c r="H54" s="2"/>
      <c r="I54" s="2"/>
      <c r="J54" s="61"/>
      <c r="K54" s="62"/>
      <c r="L54" s="60"/>
      <c r="M54" s="2"/>
      <c r="N54" s="2"/>
      <c r="O54" s="61"/>
      <c r="P54" s="3"/>
      <c r="Q54" s="63"/>
      <c r="R54" s="36"/>
      <c r="S54" s="60"/>
      <c r="T54" s="64"/>
      <c r="U54" s="1"/>
      <c r="V54" s="1"/>
    </row>
    <row r="55" spans="1:22" ht="24.95" customHeight="1" x14ac:dyDescent="0.2">
      <c r="A55" s="1"/>
      <c r="B55" s="30">
        <v>4</v>
      </c>
      <c r="C55" s="30">
        <v>15929</v>
      </c>
      <c r="D55" s="162" t="s">
        <v>86</v>
      </c>
      <c r="E55" s="169" t="s">
        <v>0</v>
      </c>
      <c r="F55" s="177"/>
      <c r="G55" s="60"/>
      <c r="H55" s="2"/>
      <c r="I55" s="2"/>
      <c r="J55" s="61"/>
      <c r="K55" s="62"/>
      <c r="L55" s="60"/>
      <c r="M55" s="2"/>
      <c r="N55" s="2"/>
      <c r="O55" s="61"/>
      <c r="P55" s="3"/>
      <c r="Q55" s="63"/>
      <c r="R55" s="36"/>
      <c r="S55" s="60"/>
      <c r="T55" s="64"/>
      <c r="U55" s="1"/>
      <c r="V55" s="1"/>
    </row>
    <row r="56" spans="1:22" ht="24.95" customHeight="1" x14ac:dyDescent="0.2">
      <c r="A56" s="1"/>
      <c r="B56" s="31">
        <v>5</v>
      </c>
      <c r="C56" s="31">
        <v>15931</v>
      </c>
      <c r="D56" s="162" t="s">
        <v>87</v>
      </c>
      <c r="E56" s="169" t="s">
        <v>0</v>
      </c>
      <c r="F56" s="177"/>
      <c r="G56" s="60"/>
      <c r="H56" s="2"/>
      <c r="I56" s="2"/>
      <c r="J56" s="61"/>
      <c r="K56" s="62"/>
      <c r="L56" s="60"/>
      <c r="M56" s="2"/>
      <c r="N56" s="2"/>
      <c r="O56" s="61"/>
      <c r="P56" s="3"/>
      <c r="Q56" s="63"/>
      <c r="R56" s="36"/>
      <c r="S56" s="60"/>
      <c r="T56" s="64"/>
      <c r="U56" s="1"/>
      <c r="V56" s="1"/>
    </row>
    <row r="57" spans="1:22" ht="24.95" customHeight="1" x14ac:dyDescent="0.2">
      <c r="A57" s="1"/>
      <c r="B57" s="30">
        <v>6</v>
      </c>
      <c r="C57" s="30">
        <v>15932</v>
      </c>
      <c r="D57" s="162" t="s">
        <v>88</v>
      </c>
      <c r="E57" s="169" t="s">
        <v>0</v>
      </c>
      <c r="F57" s="177"/>
      <c r="G57" s="60"/>
      <c r="H57" s="2"/>
      <c r="I57" s="2"/>
      <c r="J57" s="61"/>
      <c r="K57" s="62"/>
      <c r="L57" s="60"/>
      <c r="M57" s="2"/>
      <c r="N57" s="2"/>
      <c r="O57" s="61"/>
      <c r="P57" s="3"/>
      <c r="Q57" s="63"/>
      <c r="R57" s="36"/>
      <c r="S57" s="60"/>
      <c r="T57" s="64"/>
      <c r="U57" s="1"/>
      <c r="V57" s="1"/>
    </row>
    <row r="58" spans="1:22" ht="24.95" customHeight="1" x14ac:dyDescent="0.2">
      <c r="A58" s="1"/>
      <c r="B58" s="31">
        <v>7</v>
      </c>
      <c r="C58" s="31">
        <v>15933</v>
      </c>
      <c r="D58" s="162" t="s">
        <v>89</v>
      </c>
      <c r="E58" s="169" t="s">
        <v>0</v>
      </c>
      <c r="F58" s="177"/>
      <c r="G58" s="60"/>
      <c r="H58" s="2"/>
      <c r="I58" s="2"/>
      <c r="J58" s="61"/>
      <c r="K58" s="62"/>
      <c r="L58" s="60"/>
      <c r="M58" s="2"/>
      <c r="N58" s="2"/>
      <c r="O58" s="61"/>
      <c r="P58" s="3"/>
      <c r="Q58" s="63"/>
      <c r="R58" s="36"/>
      <c r="S58" s="60"/>
      <c r="T58" s="64"/>
      <c r="U58" s="1"/>
      <c r="V58" s="1"/>
    </row>
    <row r="59" spans="1:22" ht="24.95" customHeight="1" x14ac:dyDescent="0.2">
      <c r="A59" s="1"/>
      <c r="B59" s="30">
        <v>8</v>
      </c>
      <c r="C59" s="30">
        <v>15867</v>
      </c>
      <c r="D59" s="162" t="s">
        <v>68</v>
      </c>
      <c r="E59" s="169" t="s">
        <v>0</v>
      </c>
      <c r="F59" s="177"/>
      <c r="G59" s="60"/>
      <c r="H59" s="2"/>
      <c r="I59" s="2"/>
      <c r="J59" s="61"/>
      <c r="K59" s="62"/>
      <c r="L59" s="60"/>
      <c r="M59" s="2"/>
      <c r="N59" s="2"/>
      <c r="O59" s="61"/>
      <c r="P59" s="3"/>
      <c r="Q59" s="63"/>
      <c r="R59" s="36"/>
      <c r="S59" s="60"/>
      <c r="T59" s="64"/>
      <c r="U59" s="1"/>
      <c r="V59" s="1"/>
    </row>
    <row r="60" spans="1:22" ht="24.95" customHeight="1" x14ac:dyDescent="0.2">
      <c r="A60" s="1"/>
      <c r="B60" s="31">
        <v>9</v>
      </c>
      <c r="C60" s="31">
        <v>15834</v>
      </c>
      <c r="D60" s="162" t="s">
        <v>27</v>
      </c>
      <c r="E60" s="169" t="s">
        <v>0</v>
      </c>
      <c r="F60" s="177"/>
      <c r="G60" s="60"/>
      <c r="H60" s="2"/>
      <c r="I60" s="2"/>
      <c r="J60" s="61"/>
      <c r="K60" s="62"/>
      <c r="L60" s="60"/>
      <c r="M60" s="2"/>
      <c r="N60" s="2"/>
      <c r="O60" s="61"/>
      <c r="P60" s="3"/>
      <c r="Q60" s="63"/>
      <c r="R60" s="36"/>
      <c r="S60" s="60"/>
      <c r="T60" s="64"/>
      <c r="U60" s="1"/>
      <c r="V60" s="1"/>
    </row>
    <row r="61" spans="1:22" ht="24.95" customHeight="1" x14ac:dyDescent="0.2">
      <c r="A61" s="1"/>
      <c r="B61" s="30">
        <v>10</v>
      </c>
      <c r="C61" s="30">
        <v>15835</v>
      </c>
      <c r="D61" s="162" t="s">
        <v>23</v>
      </c>
      <c r="E61" s="169" t="s">
        <v>0</v>
      </c>
      <c r="F61" s="177"/>
      <c r="G61" s="60"/>
      <c r="H61" s="2"/>
      <c r="I61" s="2"/>
      <c r="J61" s="61"/>
      <c r="K61" s="62"/>
      <c r="L61" s="60"/>
      <c r="M61" s="2"/>
      <c r="N61" s="2"/>
      <c r="O61" s="61"/>
      <c r="P61" s="3"/>
      <c r="Q61" s="63"/>
      <c r="R61" s="36"/>
      <c r="S61" s="60"/>
      <c r="T61" s="64"/>
      <c r="U61" s="1"/>
      <c r="V61" s="1"/>
    </row>
    <row r="62" spans="1:22" ht="24.95" customHeight="1" x14ac:dyDescent="0.2">
      <c r="A62" s="1"/>
      <c r="B62" s="31">
        <v>11</v>
      </c>
      <c r="C62" s="31">
        <v>15870</v>
      </c>
      <c r="D62" s="162" t="s">
        <v>58</v>
      </c>
      <c r="E62" s="169" t="s">
        <v>0</v>
      </c>
      <c r="F62" s="177"/>
      <c r="G62" s="60"/>
      <c r="H62" s="2"/>
      <c r="I62" s="2"/>
      <c r="J62" s="61"/>
      <c r="K62" s="62"/>
      <c r="L62" s="60"/>
      <c r="M62" s="2"/>
      <c r="N62" s="2"/>
      <c r="O62" s="61"/>
      <c r="P62" s="3"/>
      <c r="Q62" s="63"/>
      <c r="R62" s="36"/>
      <c r="S62" s="60"/>
      <c r="T62" s="64"/>
      <c r="U62" s="1"/>
      <c r="V62" s="1"/>
    </row>
    <row r="63" spans="1:22" ht="24.95" customHeight="1" x14ac:dyDescent="0.2">
      <c r="A63" s="1"/>
      <c r="B63" s="30">
        <v>12</v>
      </c>
      <c r="C63" s="30">
        <v>15871</v>
      </c>
      <c r="D63" s="162" t="s">
        <v>65</v>
      </c>
      <c r="E63" s="169" t="s">
        <v>0</v>
      </c>
      <c r="F63" s="177"/>
      <c r="G63" s="60"/>
      <c r="H63" s="2"/>
      <c r="I63" s="2"/>
      <c r="J63" s="61"/>
      <c r="K63" s="62"/>
      <c r="L63" s="60"/>
      <c r="M63" s="2"/>
      <c r="N63" s="2"/>
      <c r="O63" s="61"/>
      <c r="P63" s="3"/>
      <c r="Q63" s="63"/>
      <c r="R63" s="36"/>
      <c r="S63" s="60"/>
      <c r="T63" s="64"/>
      <c r="U63" s="1"/>
      <c r="V63" s="1"/>
    </row>
    <row r="64" spans="1:22" ht="24.95" customHeight="1" x14ac:dyDescent="0.2">
      <c r="A64" s="1"/>
      <c r="B64" s="31">
        <v>13</v>
      </c>
      <c r="C64" s="31">
        <v>15872</v>
      </c>
      <c r="D64" s="162" t="s">
        <v>233</v>
      </c>
      <c r="E64" s="169" t="s">
        <v>0</v>
      </c>
      <c r="F64" s="177"/>
      <c r="G64" s="60"/>
      <c r="H64" s="2"/>
      <c r="I64" s="2"/>
      <c r="J64" s="61"/>
      <c r="K64" s="62"/>
      <c r="L64" s="60"/>
      <c r="M64" s="2"/>
      <c r="N64" s="2"/>
      <c r="O64" s="61"/>
      <c r="P64" s="3"/>
      <c r="Q64" s="63"/>
      <c r="R64" s="93"/>
      <c r="S64" s="55"/>
      <c r="T64" s="64"/>
      <c r="U64" s="1"/>
      <c r="V64" s="1"/>
    </row>
    <row r="65" spans="1:22" ht="24.95" customHeight="1" x14ac:dyDescent="0.2">
      <c r="A65" s="1"/>
      <c r="B65" s="30">
        <v>14</v>
      </c>
      <c r="C65" s="30">
        <v>15903</v>
      </c>
      <c r="D65" s="162" t="s">
        <v>226</v>
      </c>
      <c r="E65" s="169" t="s">
        <v>0</v>
      </c>
      <c r="F65" s="177"/>
      <c r="G65" s="60"/>
      <c r="H65" s="2"/>
      <c r="I65" s="2"/>
      <c r="J65" s="61"/>
      <c r="K65" s="62"/>
      <c r="L65" s="60"/>
      <c r="M65" s="2"/>
      <c r="N65" s="2"/>
      <c r="O65" s="61"/>
      <c r="P65" s="3"/>
      <c r="Q65" s="63"/>
      <c r="R65" s="36"/>
      <c r="S65" s="60"/>
      <c r="T65" s="64"/>
      <c r="U65" s="1"/>
      <c r="V65" s="1"/>
    </row>
    <row r="66" spans="1:22" ht="24.95" customHeight="1" x14ac:dyDescent="0.2">
      <c r="A66" s="1"/>
      <c r="B66" s="31">
        <v>15</v>
      </c>
      <c r="C66" s="31">
        <v>15874</v>
      </c>
      <c r="D66" s="162" t="s">
        <v>60</v>
      </c>
      <c r="E66" s="169" t="s">
        <v>0</v>
      </c>
      <c r="F66" s="177"/>
      <c r="G66" s="60"/>
      <c r="H66" s="2"/>
      <c r="I66" s="2"/>
      <c r="J66" s="61"/>
      <c r="K66" s="62"/>
      <c r="L66" s="60"/>
      <c r="M66" s="2"/>
      <c r="N66" s="2"/>
      <c r="O66" s="61"/>
      <c r="P66" s="3"/>
      <c r="Q66" s="63"/>
      <c r="R66" s="36"/>
      <c r="S66" s="60"/>
      <c r="T66" s="64"/>
      <c r="U66" s="1"/>
      <c r="V66" s="1"/>
    </row>
    <row r="67" spans="1:22" ht="24.95" customHeight="1" x14ac:dyDescent="0.2">
      <c r="A67" s="1"/>
      <c r="B67" s="30">
        <v>16</v>
      </c>
      <c r="C67" s="30">
        <v>15940</v>
      </c>
      <c r="D67" s="162" t="s">
        <v>239</v>
      </c>
      <c r="E67" s="169" t="s">
        <v>0</v>
      </c>
      <c r="F67" s="177"/>
      <c r="G67" s="60"/>
      <c r="H67" s="2"/>
      <c r="I67" s="2"/>
      <c r="J67" s="61"/>
      <c r="K67" s="62"/>
      <c r="L67" s="60"/>
      <c r="M67" s="2"/>
      <c r="N67" s="2"/>
      <c r="O67" s="61"/>
      <c r="P67" s="3"/>
      <c r="Q67" s="63"/>
      <c r="R67" s="36"/>
      <c r="S67" s="60"/>
      <c r="T67" s="64"/>
      <c r="U67" s="1"/>
      <c r="V67" s="1"/>
    </row>
    <row r="68" spans="1:22" ht="24.95" customHeight="1" x14ac:dyDescent="0.2">
      <c r="A68" s="1"/>
      <c r="B68" s="31">
        <v>17</v>
      </c>
      <c r="C68" s="31">
        <v>15942</v>
      </c>
      <c r="D68" s="162" t="s">
        <v>103</v>
      </c>
      <c r="E68" s="169" t="s">
        <v>0</v>
      </c>
      <c r="F68" s="177"/>
      <c r="G68" s="60"/>
      <c r="H68" s="2"/>
      <c r="I68" s="2"/>
      <c r="J68" s="61"/>
      <c r="K68" s="62"/>
      <c r="L68" s="60"/>
      <c r="M68" s="2"/>
      <c r="N68" s="2"/>
      <c r="O68" s="61"/>
      <c r="P68" s="3"/>
      <c r="Q68" s="63"/>
      <c r="R68" s="36"/>
      <c r="S68" s="60"/>
      <c r="T68" s="64"/>
      <c r="U68" s="1"/>
      <c r="V68" s="1"/>
    </row>
    <row r="69" spans="1:22" ht="24.95" customHeight="1" x14ac:dyDescent="0.2">
      <c r="A69" s="1"/>
      <c r="B69" s="30">
        <v>18</v>
      </c>
      <c r="C69" s="30">
        <v>15843</v>
      </c>
      <c r="D69" s="162" t="s">
        <v>29</v>
      </c>
      <c r="E69" s="169" t="s">
        <v>0</v>
      </c>
      <c r="F69" s="177"/>
      <c r="G69" s="60"/>
      <c r="H69" s="2"/>
      <c r="I69" s="2"/>
      <c r="J69" s="61"/>
      <c r="K69" s="62"/>
      <c r="L69" s="60"/>
      <c r="M69" s="2"/>
      <c r="N69" s="2"/>
      <c r="O69" s="61"/>
      <c r="P69" s="3"/>
      <c r="Q69" s="63"/>
      <c r="R69" s="36"/>
      <c r="S69" s="60"/>
      <c r="T69" s="64"/>
      <c r="U69" s="1"/>
      <c r="V69" s="1"/>
    </row>
    <row r="70" spans="1:22" ht="24.95" customHeight="1" x14ac:dyDescent="0.2">
      <c r="A70" s="1"/>
      <c r="B70" s="31">
        <v>19</v>
      </c>
      <c r="C70" s="31">
        <v>15911</v>
      </c>
      <c r="D70" s="162" t="s">
        <v>214</v>
      </c>
      <c r="E70" s="169" t="s">
        <v>0</v>
      </c>
      <c r="F70" s="177"/>
      <c r="G70" s="60"/>
      <c r="H70" s="2"/>
      <c r="I70" s="2"/>
      <c r="J70" s="61"/>
      <c r="K70" s="62"/>
      <c r="L70" s="60"/>
      <c r="M70" s="2"/>
      <c r="N70" s="2"/>
      <c r="O70" s="61"/>
      <c r="P70" s="3"/>
      <c r="Q70" s="63"/>
      <c r="R70" s="36"/>
      <c r="S70" s="60"/>
      <c r="T70" s="64"/>
      <c r="U70" s="1"/>
      <c r="V70" s="1"/>
    </row>
    <row r="71" spans="1:22" ht="24.95" customHeight="1" x14ac:dyDescent="0.2">
      <c r="A71" s="1"/>
      <c r="B71" s="30">
        <v>20</v>
      </c>
      <c r="C71" s="30">
        <v>15845</v>
      </c>
      <c r="D71" s="162" t="s">
        <v>540</v>
      </c>
      <c r="E71" s="169" t="s">
        <v>0</v>
      </c>
      <c r="F71" s="177"/>
      <c r="G71" s="60"/>
      <c r="H71" s="2"/>
      <c r="I71" s="2"/>
      <c r="J71" s="61"/>
      <c r="K71" s="62"/>
      <c r="L71" s="60"/>
      <c r="M71" s="2"/>
      <c r="N71" s="2"/>
      <c r="O71" s="61"/>
      <c r="P71" s="3"/>
      <c r="Q71" s="63"/>
      <c r="R71" s="36"/>
      <c r="S71" s="60"/>
      <c r="T71" s="64"/>
      <c r="U71" s="1"/>
      <c r="V71" s="1"/>
    </row>
    <row r="72" spans="1:22" ht="24.95" customHeight="1" x14ac:dyDescent="0.2">
      <c r="A72" s="1"/>
      <c r="B72" s="31">
        <v>21</v>
      </c>
      <c r="C72" s="31">
        <v>15949</v>
      </c>
      <c r="D72" s="162" t="s">
        <v>541</v>
      </c>
      <c r="E72" s="169" t="s">
        <v>0</v>
      </c>
      <c r="F72" s="177"/>
      <c r="G72" s="65"/>
      <c r="H72" s="2"/>
      <c r="I72" s="2"/>
      <c r="J72" s="61"/>
      <c r="K72" s="62"/>
      <c r="L72" s="65"/>
      <c r="M72" s="2"/>
      <c r="N72" s="2"/>
      <c r="O72" s="61"/>
      <c r="P72" s="3"/>
      <c r="Q72" s="63"/>
      <c r="R72" s="93"/>
      <c r="S72" s="55"/>
      <c r="T72" s="64"/>
      <c r="U72" s="1"/>
      <c r="V72" s="1"/>
    </row>
    <row r="73" spans="1:22" ht="24.95" customHeight="1" x14ac:dyDescent="0.2">
      <c r="A73" s="1"/>
      <c r="B73" s="30">
        <v>22</v>
      </c>
      <c r="C73" s="30">
        <v>15880</v>
      </c>
      <c r="D73" s="162" t="s">
        <v>53</v>
      </c>
      <c r="E73" s="169" t="s">
        <v>0</v>
      </c>
      <c r="F73" s="177"/>
      <c r="G73" s="65"/>
      <c r="H73" s="2"/>
      <c r="I73" s="2"/>
      <c r="J73" s="61"/>
      <c r="K73" s="62"/>
      <c r="L73" s="65"/>
      <c r="M73" s="2"/>
      <c r="N73" s="2"/>
      <c r="O73" s="61"/>
      <c r="P73" s="3"/>
      <c r="Q73" s="63"/>
      <c r="R73" s="93"/>
      <c r="S73" s="55"/>
      <c r="T73" s="64"/>
      <c r="U73" s="1"/>
      <c r="V73" s="1"/>
    </row>
    <row r="74" spans="1:22" ht="24.95" customHeight="1" x14ac:dyDescent="0.2">
      <c r="A74" s="1"/>
      <c r="B74" s="31">
        <v>23</v>
      </c>
      <c r="C74" s="31">
        <v>15951</v>
      </c>
      <c r="D74" s="162" t="s">
        <v>104</v>
      </c>
      <c r="E74" s="169" t="s">
        <v>0</v>
      </c>
      <c r="F74" s="177"/>
      <c r="G74" s="65"/>
      <c r="H74" s="2"/>
      <c r="I74" s="2"/>
      <c r="J74" s="61"/>
      <c r="K74" s="62"/>
      <c r="L74" s="65"/>
      <c r="M74" s="2"/>
      <c r="N74" s="2"/>
      <c r="O74" s="61"/>
      <c r="P74" s="3"/>
      <c r="Q74" s="63"/>
      <c r="R74" s="36"/>
      <c r="S74" s="60"/>
      <c r="T74" s="64"/>
      <c r="U74" s="1"/>
      <c r="V74" s="1"/>
    </row>
    <row r="75" spans="1:22" ht="24.95" customHeight="1" x14ac:dyDescent="0.2">
      <c r="A75" s="1"/>
      <c r="B75" s="30">
        <v>24</v>
      </c>
      <c r="C75" s="30">
        <v>15952</v>
      </c>
      <c r="D75" s="162" t="s">
        <v>83</v>
      </c>
      <c r="E75" s="169" t="s">
        <v>0</v>
      </c>
      <c r="F75" s="177"/>
      <c r="G75" s="60"/>
      <c r="H75" s="2"/>
      <c r="I75" s="2"/>
      <c r="J75" s="61"/>
      <c r="K75" s="62"/>
      <c r="L75" s="60"/>
      <c r="M75" s="2"/>
      <c r="N75" s="2"/>
      <c r="O75" s="61"/>
      <c r="P75" s="3"/>
      <c r="Q75" s="63"/>
      <c r="R75" s="36"/>
      <c r="S75" s="60"/>
      <c r="T75" s="64"/>
      <c r="U75" s="1"/>
      <c r="V75" s="1"/>
    </row>
    <row r="76" spans="1:22" ht="24.95" customHeight="1" x14ac:dyDescent="0.2">
      <c r="A76" s="1"/>
      <c r="B76" s="31">
        <v>25</v>
      </c>
      <c r="C76" s="31">
        <v>15849</v>
      </c>
      <c r="D76" s="162" t="s">
        <v>30</v>
      </c>
      <c r="E76" s="169" t="s">
        <v>0</v>
      </c>
      <c r="F76" s="177"/>
      <c r="G76" s="65"/>
      <c r="H76" s="2"/>
      <c r="I76" s="2"/>
      <c r="J76" s="61"/>
      <c r="K76" s="62"/>
      <c r="L76" s="65"/>
      <c r="M76" s="2"/>
      <c r="N76" s="2"/>
      <c r="O76" s="61"/>
      <c r="P76" s="3"/>
      <c r="Q76" s="63"/>
      <c r="R76" s="36"/>
      <c r="S76" s="60"/>
      <c r="T76" s="64"/>
      <c r="U76" s="1"/>
      <c r="V76" s="1"/>
    </row>
    <row r="77" spans="1:22" ht="24.95" customHeight="1" x14ac:dyDescent="0.2">
      <c r="A77" s="1"/>
      <c r="B77" s="30">
        <v>26</v>
      </c>
      <c r="C77" s="30">
        <v>15883</v>
      </c>
      <c r="D77" s="162" t="s">
        <v>49</v>
      </c>
      <c r="E77" s="169" t="s">
        <v>0</v>
      </c>
      <c r="F77" s="177"/>
      <c r="G77" s="66"/>
      <c r="H77" s="67"/>
      <c r="I77" s="67"/>
      <c r="J77" s="68"/>
      <c r="K77" s="62"/>
      <c r="L77" s="66"/>
      <c r="M77" s="67"/>
      <c r="N77" s="67"/>
      <c r="O77" s="68"/>
      <c r="P77" s="40"/>
      <c r="Q77" s="69"/>
      <c r="R77" s="178"/>
      <c r="S77" s="90"/>
      <c r="T77" s="70"/>
      <c r="U77" s="1"/>
      <c r="V77" s="1"/>
    </row>
    <row r="78" spans="1:22" ht="24.95" customHeight="1" x14ac:dyDescent="0.2">
      <c r="A78" s="1"/>
      <c r="B78" s="31">
        <v>27</v>
      </c>
      <c r="C78" s="31">
        <v>15850</v>
      </c>
      <c r="D78" s="162" t="s">
        <v>44</v>
      </c>
      <c r="E78" s="169" t="s">
        <v>0</v>
      </c>
      <c r="F78" s="177"/>
      <c r="G78" s="66"/>
      <c r="H78" s="67"/>
      <c r="I78" s="67"/>
      <c r="J78" s="68"/>
      <c r="K78" s="62"/>
      <c r="L78" s="66"/>
      <c r="M78" s="67"/>
      <c r="N78" s="67"/>
      <c r="O78" s="68"/>
      <c r="P78" s="40"/>
      <c r="Q78" s="69"/>
      <c r="R78" s="178"/>
      <c r="S78" s="90"/>
      <c r="T78" s="70"/>
      <c r="U78" s="1"/>
      <c r="V78" s="1"/>
    </row>
    <row r="79" spans="1:22" ht="24.95" customHeight="1" x14ac:dyDescent="0.2">
      <c r="A79" s="1"/>
      <c r="B79" s="30">
        <v>28</v>
      </c>
      <c r="C79" s="30">
        <v>15924</v>
      </c>
      <c r="D79" s="162" t="s">
        <v>218</v>
      </c>
      <c r="E79" s="169" t="s">
        <v>0</v>
      </c>
      <c r="F79" s="177"/>
      <c r="G79" s="66"/>
      <c r="H79" s="67"/>
      <c r="I79" s="67"/>
      <c r="J79" s="68"/>
      <c r="K79" s="62"/>
      <c r="L79" s="66"/>
      <c r="M79" s="67"/>
      <c r="N79" s="67"/>
      <c r="O79" s="68"/>
      <c r="P79" s="40"/>
      <c r="Q79" s="69"/>
      <c r="R79" s="178"/>
      <c r="S79" s="90"/>
      <c r="T79" s="70"/>
      <c r="U79" s="1"/>
      <c r="V79" s="1"/>
    </row>
    <row r="80" spans="1:22" ht="24.95" customHeight="1" x14ac:dyDescent="0.2">
      <c r="A80" s="1"/>
      <c r="B80" s="31">
        <v>29</v>
      </c>
      <c r="C80" s="31">
        <v>15925</v>
      </c>
      <c r="D80" s="162" t="s">
        <v>210</v>
      </c>
      <c r="E80" s="169" t="s">
        <v>0</v>
      </c>
      <c r="F80" s="177"/>
      <c r="G80" s="66"/>
      <c r="H80" s="67"/>
      <c r="I80" s="67"/>
      <c r="J80" s="68"/>
      <c r="K80" s="62"/>
      <c r="L80" s="66"/>
      <c r="M80" s="67"/>
      <c r="N80" s="67"/>
      <c r="O80" s="68"/>
      <c r="P80" s="40"/>
      <c r="Q80" s="69"/>
      <c r="R80" s="178"/>
      <c r="S80" s="90"/>
      <c r="T80" s="70"/>
      <c r="U80" s="1"/>
      <c r="V80" s="1"/>
    </row>
    <row r="81" spans="1:22" ht="24.95" customHeight="1" x14ac:dyDescent="0.2">
      <c r="A81" s="1"/>
      <c r="B81" s="30">
        <v>30</v>
      </c>
      <c r="C81" s="30">
        <v>15889</v>
      </c>
      <c r="D81" s="162" t="s">
        <v>54</v>
      </c>
      <c r="E81" s="169" t="s">
        <v>0</v>
      </c>
      <c r="F81" s="177"/>
      <c r="G81" s="66"/>
      <c r="H81" s="67"/>
      <c r="I81" s="67"/>
      <c r="J81" s="68"/>
      <c r="K81" s="62"/>
      <c r="L81" s="66"/>
      <c r="M81" s="67"/>
      <c r="N81" s="67"/>
      <c r="O81" s="68"/>
      <c r="P81" s="40"/>
      <c r="Q81" s="69"/>
      <c r="R81" s="178"/>
      <c r="S81" s="90"/>
      <c r="T81" s="70"/>
      <c r="U81" s="1"/>
      <c r="V81" s="1"/>
    </row>
    <row r="82" spans="1:22" ht="24.95" customHeight="1" x14ac:dyDescent="0.2">
      <c r="A82" s="1"/>
      <c r="B82" s="31">
        <v>31</v>
      </c>
      <c r="C82" s="31"/>
      <c r="D82" s="162"/>
      <c r="E82" s="169" t="s">
        <v>0</v>
      </c>
      <c r="F82" s="177"/>
      <c r="G82" s="66"/>
      <c r="H82" s="67"/>
      <c r="I82" s="67"/>
      <c r="J82" s="68"/>
      <c r="K82" s="62"/>
      <c r="L82" s="66"/>
      <c r="M82" s="67"/>
      <c r="N82" s="67"/>
      <c r="O82" s="68"/>
      <c r="P82" s="40"/>
      <c r="Q82" s="69"/>
      <c r="R82" s="178"/>
      <c r="S82" s="90"/>
      <c r="T82" s="70"/>
      <c r="U82" s="1"/>
      <c r="V82" s="1"/>
    </row>
    <row r="83" spans="1:22" ht="24.95" customHeight="1" x14ac:dyDescent="0.2">
      <c r="A83" s="1"/>
      <c r="B83" s="30">
        <v>32</v>
      </c>
      <c r="C83" s="30"/>
      <c r="D83" s="162"/>
      <c r="E83" s="169" t="s">
        <v>0</v>
      </c>
      <c r="F83" s="177"/>
      <c r="G83" s="66"/>
      <c r="H83" s="67"/>
      <c r="I83" s="67"/>
      <c r="J83" s="68"/>
      <c r="K83" s="62"/>
      <c r="L83" s="66"/>
      <c r="M83" s="67"/>
      <c r="N83" s="67"/>
      <c r="O83" s="68"/>
      <c r="P83" s="40"/>
      <c r="Q83" s="69"/>
      <c r="R83" s="178"/>
      <c r="S83" s="90"/>
      <c r="T83" s="70"/>
      <c r="U83" s="1"/>
      <c r="V83" s="1"/>
    </row>
    <row r="84" spans="1:22" ht="24.95" customHeight="1" x14ac:dyDescent="0.2">
      <c r="A84" s="1"/>
      <c r="B84" s="31">
        <v>33</v>
      </c>
      <c r="C84" s="31"/>
      <c r="D84" s="100"/>
      <c r="E84" s="169" t="s">
        <v>0</v>
      </c>
      <c r="F84" s="177"/>
      <c r="G84" s="66"/>
      <c r="H84" s="67"/>
      <c r="I84" s="67"/>
      <c r="J84" s="68"/>
      <c r="K84" s="62"/>
      <c r="L84" s="66"/>
      <c r="M84" s="67"/>
      <c r="N84" s="67"/>
      <c r="O84" s="68"/>
      <c r="P84" s="40"/>
      <c r="Q84" s="69"/>
      <c r="R84" s="178"/>
      <c r="S84" s="90"/>
      <c r="T84" s="70"/>
      <c r="U84" s="1"/>
      <c r="V84" s="1"/>
    </row>
    <row r="85" spans="1:22" ht="24.95" customHeight="1" x14ac:dyDescent="0.2">
      <c r="A85" s="1"/>
      <c r="B85" s="30">
        <v>34</v>
      </c>
      <c r="C85" s="31"/>
      <c r="D85" s="163"/>
      <c r="E85" s="169" t="s">
        <v>0</v>
      </c>
      <c r="F85" s="177"/>
      <c r="G85" s="66"/>
      <c r="H85" s="67"/>
      <c r="I85" s="67"/>
      <c r="J85" s="68"/>
      <c r="K85" s="62"/>
      <c r="L85" s="66"/>
      <c r="M85" s="67"/>
      <c r="N85" s="67"/>
      <c r="O85" s="68"/>
      <c r="P85" s="40"/>
      <c r="Q85" s="69"/>
      <c r="R85" s="178"/>
      <c r="S85" s="90"/>
      <c r="T85" s="70"/>
      <c r="U85" s="1"/>
      <c r="V85" s="1"/>
    </row>
    <row r="86" spans="1:22" ht="24.95" customHeight="1" x14ac:dyDescent="0.2">
      <c r="A86" s="1"/>
      <c r="B86" s="31">
        <v>35</v>
      </c>
      <c r="C86" s="199"/>
      <c r="D86" s="200"/>
      <c r="E86" s="181" t="s">
        <v>0</v>
      </c>
      <c r="F86" s="201"/>
      <c r="G86" s="202"/>
      <c r="H86" s="67"/>
      <c r="I86" s="67"/>
      <c r="J86" s="68"/>
      <c r="K86" s="71"/>
      <c r="L86" s="66"/>
      <c r="M86" s="67"/>
      <c r="N86" s="67"/>
      <c r="O86" s="68"/>
      <c r="P86" s="40"/>
      <c r="Q86" s="69"/>
      <c r="R86" s="178"/>
      <c r="S86" s="90"/>
      <c r="T86" s="70"/>
      <c r="U86" s="1"/>
      <c r="V86" s="1"/>
    </row>
    <row r="87" spans="1:22" ht="24.95" customHeight="1" x14ac:dyDescent="0.2">
      <c r="A87" s="1"/>
      <c r="B87" s="39">
        <v>36</v>
      </c>
      <c r="C87" s="30"/>
      <c r="D87" s="203"/>
      <c r="E87" s="181" t="s">
        <v>0</v>
      </c>
      <c r="F87" s="204"/>
      <c r="G87" s="65"/>
      <c r="H87" s="2"/>
      <c r="I87" s="2"/>
      <c r="J87" s="68"/>
      <c r="K87" s="71"/>
      <c r="L87" s="66"/>
      <c r="M87" s="67"/>
      <c r="N87" s="67"/>
      <c r="O87" s="68"/>
      <c r="P87" s="40"/>
      <c r="Q87" s="69"/>
      <c r="R87" s="178"/>
      <c r="S87" s="90"/>
      <c r="T87" s="70"/>
      <c r="U87" s="1"/>
      <c r="V87" s="1"/>
    </row>
    <row r="88" spans="1:22" ht="24.95" customHeight="1" thickBot="1" x14ac:dyDescent="0.25">
      <c r="A88" s="1"/>
      <c r="B88" s="31">
        <v>37</v>
      </c>
      <c r="C88" s="53"/>
      <c r="D88" s="72"/>
      <c r="E88" s="174"/>
      <c r="F88" s="73"/>
      <c r="G88" s="74"/>
      <c r="H88" s="75"/>
      <c r="I88" s="75"/>
      <c r="J88" s="76"/>
      <c r="K88" s="77"/>
      <c r="L88" s="74"/>
      <c r="M88" s="75"/>
      <c r="N88" s="75"/>
      <c r="O88" s="76"/>
      <c r="P88" s="75"/>
      <c r="Q88" s="78"/>
      <c r="R88" s="78"/>
      <c r="S88" s="78"/>
      <c r="T88" s="76"/>
      <c r="U88" s="1"/>
      <c r="V88" s="1"/>
    </row>
    <row r="89" spans="1:22" ht="18.95" customHeight="1" x14ac:dyDescent="0.2">
      <c r="A89" s="1"/>
      <c r="B89" s="37"/>
      <c r="C89" s="37"/>
      <c r="D89" s="1"/>
      <c r="E89" s="3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8.95" customHeight="1" thickBot="1" x14ac:dyDescent="0.25">
      <c r="A90" s="1"/>
      <c r="B90" s="37"/>
      <c r="C90" s="37"/>
      <c r="D90" s="1"/>
      <c r="E90" s="3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8.95" customHeight="1" x14ac:dyDescent="0.2">
      <c r="A91" s="1"/>
      <c r="B91" s="255"/>
      <c r="C91" s="256"/>
      <c r="D91" s="259" t="s">
        <v>3</v>
      </c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1"/>
      <c r="U91" s="1"/>
      <c r="V91" s="1"/>
    </row>
    <row r="92" spans="1:22" ht="18.95" customHeight="1" x14ac:dyDescent="0.2">
      <c r="A92" s="1"/>
      <c r="B92" s="257"/>
      <c r="C92" s="258"/>
      <c r="D92" s="262" t="s">
        <v>4</v>
      </c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4"/>
      <c r="U92" s="1"/>
      <c r="V92" s="1"/>
    </row>
    <row r="93" spans="1:22" ht="18.95" customHeight="1" thickBot="1" x14ac:dyDescent="0.25">
      <c r="A93" s="1"/>
      <c r="B93" s="257"/>
      <c r="C93" s="258"/>
      <c r="D93" s="265" t="s">
        <v>547</v>
      </c>
      <c r="E93" s="266"/>
      <c r="F93" s="266"/>
      <c r="G93" s="266"/>
      <c r="H93" s="266"/>
      <c r="I93" s="266"/>
      <c r="J93" s="266"/>
      <c r="K93" s="266"/>
      <c r="L93" s="266"/>
      <c r="M93" s="266"/>
      <c r="N93" s="266"/>
      <c r="O93" s="266"/>
      <c r="P93" s="266"/>
      <c r="Q93" s="266"/>
      <c r="R93" s="266"/>
      <c r="S93" s="266"/>
      <c r="T93" s="267"/>
      <c r="U93" s="1"/>
      <c r="V93" s="1"/>
    </row>
    <row r="94" spans="1:22" ht="18.95" customHeight="1" thickBot="1" x14ac:dyDescent="0.25">
      <c r="A94" s="1"/>
      <c r="B94" s="268"/>
      <c r="C94" s="269"/>
      <c r="D94" s="25" t="s">
        <v>251</v>
      </c>
      <c r="E94" s="26"/>
      <c r="F94" s="27" t="s">
        <v>2</v>
      </c>
      <c r="G94" s="27"/>
      <c r="H94" s="27"/>
      <c r="I94" s="28"/>
      <c r="J94" s="28" t="s">
        <v>521</v>
      </c>
      <c r="K94" s="222"/>
      <c r="L94" s="222"/>
      <c r="M94" s="222"/>
      <c r="N94" s="222"/>
      <c r="O94" s="222"/>
      <c r="P94" s="222"/>
      <c r="Q94" s="222"/>
      <c r="R94" s="222"/>
      <c r="S94" s="222"/>
      <c r="T94" s="223"/>
      <c r="U94" s="1"/>
      <c r="V94" s="1"/>
    </row>
    <row r="95" spans="1:22" ht="18.95" customHeight="1" thickBot="1" x14ac:dyDescent="0.25">
      <c r="A95" s="1"/>
      <c r="B95" s="271" t="s">
        <v>6</v>
      </c>
      <c r="C95" s="272"/>
      <c r="D95" s="270" t="s">
        <v>7</v>
      </c>
      <c r="E95" s="273" t="s">
        <v>12</v>
      </c>
      <c r="F95" s="268"/>
      <c r="G95" s="277"/>
      <c r="H95" s="277"/>
      <c r="I95" s="277"/>
      <c r="J95" s="269"/>
      <c r="K95" s="268"/>
      <c r="L95" s="277"/>
      <c r="M95" s="277"/>
      <c r="N95" s="277"/>
      <c r="O95" s="269"/>
      <c r="P95" s="272"/>
      <c r="Q95" s="277"/>
      <c r="R95" s="277"/>
      <c r="S95" s="277"/>
      <c r="T95" s="269"/>
      <c r="U95" s="1"/>
      <c r="V95" s="1"/>
    </row>
    <row r="96" spans="1:22" ht="24" customHeight="1" thickBot="1" x14ac:dyDescent="0.25">
      <c r="A96" s="1"/>
      <c r="B96" s="51" t="s">
        <v>10</v>
      </c>
      <c r="C96" s="43" t="s">
        <v>9</v>
      </c>
      <c r="D96" s="270"/>
      <c r="E96" s="274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1"/>
      <c r="V96" s="1"/>
    </row>
    <row r="97" spans="1:22" ht="24.95" customHeight="1" x14ac:dyDescent="0.2">
      <c r="A97" s="1"/>
      <c r="B97" s="38">
        <v>1</v>
      </c>
      <c r="C97" s="32">
        <v>15855</v>
      </c>
      <c r="D97" s="179" t="s">
        <v>66</v>
      </c>
      <c r="E97" s="206" t="s">
        <v>0</v>
      </c>
      <c r="F97" s="177"/>
      <c r="G97" s="79"/>
      <c r="H97" s="80"/>
      <c r="I97" s="2"/>
      <c r="J97" s="61"/>
      <c r="K97" s="62"/>
      <c r="L97" s="79"/>
      <c r="M97" s="80"/>
      <c r="N97" s="2"/>
      <c r="O97" s="61"/>
      <c r="P97" s="81"/>
      <c r="Q97" s="82"/>
      <c r="R97" s="36"/>
      <c r="S97" s="60"/>
      <c r="T97" s="83"/>
      <c r="U97" s="1"/>
      <c r="V97" s="1"/>
    </row>
    <row r="98" spans="1:22" ht="24.95" customHeight="1" x14ac:dyDescent="0.2">
      <c r="A98" s="1"/>
      <c r="B98" s="39">
        <f t="shared" ref="B98:B133" si="0">B97+1</f>
        <v>2</v>
      </c>
      <c r="C98" s="30">
        <v>15820</v>
      </c>
      <c r="D98" s="180" t="s">
        <v>34</v>
      </c>
      <c r="E98" s="207" t="s">
        <v>0</v>
      </c>
      <c r="F98" s="177"/>
      <c r="G98" s="60"/>
      <c r="H98" s="2"/>
      <c r="I98" s="2"/>
      <c r="J98" s="61"/>
      <c r="K98" s="62"/>
      <c r="L98" s="60"/>
      <c r="M98" s="2"/>
      <c r="N98" s="2"/>
      <c r="O98" s="61"/>
      <c r="P98" s="3"/>
      <c r="Q98" s="63"/>
      <c r="R98" s="36"/>
      <c r="S98" s="60"/>
      <c r="T98" s="64"/>
      <c r="U98" s="1"/>
      <c r="V98" s="1"/>
    </row>
    <row r="99" spans="1:22" ht="24.95" customHeight="1" x14ac:dyDescent="0.2">
      <c r="A99" s="1"/>
      <c r="B99" s="39">
        <f t="shared" si="0"/>
        <v>3</v>
      </c>
      <c r="C99" s="30">
        <v>15824</v>
      </c>
      <c r="D99" s="180" t="s">
        <v>17</v>
      </c>
      <c r="E99" s="207" t="s">
        <v>0</v>
      </c>
      <c r="F99" s="177"/>
      <c r="G99" s="60"/>
      <c r="H99" s="2"/>
      <c r="I99" s="2"/>
      <c r="J99" s="61"/>
      <c r="K99" s="62"/>
      <c r="L99" s="60"/>
      <c r="M99" s="2"/>
      <c r="N99" s="2"/>
      <c r="O99" s="61"/>
      <c r="P99" s="3"/>
      <c r="Q99" s="63"/>
      <c r="R99" s="36"/>
      <c r="S99" s="60"/>
      <c r="T99" s="64"/>
      <c r="U99" s="1"/>
      <c r="V99" s="1"/>
    </row>
    <row r="100" spans="1:22" ht="24.95" customHeight="1" x14ac:dyDescent="0.2">
      <c r="A100" s="1"/>
      <c r="B100" s="39">
        <f t="shared" si="0"/>
        <v>4</v>
      </c>
      <c r="C100" s="30">
        <v>15861</v>
      </c>
      <c r="D100" s="180" t="s">
        <v>533</v>
      </c>
      <c r="E100" s="207" t="s">
        <v>0</v>
      </c>
      <c r="F100" s="177"/>
      <c r="G100" s="60"/>
      <c r="H100" s="2"/>
      <c r="I100" s="2"/>
      <c r="J100" s="61"/>
      <c r="K100" s="62"/>
      <c r="L100" s="60"/>
      <c r="M100" s="2"/>
      <c r="N100" s="2"/>
      <c r="O100" s="61"/>
      <c r="P100" s="3"/>
      <c r="Q100" s="63"/>
      <c r="R100" s="36"/>
      <c r="S100" s="60"/>
      <c r="T100" s="64"/>
      <c r="U100" s="1"/>
      <c r="V100" s="1"/>
    </row>
    <row r="101" spans="1:22" ht="24.95" customHeight="1" x14ac:dyDescent="0.2">
      <c r="A101" s="1"/>
      <c r="B101" s="39">
        <f t="shared" si="0"/>
        <v>5</v>
      </c>
      <c r="C101" s="30">
        <v>15825</v>
      </c>
      <c r="D101" s="180" t="s">
        <v>43</v>
      </c>
      <c r="E101" s="207" t="s">
        <v>0</v>
      </c>
      <c r="F101" s="177"/>
      <c r="G101" s="60"/>
      <c r="H101" s="2"/>
      <c r="I101" s="2"/>
      <c r="J101" s="61"/>
      <c r="K101" s="62"/>
      <c r="L101" s="60"/>
      <c r="M101" s="2"/>
      <c r="N101" s="2"/>
      <c r="O101" s="61"/>
      <c r="P101" s="3"/>
      <c r="Q101" s="63"/>
      <c r="R101" s="36"/>
      <c r="S101" s="60"/>
      <c r="T101" s="64"/>
      <c r="U101" s="1"/>
      <c r="V101" s="1"/>
    </row>
    <row r="102" spans="1:22" ht="24.95" customHeight="1" x14ac:dyDescent="0.2">
      <c r="A102" s="1"/>
      <c r="B102" s="39">
        <f t="shared" si="0"/>
        <v>6</v>
      </c>
      <c r="C102" s="30">
        <v>15826</v>
      </c>
      <c r="D102" s="180" t="s">
        <v>36</v>
      </c>
      <c r="E102" s="207" t="s">
        <v>0</v>
      </c>
      <c r="F102" s="177"/>
      <c r="G102" s="60"/>
      <c r="H102" s="2"/>
      <c r="I102" s="2"/>
      <c r="J102" s="61"/>
      <c r="K102" s="62"/>
      <c r="L102" s="60"/>
      <c r="M102" s="2"/>
      <c r="N102" s="2"/>
      <c r="O102" s="61"/>
      <c r="P102" s="3"/>
      <c r="Q102" s="63"/>
      <c r="R102" s="36"/>
      <c r="S102" s="60"/>
      <c r="T102" s="64"/>
      <c r="U102" s="1"/>
      <c r="V102" s="1"/>
    </row>
    <row r="103" spans="1:22" ht="24.95" customHeight="1" x14ac:dyDescent="0.2">
      <c r="A103" s="1"/>
      <c r="B103" s="39">
        <f t="shared" si="0"/>
        <v>7</v>
      </c>
      <c r="C103" s="30">
        <v>15831</v>
      </c>
      <c r="D103" s="180" t="s">
        <v>37</v>
      </c>
      <c r="E103" s="207" t="s">
        <v>0</v>
      </c>
      <c r="F103" s="177"/>
      <c r="G103" s="60"/>
      <c r="H103" s="2"/>
      <c r="I103" s="2"/>
      <c r="J103" s="61"/>
      <c r="K103" s="62"/>
      <c r="L103" s="60"/>
      <c r="M103" s="2"/>
      <c r="N103" s="2"/>
      <c r="O103" s="61"/>
      <c r="P103" s="3"/>
      <c r="Q103" s="63"/>
      <c r="R103" s="36"/>
      <c r="S103" s="60"/>
      <c r="T103" s="64"/>
      <c r="U103" s="1"/>
      <c r="V103" s="1"/>
    </row>
    <row r="104" spans="1:22" ht="24.95" customHeight="1" x14ac:dyDescent="0.2">
      <c r="A104" s="1"/>
      <c r="B104" s="39">
        <f t="shared" si="0"/>
        <v>8</v>
      </c>
      <c r="C104" s="30">
        <v>15937</v>
      </c>
      <c r="D104" s="180" t="s">
        <v>96</v>
      </c>
      <c r="E104" s="207" t="s">
        <v>0</v>
      </c>
      <c r="F104" s="177"/>
      <c r="G104" s="60"/>
      <c r="H104" s="2"/>
      <c r="I104" s="2"/>
      <c r="J104" s="61"/>
      <c r="K104" s="62"/>
      <c r="L104" s="60"/>
      <c r="M104" s="2"/>
      <c r="N104" s="2"/>
      <c r="O104" s="61"/>
      <c r="P104" s="3"/>
      <c r="Q104" s="63"/>
      <c r="R104" s="36"/>
      <c r="S104" s="60"/>
      <c r="T104" s="64"/>
      <c r="U104" s="1"/>
      <c r="V104" s="1"/>
    </row>
    <row r="105" spans="1:22" ht="24.95" customHeight="1" x14ac:dyDescent="0.2">
      <c r="A105" s="1"/>
      <c r="B105" s="39">
        <f t="shared" si="0"/>
        <v>9</v>
      </c>
      <c r="C105" s="30">
        <v>15900</v>
      </c>
      <c r="D105" s="180" t="s">
        <v>216</v>
      </c>
      <c r="E105" s="207" t="s">
        <v>0</v>
      </c>
      <c r="F105" s="177"/>
      <c r="G105" s="60"/>
      <c r="H105" s="2"/>
      <c r="I105" s="2"/>
      <c r="J105" s="61"/>
      <c r="K105" s="62"/>
      <c r="L105" s="60"/>
      <c r="M105" s="2"/>
      <c r="N105" s="2"/>
      <c r="O105" s="61"/>
      <c r="P105" s="3"/>
      <c r="Q105" s="63"/>
      <c r="R105" s="36"/>
      <c r="S105" s="60"/>
      <c r="T105" s="64"/>
      <c r="U105" s="1"/>
      <c r="V105" s="1"/>
    </row>
    <row r="106" spans="1:22" ht="24.95" customHeight="1" x14ac:dyDescent="0.2">
      <c r="A106" s="1"/>
      <c r="B106" s="39">
        <f t="shared" si="0"/>
        <v>10</v>
      </c>
      <c r="C106" s="30">
        <v>15938</v>
      </c>
      <c r="D106" s="180" t="s">
        <v>91</v>
      </c>
      <c r="E106" s="207" t="s">
        <v>0</v>
      </c>
      <c r="F106" s="177"/>
      <c r="G106" s="60"/>
      <c r="H106" s="2"/>
      <c r="I106" s="2"/>
      <c r="J106" s="61"/>
      <c r="K106" s="62"/>
      <c r="L106" s="60"/>
      <c r="M106" s="2"/>
      <c r="N106" s="2"/>
      <c r="O106" s="61"/>
      <c r="P106" s="3"/>
      <c r="Q106" s="63"/>
      <c r="R106" s="36"/>
      <c r="S106" s="60"/>
      <c r="T106" s="64"/>
      <c r="U106" s="1"/>
      <c r="V106" s="1"/>
    </row>
    <row r="107" spans="1:22" ht="24.95" customHeight="1" x14ac:dyDescent="0.2">
      <c r="A107" s="1"/>
      <c r="B107" s="39">
        <f t="shared" si="0"/>
        <v>11</v>
      </c>
      <c r="C107" s="30">
        <v>15836</v>
      </c>
      <c r="D107" s="180" t="s">
        <v>41</v>
      </c>
      <c r="E107" s="207" t="s">
        <v>0</v>
      </c>
      <c r="F107" s="177"/>
      <c r="G107" s="60"/>
      <c r="H107" s="2"/>
      <c r="I107" s="2"/>
      <c r="J107" s="61"/>
      <c r="K107" s="62"/>
      <c r="L107" s="60"/>
      <c r="M107" s="2"/>
      <c r="N107" s="2"/>
      <c r="O107" s="61"/>
      <c r="P107" s="3"/>
      <c r="Q107" s="63"/>
      <c r="R107" s="36"/>
      <c r="S107" s="60"/>
      <c r="T107" s="64"/>
      <c r="U107" s="1"/>
      <c r="V107" s="1"/>
    </row>
    <row r="108" spans="1:22" ht="24.95" customHeight="1" x14ac:dyDescent="0.2">
      <c r="A108" s="1"/>
      <c r="B108" s="39">
        <f t="shared" si="0"/>
        <v>12</v>
      </c>
      <c r="C108" s="30">
        <v>15901</v>
      </c>
      <c r="D108" s="180" t="s">
        <v>534</v>
      </c>
      <c r="E108" s="207" t="s">
        <v>0</v>
      </c>
      <c r="F108" s="177"/>
      <c r="G108" s="60"/>
      <c r="H108" s="2"/>
      <c r="I108" s="2"/>
      <c r="J108" s="61"/>
      <c r="K108" s="62"/>
      <c r="L108" s="60"/>
      <c r="M108" s="2"/>
      <c r="N108" s="2"/>
      <c r="O108" s="61"/>
      <c r="P108" s="3"/>
      <c r="Q108" s="63"/>
      <c r="R108" s="36"/>
      <c r="S108" s="60"/>
      <c r="T108" s="64"/>
      <c r="U108" s="1"/>
      <c r="V108" s="1"/>
    </row>
    <row r="109" spans="1:22" ht="24.95" customHeight="1" x14ac:dyDescent="0.2">
      <c r="A109" s="1"/>
      <c r="B109" s="39">
        <f t="shared" si="0"/>
        <v>13</v>
      </c>
      <c r="C109" s="30">
        <v>15939</v>
      </c>
      <c r="D109" s="180" t="s">
        <v>238</v>
      </c>
      <c r="E109" s="207" t="s">
        <v>0</v>
      </c>
      <c r="F109" s="177"/>
      <c r="G109" s="60"/>
      <c r="H109" s="2"/>
      <c r="I109" s="2"/>
      <c r="J109" s="61"/>
      <c r="K109" s="62"/>
      <c r="L109" s="60"/>
      <c r="M109" s="2"/>
      <c r="N109" s="2"/>
      <c r="O109" s="61"/>
      <c r="P109" s="3"/>
      <c r="Q109" s="63"/>
      <c r="R109" s="93"/>
      <c r="S109" s="55"/>
      <c r="T109" s="64"/>
      <c r="U109" s="1"/>
      <c r="V109" s="1"/>
    </row>
    <row r="110" spans="1:22" ht="24.95" customHeight="1" x14ac:dyDescent="0.2">
      <c r="A110" s="1"/>
      <c r="B110" s="39">
        <f t="shared" si="0"/>
        <v>14</v>
      </c>
      <c r="C110" s="30">
        <v>15906</v>
      </c>
      <c r="D110" s="180" t="s">
        <v>237</v>
      </c>
      <c r="E110" s="207" t="s">
        <v>0</v>
      </c>
      <c r="F110" s="177"/>
      <c r="G110" s="60"/>
      <c r="H110" s="2"/>
      <c r="I110" s="2"/>
      <c r="J110" s="61"/>
      <c r="K110" s="62"/>
      <c r="L110" s="60"/>
      <c r="M110" s="2"/>
      <c r="N110" s="2"/>
      <c r="O110" s="61"/>
      <c r="P110" s="3"/>
      <c r="Q110" s="63"/>
      <c r="R110" s="36"/>
      <c r="S110" s="60"/>
      <c r="T110" s="64"/>
      <c r="U110" s="1"/>
      <c r="V110" s="1"/>
    </row>
    <row r="111" spans="1:22" ht="24.95" customHeight="1" x14ac:dyDescent="0.2">
      <c r="A111" s="1"/>
      <c r="B111" s="39">
        <f t="shared" si="0"/>
        <v>15</v>
      </c>
      <c r="C111" s="30">
        <v>15838</v>
      </c>
      <c r="D111" s="180" t="s">
        <v>22</v>
      </c>
      <c r="E111" s="207" t="s">
        <v>0</v>
      </c>
      <c r="F111" s="177"/>
      <c r="G111" s="60"/>
      <c r="H111" s="2"/>
      <c r="I111" s="2"/>
      <c r="J111" s="61"/>
      <c r="K111" s="62"/>
      <c r="L111" s="60"/>
      <c r="M111" s="2"/>
      <c r="N111" s="2"/>
      <c r="O111" s="61"/>
      <c r="P111" s="3"/>
      <c r="Q111" s="63"/>
      <c r="R111" s="36"/>
      <c r="S111" s="60"/>
      <c r="T111" s="64"/>
      <c r="U111" s="1"/>
      <c r="V111" s="1"/>
    </row>
    <row r="112" spans="1:22" ht="24.95" customHeight="1" x14ac:dyDescent="0.2">
      <c r="A112" s="1"/>
      <c r="B112" s="39">
        <f t="shared" si="0"/>
        <v>16</v>
      </c>
      <c r="C112" s="30">
        <v>15941</v>
      </c>
      <c r="D112" s="180" t="s">
        <v>80</v>
      </c>
      <c r="E112" s="207" t="s">
        <v>0</v>
      </c>
      <c r="F112" s="177"/>
      <c r="G112" s="60"/>
      <c r="H112" s="2"/>
      <c r="I112" s="2"/>
      <c r="J112" s="61"/>
      <c r="K112" s="62"/>
      <c r="L112" s="60"/>
      <c r="M112" s="2"/>
      <c r="N112" s="2"/>
      <c r="O112" s="61"/>
      <c r="P112" s="3"/>
      <c r="Q112" s="63"/>
      <c r="R112" s="36"/>
      <c r="S112" s="60"/>
      <c r="T112" s="64"/>
      <c r="U112" s="1"/>
      <c r="V112" s="1"/>
    </row>
    <row r="113" spans="1:22" ht="24.95" customHeight="1" x14ac:dyDescent="0.2">
      <c r="A113" s="1"/>
      <c r="B113" s="39">
        <f t="shared" si="0"/>
        <v>17</v>
      </c>
      <c r="C113" s="30">
        <v>15875</v>
      </c>
      <c r="D113" s="180" t="s">
        <v>234</v>
      </c>
      <c r="E113" s="207" t="s">
        <v>0</v>
      </c>
      <c r="F113" s="177"/>
      <c r="G113" s="60"/>
      <c r="H113" s="2"/>
      <c r="I113" s="2"/>
      <c r="J113" s="61"/>
      <c r="K113" s="62"/>
      <c r="L113" s="60"/>
      <c r="M113" s="2"/>
      <c r="N113" s="2"/>
      <c r="O113" s="61"/>
      <c r="P113" s="3"/>
      <c r="Q113" s="63"/>
      <c r="R113" s="36"/>
      <c r="S113" s="60"/>
      <c r="T113" s="64"/>
      <c r="U113" s="1"/>
      <c r="V113" s="1"/>
    </row>
    <row r="114" spans="1:22" ht="24.95" customHeight="1" x14ac:dyDescent="0.2">
      <c r="A114" s="1"/>
      <c r="B114" s="39">
        <f t="shared" si="0"/>
        <v>18</v>
      </c>
      <c r="C114" s="30">
        <v>15908</v>
      </c>
      <c r="D114" s="180" t="s">
        <v>74</v>
      </c>
      <c r="E114" s="207" t="s">
        <v>0</v>
      </c>
      <c r="F114" s="177"/>
      <c r="G114" s="60"/>
      <c r="H114" s="2"/>
      <c r="I114" s="2"/>
      <c r="J114" s="61"/>
      <c r="K114" s="62"/>
      <c r="L114" s="60"/>
      <c r="M114" s="2"/>
      <c r="N114" s="2"/>
      <c r="O114" s="61"/>
      <c r="P114" s="3"/>
      <c r="Q114" s="63"/>
      <c r="R114" s="36"/>
      <c r="S114" s="60"/>
      <c r="T114" s="64"/>
      <c r="U114" s="1"/>
      <c r="V114" s="1"/>
    </row>
    <row r="115" spans="1:22" ht="24.95" customHeight="1" x14ac:dyDescent="0.2">
      <c r="A115" s="1"/>
      <c r="B115" s="39">
        <f t="shared" si="0"/>
        <v>19</v>
      </c>
      <c r="C115" s="30">
        <v>15839</v>
      </c>
      <c r="D115" s="180" t="s">
        <v>38</v>
      </c>
      <c r="E115" s="207" t="s">
        <v>0</v>
      </c>
      <c r="F115" s="177"/>
      <c r="G115" s="60"/>
      <c r="H115" s="2"/>
      <c r="I115" s="2"/>
      <c r="J115" s="61"/>
      <c r="K115" s="62"/>
      <c r="L115" s="60"/>
      <c r="M115" s="2"/>
      <c r="N115" s="2"/>
      <c r="O115" s="61"/>
      <c r="P115" s="3"/>
      <c r="Q115" s="63"/>
      <c r="R115" s="36"/>
      <c r="S115" s="60"/>
      <c r="T115" s="64"/>
      <c r="U115" s="1"/>
      <c r="V115" s="1"/>
    </row>
    <row r="116" spans="1:22" ht="24.95" customHeight="1" x14ac:dyDescent="0.2">
      <c r="A116" s="1"/>
      <c r="B116" s="39">
        <f t="shared" si="0"/>
        <v>20</v>
      </c>
      <c r="C116" s="30">
        <v>15840</v>
      </c>
      <c r="D116" s="180" t="s">
        <v>28</v>
      </c>
      <c r="E116" s="207" t="s">
        <v>0</v>
      </c>
      <c r="F116" s="177"/>
      <c r="G116" s="60"/>
      <c r="H116" s="2"/>
      <c r="I116" s="2"/>
      <c r="J116" s="61"/>
      <c r="K116" s="62"/>
      <c r="L116" s="60"/>
      <c r="M116" s="2"/>
      <c r="N116" s="2"/>
      <c r="O116" s="61"/>
      <c r="P116" s="3"/>
      <c r="Q116" s="63"/>
      <c r="R116" s="36"/>
      <c r="S116" s="60"/>
      <c r="T116" s="64"/>
      <c r="U116" s="1"/>
      <c r="V116" s="1"/>
    </row>
    <row r="117" spans="1:22" ht="24.95" customHeight="1" x14ac:dyDescent="0.2">
      <c r="A117" s="1"/>
      <c r="B117" s="39">
        <f t="shared" si="0"/>
        <v>21</v>
      </c>
      <c r="C117" s="30">
        <v>15841</v>
      </c>
      <c r="D117" s="180" t="s">
        <v>24</v>
      </c>
      <c r="E117" s="207" t="s">
        <v>0</v>
      </c>
      <c r="F117" s="177"/>
      <c r="G117" s="65"/>
      <c r="H117" s="2"/>
      <c r="I117" s="2"/>
      <c r="J117" s="61"/>
      <c r="K117" s="62"/>
      <c r="L117" s="65"/>
      <c r="M117" s="2"/>
      <c r="N117" s="2"/>
      <c r="O117" s="61"/>
      <c r="P117" s="3"/>
      <c r="Q117" s="63"/>
      <c r="R117" s="93"/>
      <c r="S117" s="55"/>
      <c r="T117" s="64"/>
      <c r="U117" s="1"/>
      <c r="V117" s="1"/>
    </row>
    <row r="118" spans="1:22" ht="24.95" customHeight="1" x14ac:dyDescent="0.2">
      <c r="A118" s="1"/>
      <c r="B118" s="39">
        <f t="shared" si="0"/>
        <v>22</v>
      </c>
      <c r="C118" s="30">
        <v>15912</v>
      </c>
      <c r="D118" s="180" t="s">
        <v>75</v>
      </c>
      <c r="E118" s="207" t="s">
        <v>0</v>
      </c>
      <c r="F118" s="177"/>
      <c r="G118" s="65"/>
      <c r="H118" s="2"/>
      <c r="I118" s="2"/>
      <c r="J118" s="61"/>
      <c r="K118" s="62"/>
      <c r="L118" s="65"/>
      <c r="M118" s="2"/>
      <c r="N118" s="2"/>
      <c r="O118" s="61"/>
      <c r="P118" s="3"/>
      <c r="Q118" s="63"/>
      <c r="R118" s="93"/>
      <c r="S118" s="55"/>
      <c r="T118" s="64"/>
      <c r="U118" s="1"/>
      <c r="V118" s="1"/>
    </row>
    <row r="119" spans="1:22" ht="24.95" customHeight="1" x14ac:dyDescent="0.2">
      <c r="A119" s="1"/>
      <c r="B119" s="39">
        <f t="shared" si="0"/>
        <v>23</v>
      </c>
      <c r="C119" s="30">
        <v>15913</v>
      </c>
      <c r="D119" s="180" t="s">
        <v>72</v>
      </c>
      <c r="E119" s="207" t="s">
        <v>0</v>
      </c>
      <c r="F119" s="177"/>
      <c r="G119" s="65"/>
      <c r="H119" s="2"/>
      <c r="I119" s="2"/>
      <c r="J119" s="61"/>
      <c r="K119" s="62"/>
      <c r="L119" s="65"/>
      <c r="M119" s="2"/>
      <c r="N119" s="2"/>
      <c r="O119" s="61"/>
      <c r="P119" s="3"/>
      <c r="Q119" s="63"/>
      <c r="R119" s="36"/>
      <c r="S119" s="60"/>
      <c r="T119" s="64"/>
      <c r="U119" s="1"/>
      <c r="V119" s="1"/>
    </row>
    <row r="120" spans="1:22" ht="24.95" customHeight="1" x14ac:dyDescent="0.2">
      <c r="A120" s="1"/>
      <c r="B120" s="39">
        <f t="shared" si="0"/>
        <v>24</v>
      </c>
      <c r="C120" s="30">
        <v>15943</v>
      </c>
      <c r="D120" s="180" t="s">
        <v>92</v>
      </c>
      <c r="E120" s="207" t="s">
        <v>0</v>
      </c>
      <c r="F120" s="177"/>
      <c r="G120" s="60"/>
      <c r="H120" s="2"/>
      <c r="I120" s="2"/>
      <c r="J120" s="61"/>
      <c r="K120" s="62"/>
      <c r="L120" s="60"/>
      <c r="M120" s="2"/>
      <c r="N120" s="2"/>
      <c r="O120" s="61"/>
      <c r="P120" s="3"/>
      <c r="Q120" s="63"/>
      <c r="R120" s="36"/>
      <c r="S120" s="60"/>
      <c r="T120" s="64"/>
      <c r="U120" s="1"/>
      <c r="V120" s="1"/>
    </row>
    <row r="121" spans="1:22" ht="24.95" customHeight="1" x14ac:dyDescent="0.2">
      <c r="A121" s="1"/>
      <c r="B121" s="39">
        <f t="shared" si="0"/>
        <v>25</v>
      </c>
      <c r="C121" s="30">
        <v>15878</v>
      </c>
      <c r="D121" s="180" t="s">
        <v>62</v>
      </c>
      <c r="E121" s="207" t="s">
        <v>0</v>
      </c>
      <c r="F121" s="177"/>
      <c r="G121" s="65"/>
      <c r="H121" s="2"/>
      <c r="I121" s="2"/>
      <c r="J121" s="61"/>
      <c r="K121" s="62"/>
      <c r="L121" s="65"/>
      <c r="M121" s="2"/>
      <c r="N121" s="2"/>
      <c r="O121" s="61"/>
      <c r="P121" s="3"/>
      <c r="Q121" s="63"/>
      <c r="R121" s="36"/>
      <c r="S121" s="60"/>
      <c r="T121" s="64"/>
      <c r="U121" s="1"/>
      <c r="V121" s="1"/>
    </row>
    <row r="122" spans="1:22" ht="24.95" customHeight="1" x14ac:dyDescent="0.2">
      <c r="A122" s="1"/>
      <c r="B122" s="39">
        <f t="shared" si="0"/>
        <v>26</v>
      </c>
      <c r="C122" s="30">
        <v>15847</v>
      </c>
      <c r="D122" s="180" t="s">
        <v>231</v>
      </c>
      <c r="E122" s="207" t="s">
        <v>0</v>
      </c>
      <c r="F122" s="177"/>
      <c r="G122" s="66"/>
      <c r="H122" s="67"/>
      <c r="I122" s="67"/>
      <c r="J122" s="68"/>
      <c r="K122" s="62"/>
      <c r="L122" s="66"/>
      <c r="M122" s="67"/>
      <c r="N122" s="67"/>
      <c r="O122" s="68"/>
      <c r="P122" s="40"/>
      <c r="Q122" s="69"/>
      <c r="R122" s="178"/>
      <c r="S122" s="90"/>
      <c r="T122" s="70"/>
      <c r="U122" s="1"/>
      <c r="V122" s="1"/>
    </row>
    <row r="123" spans="1:22" ht="24.95" customHeight="1" x14ac:dyDescent="0.2">
      <c r="A123" s="1"/>
      <c r="B123" s="39">
        <f t="shared" si="0"/>
        <v>27</v>
      </c>
      <c r="C123" s="30">
        <v>15947</v>
      </c>
      <c r="D123" s="180" t="s">
        <v>94</v>
      </c>
      <c r="E123" s="207" t="s">
        <v>0</v>
      </c>
      <c r="F123" s="177"/>
      <c r="G123" s="66"/>
      <c r="H123" s="67"/>
      <c r="I123" s="67"/>
      <c r="J123" s="68"/>
      <c r="K123" s="62"/>
      <c r="L123" s="66"/>
      <c r="M123" s="67"/>
      <c r="N123" s="67"/>
      <c r="O123" s="68"/>
      <c r="P123" s="40"/>
      <c r="Q123" s="69"/>
      <c r="R123" s="178"/>
      <c r="S123" s="90"/>
      <c r="T123" s="70"/>
      <c r="U123" s="1"/>
      <c r="V123" s="1"/>
    </row>
    <row r="124" spans="1:22" ht="24.95" customHeight="1" x14ac:dyDescent="0.2">
      <c r="A124" s="1"/>
      <c r="B124" s="39">
        <f t="shared" si="0"/>
        <v>28</v>
      </c>
      <c r="C124" s="30">
        <v>15879</v>
      </c>
      <c r="D124" s="180" t="s">
        <v>46</v>
      </c>
      <c r="E124" s="207" t="s">
        <v>0</v>
      </c>
      <c r="F124" s="177"/>
      <c r="G124" s="66"/>
      <c r="H124" s="67"/>
      <c r="I124" s="67"/>
      <c r="J124" s="68"/>
      <c r="K124" s="62"/>
      <c r="L124" s="66"/>
      <c r="M124" s="67"/>
      <c r="N124" s="67"/>
      <c r="O124" s="68"/>
      <c r="P124" s="40"/>
      <c r="Q124" s="69"/>
      <c r="R124" s="178"/>
      <c r="S124" s="90"/>
      <c r="T124" s="70"/>
      <c r="U124" s="1"/>
      <c r="V124" s="1"/>
    </row>
    <row r="125" spans="1:22" ht="24.95" customHeight="1" x14ac:dyDescent="0.2">
      <c r="A125" s="1"/>
      <c r="B125" s="39">
        <f t="shared" si="0"/>
        <v>29</v>
      </c>
      <c r="C125" s="30">
        <v>15881</v>
      </c>
      <c r="D125" s="180" t="s">
        <v>235</v>
      </c>
      <c r="E125" s="207" t="s">
        <v>0</v>
      </c>
      <c r="F125" s="177"/>
      <c r="G125" s="66"/>
      <c r="H125" s="67"/>
      <c r="I125" s="67"/>
      <c r="J125" s="68"/>
      <c r="K125" s="62"/>
      <c r="L125" s="66"/>
      <c r="M125" s="67"/>
      <c r="N125" s="67"/>
      <c r="O125" s="68"/>
      <c r="P125" s="40"/>
      <c r="Q125" s="69"/>
      <c r="R125" s="178"/>
      <c r="S125" s="90"/>
      <c r="T125" s="70"/>
      <c r="U125" s="1"/>
      <c r="V125" s="1"/>
    </row>
    <row r="126" spans="1:22" ht="24.95" customHeight="1" x14ac:dyDescent="0.2">
      <c r="A126" s="1"/>
      <c r="B126" s="39">
        <f t="shared" si="0"/>
        <v>30</v>
      </c>
      <c r="C126" s="30">
        <v>15955</v>
      </c>
      <c r="D126" s="180" t="s">
        <v>82</v>
      </c>
      <c r="E126" s="207" t="s">
        <v>0</v>
      </c>
      <c r="F126" s="177"/>
      <c r="G126" s="66"/>
      <c r="H126" s="67"/>
      <c r="I126" s="67"/>
      <c r="J126" s="68"/>
      <c r="K126" s="62"/>
      <c r="L126" s="66"/>
      <c r="M126" s="67"/>
      <c r="N126" s="67"/>
      <c r="O126" s="68"/>
      <c r="P126" s="40"/>
      <c r="Q126" s="69"/>
      <c r="R126" s="178"/>
      <c r="S126" s="90"/>
      <c r="T126" s="70"/>
      <c r="U126" s="1"/>
      <c r="V126" s="1"/>
    </row>
    <row r="127" spans="1:22" ht="24.95" customHeight="1" x14ac:dyDescent="0.2">
      <c r="A127" s="1"/>
      <c r="B127" s="39">
        <f t="shared" si="0"/>
        <v>31</v>
      </c>
      <c r="C127" s="30">
        <v>15956</v>
      </c>
      <c r="D127" s="180" t="s">
        <v>98</v>
      </c>
      <c r="E127" s="207" t="s">
        <v>0</v>
      </c>
      <c r="F127" s="177"/>
      <c r="G127" s="66"/>
      <c r="H127" s="67"/>
      <c r="I127" s="67"/>
      <c r="J127" s="68"/>
      <c r="K127" s="62"/>
      <c r="L127" s="66"/>
      <c r="M127" s="67"/>
      <c r="N127" s="67"/>
      <c r="O127" s="68"/>
      <c r="P127" s="40"/>
      <c r="Q127" s="69"/>
      <c r="R127" s="178"/>
      <c r="S127" s="90"/>
      <c r="T127" s="70"/>
      <c r="U127" s="1"/>
      <c r="V127" s="1"/>
    </row>
    <row r="128" spans="1:22" ht="24.95" customHeight="1" x14ac:dyDescent="0.2">
      <c r="A128" s="1"/>
      <c r="B128" s="39">
        <f t="shared" si="0"/>
        <v>32</v>
      </c>
      <c r="C128" s="30">
        <v>15887</v>
      </c>
      <c r="D128" s="180" t="s">
        <v>50</v>
      </c>
      <c r="E128" s="207" t="s">
        <v>0</v>
      </c>
      <c r="F128" s="177"/>
      <c r="G128" s="66"/>
      <c r="H128" s="67"/>
      <c r="I128" s="67"/>
      <c r="J128" s="68"/>
      <c r="K128" s="62"/>
      <c r="L128" s="66"/>
      <c r="M128" s="67"/>
      <c r="N128" s="67"/>
      <c r="O128" s="68"/>
      <c r="P128" s="40"/>
      <c r="Q128" s="69"/>
      <c r="R128" s="178"/>
      <c r="S128" s="90"/>
      <c r="T128" s="70"/>
      <c r="U128" s="1"/>
      <c r="V128" s="1"/>
    </row>
    <row r="129" spans="1:22" ht="24.95" customHeight="1" x14ac:dyDescent="0.2">
      <c r="A129" s="1"/>
      <c r="B129" s="39">
        <f t="shared" si="0"/>
        <v>33</v>
      </c>
      <c r="C129" s="30">
        <v>15853</v>
      </c>
      <c r="D129" s="180" t="s">
        <v>31</v>
      </c>
      <c r="E129" s="207" t="s">
        <v>0</v>
      </c>
      <c r="F129" s="177"/>
      <c r="G129" s="66"/>
      <c r="H129" s="67"/>
      <c r="I129" s="67"/>
      <c r="J129" s="68"/>
      <c r="K129" s="62"/>
      <c r="L129" s="66"/>
      <c r="M129" s="67"/>
      <c r="N129" s="67"/>
      <c r="O129" s="68"/>
      <c r="P129" s="40"/>
      <c r="Q129" s="69"/>
      <c r="R129" s="178"/>
      <c r="S129" s="90"/>
      <c r="T129" s="70"/>
      <c r="U129" s="1"/>
      <c r="V129" s="1"/>
    </row>
    <row r="130" spans="1:22" ht="24.95" customHeight="1" x14ac:dyDescent="0.2">
      <c r="A130" s="1"/>
      <c r="B130" s="39">
        <f t="shared" si="0"/>
        <v>34</v>
      </c>
      <c r="C130" s="30"/>
      <c r="D130" s="180"/>
      <c r="E130" s="207" t="s">
        <v>0</v>
      </c>
      <c r="F130" s="177"/>
      <c r="G130" s="66"/>
      <c r="H130" s="67"/>
      <c r="I130" s="67"/>
      <c r="J130" s="68"/>
      <c r="K130" s="71"/>
      <c r="L130" s="66"/>
      <c r="M130" s="67"/>
      <c r="N130" s="67"/>
      <c r="O130" s="68"/>
      <c r="P130" s="40"/>
      <c r="Q130" s="69"/>
      <c r="R130" s="178"/>
      <c r="S130" s="90"/>
      <c r="T130" s="70"/>
      <c r="U130" s="1"/>
      <c r="V130" s="1"/>
    </row>
    <row r="131" spans="1:22" ht="24.95" customHeight="1" x14ac:dyDescent="0.2">
      <c r="A131" s="1"/>
      <c r="B131" s="39">
        <f t="shared" si="0"/>
        <v>35</v>
      </c>
      <c r="C131" s="30"/>
      <c r="D131" s="180"/>
      <c r="E131" s="207" t="s">
        <v>0</v>
      </c>
      <c r="F131" s="177"/>
      <c r="G131" s="66"/>
      <c r="H131" s="67"/>
      <c r="I131" s="67"/>
      <c r="J131" s="68"/>
      <c r="K131" s="71"/>
      <c r="L131" s="66"/>
      <c r="M131" s="67"/>
      <c r="N131" s="67"/>
      <c r="O131" s="68"/>
      <c r="P131" s="40"/>
      <c r="Q131" s="69"/>
      <c r="R131" s="178"/>
      <c r="S131" s="90"/>
      <c r="T131" s="70"/>
      <c r="U131" s="1"/>
      <c r="V131" s="1"/>
    </row>
    <row r="132" spans="1:22" ht="24.95" customHeight="1" x14ac:dyDescent="0.2">
      <c r="A132" s="1"/>
      <c r="B132" s="39">
        <f t="shared" si="0"/>
        <v>36</v>
      </c>
      <c r="C132" s="35"/>
      <c r="D132" s="180"/>
      <c r="E132" s="207" t="s">
        <v>0</v>
      </c>
      <c r="F132" s="182"/>
      <c r="G132" s="66"/>
      <c r="H132" s="67"/>
      <c r="I132" s="67"/>
      <c r="J132" s="68"/>
      <c r="K132" s="71"/>
      <c r="L132" s="66"/>
      <c r="M132" s="67"/>
      <c r="N132" s="67"/>
      <c r="O132" s="68"/>
      <c r="P132" s="40"/>
      <c r="Q132" s="69"/>
      <c r="R132" s="178"/>
      <c r="S132" s="90"/>
      <c r="T132" s="70"/>
      <c r="U132" s="1"/>
      <c r="V132" s="1"/>
    </row>
    <row r="133" spans="1:22" ht="24.95" customHeight="1" x14ac:dyDescent="0.2">
      <c r="A133" s="1"/>
      <c r="B133" s="39">
        <f t="shared" si="0"/>
        <v>37</v>
      </c>
      <c r="C133" s="30"/>
      <c r="D133" s="151"/>
      <c r="E133" s="207" t="s">
        <v>0</v>
      </c>
      <c r="F133" s="182"/>
      <c r="G133" s="66"/>
      <c r="H133" s="67"/>
      <c r="I133" s="67"/>
      <c r="J133" s="68"/>
      <c r="K133" s="71"/>
      <c r="L133" s="66"/>
      <c r="M133" s="67"/>
      <c r="N133" s="67"/>
      <c r="O133" s="68"/>
      <c r="P133" s="40"/>
      <c r="Q133" s="69"/>
      <c r="R133" s="178"/>
      <c r="S133" s="90"/>
      <c r="T133" s="70"/>
      <c r="U133" s="1"/>
      <c r="V133" s="1"/>
    </row>
    <row r="134" spans="1:22" ht="24.95" customHeight="1" thickBot="1" x14ac:dyDescent="0.25">
      <c r="A134" s="1"/>
      <c r="B134" s="52"/>
      <c r="C134" s="53"/>
      <c r="D134" s="84"/>
      <c r="E134" s="174"/>
      <c r="F134" s="73"/>
      <c r="G134" s="74"/>
      <c r="H134" s="75"/>
      <c r="I134" s="75"/>
      <c r="J134" s="76"/>
      <c r="K134" s="77"/>
      <c r="L134" s="74"/>
      <c r="M134" s="75"/>
      <c r="N134" s="75"/>
      <c r="O134" s="76"/>
      <c r="P134" s="75"/>
      <c r="Q134" s="78"/>
      <c r="R134" s="78"/>
      <c r="S134" s="78"/>
      <c r="T134" s="76"/>
      <c r="U134" s="1"/>
      <c r="V134" s="1"/>
    </row>
    <row r="135" spans="1:22" ht="18.95" customHeight="1" x14ac:dyDescent="0.2">
      <c r="V135" s="1"/>
    </row>
    <row r="136" spans="1:22" ht="18.95" customHeight="1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8.95" customHeight="1" x14ac:dyDescent="0.2">
      <c r="A137" s="1"/>
      <c r="B137" s="255"/>
      <c r="C137" s="256"/>
      <c r="D137" s="259" t="s">
        <v>3</v>
      </c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1"/>
      <c r="U137" s="1"/>
      <c r="V137" s="1"/>
    </row>
    <row r="138" spans="1:22" ht="18.95" customHeight="1" x14ac:dyDescent="0.2">
      <c r="A138" s="1"/>
      <c r="B138" s="257"/>
      <c r="C138" s="258"/>
      <c r="D138" s="262" t="s">
        <v>4</v>
      </c>
      <c r="E138" s="263"/>
      <c r="F138" s="263"/>
      <c r="G138" s="263"/>
      <c r="H138" s="263"/>
      <c r="I138" s="263"/>
      <c r="J138" s="263"/>
      <c r="K138" s="263"/>
      <c r="L138" s="263"/>
      <c r="M138" s="263"/>
      <c r="N138" s="263"/>
      <c r="O138" s="263"/>
      <c r="P138" s="263"/>
      <c r="Q138" s="263"/>
      <c r="R138" s="263"/>
      <c r="S138" s="263"/>
      <c r="T138" s="264"/>
      <c r="U138" s="1"/>
      <c r="V138" s="1"/>
    </row>
    <row r="139" spans="1:22" ht="18.95" customHeight="1" thickBot="1" x14ac:dyDescent="0.25">
      <c r="A139" s="1"/>
      <c r="B139" s="257"/>
      <c r="C139" s="258"/>
      <c r="D139" s="265" t="s">
        <v>547</v>
      </c>
      <c r="E139" s="266"/>
      <c r="F139" s="266"/>
      <c r="G139" s="266"/>
      <c r="H139" s="266"/>
      <c r="I139" s="266"/>
      <c r="J139" s="266"/>
      <c r="K139" s="266"/>
      <c r="L139" s="266"/>
      <c r="M139" s="266"/>
      <c r="N139" s="266"/>
      <c r="O139" s="266"/>
      <c r="P139" s="266"/>
      <c r="Q139" s="266"/>
      <c r="R139" s="266"/>
      <c r="S139" s="266"/>
      <c r="T139" s="267"/>
      <c r="U139" s="1"/>
      <c r="V139" s="1"/>
    </row>
    <row r="140" spans="1:22" ht="18.95" customHeight="1" thickBot="1" x14ac:dyDescent="0.25">
      <c r="A140" s="1"/>
      <c r="B140" s="268"/>
      <c r="C140" s="269"/>
      <c r="D140" s="25" t="s">
        <v>252</v>
      </c>
      <c r="E140" s="26"/>
      <c r="F140" s="27" t="s">
        <v>2</v>
      </c>
      <c r="G140" s="27"/>
      <c r="H140" s="27"/>
      <c r="I140" s="28"/>
      <c r="J140" s="28" t="s">
        <v>522</v>
      </c>
      <c r="K140" s="27"/>
      <c r="L140" s="27"/>
      <c r="M140" s="27"/>
      <c r="N140" s="27"/>
      <c r="O140" s="27"/>
      <c r="P140" s="27"/>
      <c r="Q140" s="27"/>
      <c r="R140" s="27"/>
      <c r="S140" s="27"/>
      <c r="T140" s="123"/>
      <c r="U140" s="1"/>
      <c r="V140" s="1"/>
    </row>
    <row r="141" spans="1:22" ht="18.95" customHeight="1" thickBot="1" x14ac:dyDescent="0.25">
      <c r="A141" s="1"/>
      <c r="B141" s="270" t="s">
        <v>6</v>
      </c>
      <c r="C141" s="270"/>
      <c r="D141" s="270" t="s">
        <v>7</v>
      </c>
      <c r="E141" s="273" t="s">
        <v>12</v>
      </c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1"/>
      <c r="V141" s="1"/>
    </row>
    <row r="142" spans="1:22" ht="18.95" customHeight="1" thickBot="1" x14ac:dyDescent="0.25">
      <c r="A142" s="1"/>
      <c r="B142" s="29" t="s">
        <v>10</v>
      </c>
      <c r="C142" s="29" t="s">
        <v>9</v>
      </c>
      <c r="D142" s="270"/>
      <c r="E142" s="274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1"/>
      <c r="V142" s="1"/>
    </row>
    <row r="143" spans="1:22" ht="24.95" customHeight="1" x14ac:dyDescent="0.2">
      <c r="A143" s="1"/>
      <c r="B143" s="38">
        <v>1</v>
      </c>
      <c r="C143" s="32">
        <v>15926</v>
      </c>
      <c r="D143" s="164" t="s">
        <v>100</v>
      </c>
      <c r="E143" s="208" t="s">
        <v>0</v>
      </c>
      <c r="F143" s="183"/>
      <c r="G143" s="55"/>
      <c r="H143" s="5"/>
      <c r="I143" s="5"/>
      <c r="J143" s="56"/>
      <c r="K143" s="57"/>
      <c r="L143" s="55"/>
      <c r="M143" s="5"/>
      <c r="N143" s="5"/>
      <c r="O143" s="56"/>
      <c r="P143" s="4"/>
      <c r="Q143" s="58"/>
      <c r="R143" s="93"/>
      <c r="S143" s="55"/>
      <c r="T143" s="59"/>
      <c r="U143" s="1"/>
      <c r="V143" s="1"/>
    </row>
    <row r="144" spans="1:22" ht="24.95" customHeight="1" x14ac:dyDescent="0.2">
      <c r="A144" s="1"/>
      <c r="B144" s="152">
        <v>2</v>
      </c>
      <c r="C144" s="30">
        <v>15856</v>
      </c>
      <c r="D144" s="49" t="s">
        <v>51</v>
      </c>
      <c r="E144" s="209" t="s">
        <v>0</v>
      </c>
      <c r="F144" s="184"/>
      <c r="G144" s="60"/>
      <c r="H144" s="2"/>
      <c r="I144" s="2"/>
      <c r="J144" s="61"/>
      <c r="K144" s="62"/>
      <c r="L144" s="60"/>
      <c r="M144" s="2"/>
      <c r="N144" s="2"/>
      <c r="O144" s="61"/>
      <c r="P144" s="3"/>
      <c r="Q144" s="63"/>
      <c r="R144" s="36"/>
      <c r="S144" s="60"/>
      <c r="T144" s="64"/>
      <c r="U144" s="1"/>
      <c r="V144" s="1"/>
    </row>
    <row r="145" spans="1:22" ht="24.95" customHeight="1" x14ac:dyDescent="0.2">
      <c r="A145" s="1"/>
      <c r="B145" s="30">
        <v>3</v>
      </c>
      <c r="C145" s="30">
        <v>15928</v>
      </c>
      <c r="D145" s="49" t="s">
        <v>84</v>
      </c>
      <c r="E145" s="209" t="s">
        <v>0</v>
      </c>
      <c r="F145" s="184"/>
      <c r="G145" s="60"/>
      <c r="H145" s="2"/>
      <c r="I145" s="2"/>
      <c r="J145" s="61"/>
      <c r="K145" s="62"/>
      <c r="L145" s="60"/>
      <c r="M145" s="2"/>
      <c r="N145" s="2"/>
      <c r="O145" s="61"/>
      <c r="P145" s="3"/>
      <c r="Q145" s="63"/>
      <c r="R145" s="36"/>
      <c r="S145" s="60"/>
      <c r="T145" s="64"/>
      <c r="U145" s="1"/>
      <c r="V145" s="1"/>
    </row>
    <row r="146" spans="1:22" ht="24.95" customHeight="1" x14ac:dyDescent="0.2">
      <c r="A146" s="1"/>
      <c r="B146" s="30">
        <v>4</v>
      </c>
      <c r="C146" s="30">
        <v>15859</v>
      </c>
      <c r="D146" s="49" t="s">
        <v>52</v>
      </c>
      <c r="E146" s="209" t="s">
        <v>0</v>
      </c>
      <c r="F146" s="184"/>
      <c r="G146" s="60"/>
      <c r="H146" s="2"/>
      <c r="I146" s="2"/>
      <c r="J146" s="61"/>
      <c r="K146" s="62"/>
      <c r="L146" s="60"/>
      <c r="M146" s="2"/>
      <c r="N146" s="2"/>
      <c r="O146" s="61"/>
      <c r="P146" s="3"/>
      <c r="Q146" s="63"/>
      <c r="R146" s="36"/>
      <c r="S146" s="60"/>
      <c r="T146" s="64"/>
      <c r="U146" s="1"/>
      <c r="V146" s="1"/>
    </row>
    <row r="147" spans="1:22" ht="24.95" customHeight="1" x14ac:dyDescent="0.2">
      <c r="A147" s="1"/>
      <c r="B147" s="30">
        <v>5</v>
      </c>
      <c r="C147" s="30">
        <v>15894</v>
      </c>
      <c r="D147" s="49" t="s">
        <v>215</v>
      </c>
      <c r="E147" s="209" t="s">
        <v>0</v>
      </c>
      <c r="F147" s="184"/>
      <c r="G147" s="60"/>
      <c r="H147" s="2"/>
      <c r="I147" s="2"/>
      <c r="J147" s="61"/>
      <c r="K147" s="62"/>
      <c r="L147" s="60"/>
      <c r="M147" s="2"/>
      <c r="N147" s="2"/>
      <c r="O147" s="61"/>
      <c r="P147" s="3"/>
      <c r="Q147" s="63"/>
      <c r="R147" s="36"/>
      <c r="S147" s="60"/>
      <c r="T147" s="64"/>
      <c r="U147" s="1"/>
      <c r="V147" s="1"/>
    </row>
    <row r="148" spans="1:22" ht="24.95" customHeight="1" x14ac:dyDescent="0.2">
      <c r="A148" s="1"/>
      <c r="B148" s="30">
        <v>6</v>
      </c>
      <c r="C148" s="30">
        <v>15827</v>
      </c>
      <c r="D148" s="49" t="s">
        <v>21</v>
      </c>
      <c r="E148" s="209" t="s">
        <v>0</v>
      </c>
      <c r="F148" s="184"/>
      <c r="G148" s="60"/>
      <c r="H148" s="2"/>
      <c r="I148" s="2"/>
      <c r="J148" s="61"/>
      <c r="K148" s="62"/>
      <c r="L148" s="60"/>
      <c r="M148" s="2"/>
      <c r="N148" s="2"/>
      <c r="O148" s="61"/>
      <c r="P148" s="3"/>
      <c r="Q148" s="63"/>
      <c r="R148" s="36"/>
      <c r="S148" s="60"/>
      <c r="T148" s="64"/>
      <c r="U148" s="1"/>
      <c r="V148" s="1"/>
    </row>
    <row r="149" spans="1:22" ht="24.95" customHeight="1" x14ac:dyDescent="0.2">
      <c r="A149" s="1"/>
      <c r="B149" s="30">
        <v>7</v>
      </c>
      <c r="C149" s="30">
        <v>15895</v>
      </c>
      <c r="D149" s="49" t="s">
        <v>70</v>
      </c>
      <c r="E149" s="209" t="s">
        <v>0</v>
      </c>
      <c r="F149" s="184"/>
      <c r="G149" s="60"/>
      <c r="H149" s="2"/>
      <c r="I149" s="2"/>
      <c r="J149" s="61"/>
      <c r="K149" s="62"/>
      <c r="L149" s="60"/>
      <c r="M149" s="2"/>
      <c r="N149" s="2"/>
      <c r="O149" s="61"/>
      <c r="P149" s="3"/>
      <c r="Q149" s="63"/>
      <c r="R149" s="36"/>
      <c r="S149" s="60"/>
      <c r="T149" s="64"/>
      <c r="U149" s="1"/>
      <c r="V149" s="1"/>
    </row>
    <row r="150" spans="1:22" ht="24.95" customHeight="1" x14ac:dyDescent="0.2">
      <c r="A150" s="1"/>
      <c r="B150" s="30">
        <v>8</v>
      </c>
      <c r="C150" s="30">
        <v>15829</v>
      </c>
      <c r="D150" s="49" t="s">
        <v>18</v>
      </c>
      <c r="E150" s="209" t="s">
        <v>0</v>
      </c>
      <c r="F150" s="184"/>
      <c r="G150" s="60"/>
      <c r="H150" s="2"/>
      <c r="I150" s="2"/>
      <c r="J150" s="61"/>
      <c r="K150" s="62"/>
      <c r="L150" s="60"/>
      <c r="M150" s="2"/>
      <c r="N150" s="2"/>
      <c r="O150" s="61"/>
      <c r="P150" s="3"/>
      <c r="Q150" s="63"/>
      <c r="R150" s="36"/>
      <c r="S150" s="60"/>
      <c r="T150" s="64"/>
      <c r="U150" s="1"/>
      <c r="V150" s="1"/>
    </row>
    <row r="151" spans="1:22" ht="24.95" customHeight="1" x14ac:dyDescent="0.2">
      <c r="A151" s="1"/>
      <c r="B151" s="30">
        <v>9</v>
      </c>
      <c r="C151" s="30">
        <v>15830</v>
      </c>
      <c r="D151" s="49" t="s">
        <v>40</v>
      </c>
      <c r="E151" s="209" t="s">
        <v>0</v>
      </c>
      <c r="F151" s="184"/>
      <c r="G151" s="60"/>
      <c r="H151" s="2"/>
      <c r="I151" s="2"/>
      <c r="J151" s="61"/>
      <c r="K151" s="62"/>
      <c r="L151" s="60"/>
      <c r="M151" s="2"/>
      <c r="N151" s="2"/>
      <c r="O151" s="61"/>
      <c r="P151" s="3"/>
      <c r="Q151" s="63"/>
      <c r="R151" s="36"/>
      <c r="S151" s="60"/>
      <c r="T151" s="64"/>
      <c r="U151" s="1"/>
      <c r="V151" s="1"/>
    </row>
    <row r="152" spans="1:22" ht="24.95" customHeight="1" x14ac:dyDescent="0.2">
      <c r="A152" s="1"/>
      <c r="B152" s="30">
        <v>10</v>
      </c>
      <c r="C152" s="30">
        <v>15865</v>
      </c>
      <c r="D152" s="49" t="s">
        <v>55</v>
      </c>
      <c r="E152" s="209" t="s">
        <v>0</v>
      </c>
      <c r="F152" s="184"/>
      <c r="G152" s="60"/>
      <c r="H152" s="2"/>
      <c r="I152" s="2"/>
      <c r="J152" s="61"/>
      <c r="K152" s="62"/>
      <c r="L152" s="60"/>
      <c r="M152" s="2"/>
      <c r="N152" s="2"/>
      <c r="O152" s="61"/>
      <c r="P152" s="3"/>
      <c r="Q152" s="63"/>
      <c r="R152" s="36"/>
      <c r="S152" s="60"/>
      <c r="T152" s="64"/>
      <c r="U152" s="1"/>
      <c r="V152" s="1"/>
    </row>
    <row r="153" spans="1:22" ht="24.95" customHeight="1" x14ac:dyDescent="0.2">
      <c r="A153" s="1"/>
      <c r="B153" s="30">
        <v>11</v>
      </c>
      <c r="C153" s="30">
        <v>15898</v>
      </c>
      <c r="D153" s="49" t="s">
        <v>71</v>
      </c>
      <c r="E153" s="209" t="s">
        <v>0</v>
      </c>
      <c r="F153" s="184"/>
      <c r="G153" s="60"/>
      <c r="H153" s="2"/>
      <c r="I153" s="2"/>
      <c r="J153" s="61"/>
      <c r="K153" s="62"/>
      <c r="L153" s="60"/>
      <c r="M153" s="2"/>
      <c r="N153" s="2"/>
      <c r="O153" s="61"/>
      <c r="P153" s="3"/>
      <c r="Q153" s="63"/>
      <c r="R153" s="36"/>
      <c r="S153" s="60"/>
      <c r="T153" s="64"/>
      <c r="U153" s="1"/>
      <c r="V153" s="1"/>
    </row>
    <row r="154" spans="1:22" ht="24.95" customHeight="1" x14ac:dyDescent="0.2">
      <c r="A154" s="1"/>
      <c r="B154" s="30">
        <v>12</v>
      </c>
      <c r="C154" s="30">
        <v>15899</v>
      </c>
      <c r="D154" s="49" t="s">
        <v>225</v>
      </c>
      <c r="E154" s="209" t="s">
        <v>0</v>
      </c>
      <c r="F154" s="184"/>
      <c r="G154" s="60"/>
      <c r="H154" s="2"/>
      <c r="I154" s="2"/>
      <c r="J154" s="61"/>
      <c r="K154" s="62"/>
      <c r="L154" s="60"/>
      <c r="M154" s="2"/>
      <c r="N154" s="2"/>
      <c r="O154" s="61"/>
      <c r="P154" s="3"/>
      <c r="Q154" s="63"/>
      <c r="R154" s="93"/>
      <c r="S154" s="55"/>
      <c r="T154" s="64"/>
      <c r="U154" s="1"/>
      <c r="V154" s="1"/>
    </row>
    <row r="155" spans="1:22" ht="24.95" customHeight="1" x14ac:dyDescent="0.2">
      <c r="A155" s="1"/>
      <c r="B155" s="30">
        <v>13</v>
      </c>
      <c r="C155" s="30">
        <v>16077</v>
      </c>
      <c r="D155" s="49" t="s">
        <v>247</v>
      </c>
      <c r="E155" s="209" t="s">
        <v>0</v>
      </c>
      <c r="F155" s="184"/>
      <c r="G155" s="60"/>
      <c r="H155" s="2"/>
      <c r="I155" s="2"/>
      <c r="J155" s="61"/>
      <c r="K155" s="62"/>
      <c r="L155" s="60"/>
      <c r="M155" s="2"/>
      <c r="N155" s="2"/>
      <c r="O155" s="61"/>
      <c r="P155" s="3"/>
      <c r="Q155" s="63"/>
      <c r="R155" s="36"/>
      <c r="S155" s="60"/>
      <c r="T155" s="64"/>
      <c r="U155" s="1"/>
      <c r="V155" s="1"/>
    </row>
    <row r="156" spans="1:22" ht="24.95" customHeight="1" x14ac:dyDescent="0.2">
      <c r="A156" s="1"/>
      <c r="B156" s="30">
        <v>14</v>
      </c>
      <c r="C156" s="30">
        <v>15902</v>
      </c>
      <c r="D156" s="49" t="s">
        <v>73</v>
      </c>
      <c r="E156" s="209" t="s">
        <v>0</v>
      </c>
      <c r="F156" s="184"/>
      <c r="G156" s="60"/>
      <c r="H156" s="2"/>
      <c r="I156" s="2"/>
      <c r="J156" s="61"/>
      <c r="K156" s="62"/>
      <c r="L156" s="60"/>
      <c r="M156" s="2"/>
      <c r="N156" s="2"/>
      <c r="O156" s="61"/>
      <c r="P156" s="3"/>
      <c r="Q156" s="63"/>
      <c r="R156" s="36"/>
      <c r="S156" s="60"/>
      <c r="T156" s="64"/>
      <c r="U156" s="1"/>
      <c r="V156" s="1"/>
    </row>
    <row r="157" spans="1:22" ht="24.95" customHeight="1" x14ac:dyDescent="0.2">
      <c r="A157" s="1"/>
      <c r="B157" s="30">
        <v>15</v>
      </c>
      <c r="C157" s="30">
        <v>15905</v>
      </c>
      <c r="D157" s="49" t="s">
        <v>222</v>
      </c>
      <c r="E157" s="209" t="s">
        <v>0</v>
      </c>
      <c r="F157" s="184"/>
      <c r="G157" s="60"/>
      <c r="H157" s="2"/>
      <c r="I157" s="2"/>
      <c r="J157" s="61"/>
      <c r="K157" s="62"/>
      <c r="L157" s="60"/>
      <c r="M157" s="2"/>
      <c r="N157" s="2"/>
      <c r="O157" s="61"/>
      <c r="P157" s="3"/>
      <c r="Q157" s="63"/>
      <c r="R157" s="36"/>
      <c r="S157" s="60"/>
      <c r="T157" s="64"/>
      <c r="U157" s="1"/>
      <c r="V157" s="1"/>
    </row>
    <row r="158" spans="1:22" ht="24.95" customHeight="1" x14ac:dyDescent="0.2">
      <c r="A158" s="1"/>
      <c r="B158" s="30">
        <v>16</v>
      </c>
      <c r="C158" s="30">
        <v>15946</v>
      </c>
      <c r="D158" s="49" t="s">
        <v>93</v>
      </c>
      <c r="E158" s="209" t="s">
        <v>0</v>
      </c>
      <c r="F158" s="184"/>
      <c r="G158" s="60"/>
      <c r="H158" s="2"/>
      <c r="I158" s="2"/>
      <c r="J158" s="61"/>
      <c r="K158" s="62"/>
      <c r="L158" s="60"/>
      <c r="M158" s="2"/>
      <c r="N158" s="2"/>
      <c r="O158" s="61"/>
      <c r="P158" s="3"/>
      <c r="Q158" s="63"/>
      <c r="R158" s="36"/>
      <c r="S158" s="60"/>
      <c r="T158" s="64"/>
      <c r="U158" s="1"/>
      <c r="V158" s="1"/>
    </row>
    <row r="159" spans="1:22" ht="24.95" customHeight="1" x14ac:dyDescent="0.2">
      <c r="A159" s="1"/>
      <c r="B159" s="30">
        <v>17</v>
      </c>
      <c r="C159" s="30">
        <v>15916</v>
      </c>
      <c r="D159" s="49" t="s">
        <v>76</v>
      </c>
      <c r="E159" s="209" t="s">
        <v>0</v>
      </c>
      <c r="F159" s="184"/>
      <c r="G159" s="60"/>
      <c r="H159" s="2"/>
      <c r="I159" s="2"/>
      <c r="J159" s="61"/>
      <c r="K159" s="62"/>
      <c r="L159" s="60"/>
      <c r="M159" s="2"/>
      <c r="N159" s="2"/>
      <c r="O159" s="61"/>
      <c r="P159" s="3"/>
      <c r="Q159" s="63"/>
      <c r="R159" s="36"/>
      <c r="S159" s="60"/>
      <c r="T159" s="64"/>
      <c r="U159" s="1"/>
      <c r="V159" s="1"/>
    </row>
    <row r="160" spans="1:22" ht="24.95" customHeight="1" x14ac:dyDescent="0.2">
      <c r="A160" s="1"/>
      <c r="B160" s="30">
        <v>18</v>
      </c>
      <c r="C160" s="30">
        <v>15917</v>
      </c>
      <c r="D160" s="49" t="s">
        <v>77</v>
      </c>
      <c r="E160" s="209" t="s">
        <v>0</v>
      </c>
      <c r="F160" s="184"/>
      <c r="G160" s="60"/>
      <c r="H160" s="2"/>
      <c r="I160" s="2"/>
      <c r="J160" s="61"/>
      <c r="K160" s="62"/>
      <c r="L160" s="60"/>
      <c r="M160" s="2"/>
      <c r="N160" s="2"/>
      <c r="O160" s="61"/>
      <c r="P160" s="3"/>
      <c r="Q160" s="63"/>
      <c r="R160" s="36"/>
      <c r="S160" s="60"/>
      <c r="T160" s="64"/>
      <c r="U160" s="1"/>
      <c r="V160" s="1"/>
    </row>
    <row r="161" spans="1:22" ht="24.95" customHeight="1" x14ac:dyDescent="0.2">
      <c r="A161" s="1"/>
      <c r="B161" s="30">
        <v>19</v>
      </c>
      <c r="C161" s="30">
        <v>15950</v>
      </c>
      <c r="D161" s="49" t="s">
        <v>241</v>
      </c>
      <c r="E161" s="209" t="s">
        <v>0</v>
      </c>
      <c r="F161" s="184"/>
      <c r="G161" s="65"/>
      <c r="H161" s="2"/>
      <c r="I161" s="2"/>
      <c r="J161" s="61"/>
      <c r="K161" s="62"/>
      <c r="L161" s="65"/>
      <c r="M161" s="2"/>
      <c r="N161" s="2"/>
      <c r="O161" s="61"/>
      <c r="P161" s="3"/>
      <c r="Q161" s="63"/>
      <c r="R161" s="93"/>
      <c r="S161" s="55"/>
      <c r="T161" s="64"/>
      <c r="U161" s="1"/>
      <c r="V161" s="1"/>
    </row>
    <row r="162" spans="1:22" ht="24.95" customHeight="1" x14ac:dyDescent="0.2">
      <c r="A162" s="1"/>
      <c r="B162" s="30">
        <v>20</v>
      </c>
      <c r="C162" s="30">
        <v>15922</v>
      </c>
      <c r="D162" s="49" t="s">
        <v>217</v>
      </c>
      <c r="E162" s="209" t="s">
        <v>0</v>
      </c>
      <c r="F162" s="184"/>
      <c r="G162" s="65"/>
      <c r="H162" s="2"/>
      <c r="I162" s="2"/>
      <c r="J162" s="61"/>
      <c r="K162" s="62"/>
      <c r="L162" s="65"/>
      <c r="M162" s="2"/>
      <c r="N162" s="2"/>
      <c r="O162" s="61"/>
      <c r="P162" s="3"/>
      <c r="Q162" s="63"/>
      <c r="R162" s="93"/>
      <c r="S162" s="55"/>
      <c r="T162" s="64"/>
      <c r="U162" s="1"/>
      <c r="V162" s="1"/>
    </row>
    <row r="163" spans="1:22" ht="24.95" customHeight="1" x14ac:dyDescent="0.2">
      <c r="A163" s="1"/>
      <c r="B163" s="30">
        <v>21</v>
      </c>
      <c r="C163" s="30">
        <v>15884</v>
      </c>
      <c r="D163" s="49" t="s">
        <v>63</v>
      </c>
      <c r="E163" s="209" t="s">
        <v>0</v>
      </c>
      <c r="F163" s="184"/>
      <c r="G163" s="65"/>
      <c r="H163" s="2"/>
      <c r="I163" s="2"/>
      <c r="J163" s="61"/>
      <c r="K163" s="62"/>
      <c r="L163" s="65"/>
      <c r="M163" s="2"/>
      <c r="N163" s="2"/>
      <c r="O163" s="61"/>
      <c r="P163" s="3"/>
      <c r="Q163" s="63"/>
      <c r="R163" s="36"/>
      <c r="S163" s="60"/>
      <c r="T163" s="64"/>
      <c r="U163" s="1"/>
      <c r="V163" s="1"/>
    </row>
    <row r="164" spans="1:22" ht="24.95" customHeight="1" x14ac:dyDescent="0.2">
      <c r="A164" s="1"/>
      <c r="B164" s="30">
        <v>22</v>
      </c>
      <c r="C164" s="30">
        <v>15954</v>
      </c>
      <c r="D164" s="49" t="s">
        <v>81</v>
      </c>
      <c r="E164" s="209" t="s">
        <v>0</v>
      </c>
      <c r="F164" s="184"/>
      <c r="G164" s="60"/>
      <c r="H164" s="2"/>
      <c r="I164" s="2"/>
      <c r="J164" s="61"/>
      <c r="K164" s="62"/>
      <c r="L164" s="60"/>
      <c r="M164" s="2"/>
      <c r="N164" s="2"/>
      <c r="O164" s="61"/>
      <c r="P164" s="3"/>
      <c r="Q164" s="63"/>
      <c r="R164" s="36"/>
      <c r="S164" s="60"/>
      <c r="T164" s="64"/>
      <c r="U164" s="1"/>
      <c r="V164" s="1"/>
    </row>
    <row r="165" spans="1:22" ht="24.95" customHeight="1" x14ac:dyDescent="0.2">
      <c r="A165" s="1"/>
      <c r="B165" s="30">
        <v>23</v>
      </c>
      <c r="C165" s="30">
        <v>15923</v>
      </c>
      <c r="D165" s="49" t="s">
        <v>79</v>
      </c>
      <c r="E165" s="209" t="s">
        <v>0</v>
      </c>
      <c r="F165" s="184"/>
      <c r="G165" s="65"/>
      <c r="H165" s="2"/>
      <c r="I165" s="2"/>
      <c r="J165" s="61"/>
      <c r="K165" s="62"/>
      <c r="L165" s="65"/>
      <c r="M165" s="2"/>
      <c r="N165" s="2"/>
      <c r="O165" s="61"/>
      <c r="P165" s="3"/>
      <c r="Q165" s="63"/>
      <c r="R165" s="36"/>
      <c r="S165" s="60"/>
      <c r="T165" s="64"/>
      <c r="U165" s="1"/>
      <c r="V165" s="1"/>
    </row>
    <row r="166" spans="1:22" ht="24.95" customHeight="1" x14ac:dyDescent="0.2">
      <c r="A166" s="1"/>
      <c r="B166" s="30">
        <v>24</v>
      </c>
      <c r="C166" s="30">
        <v>15957</v>
      </c>
      <c r="D166" s="49" t="s">
        <v>99</v>
      </c>
      <c r="E166" s="209" t="s">
        <v>0</v>
      </c>
      <c r="F166" s="184"/>
      <c r="G166" s="66"/>
      <c r="H166" s="67"/>
      <c r="I166" s="67"/>
      <c r="J166" s="68"/>
      <c r="K166" s="62"/>
      <c r="L166" s="66"/>
      <c r="M166" s="67"/>
      <c r="N166" s="67"/>
      <c r="O166" s="68"/>
      <c r="P166" s="40"/>
      <c r="Q166" s="69"/>
      <c r="R166" s="178"/>
      <c r="S166" s="90"/>
      <c r="T166" s="70"/>
      <c r="U166" s="1"/>
      <c r="V166" s="1"/>
    </row>
    <row r="167" spans="1:22" ht="24.95" customHeight="1" x14ac:dyDescent="0.2">
      <c r="A167" s="1"/>
      <c r="B167" s="30">
        <v>25</v>
      </c>
      <c r="C167" s="30">
        <v>15886</v>
      </c>
      <c r="D167" s="49" t="s">
        <v>64</v>
      </c>
      <c r="E167" s="209" t="s">
        <v>0</v>
      </c>
      <c r="F167" s="184"/>
      <c r="G167" s="66"/>
      <c r="H167" s="67"/>
      <c r="I167" s="67"/>
      <c r="J167" s="68"/>
      <c r="K167" s="62"/>
      <c r="L167" s="66"/>
      <c r="M167" s="67"/>
      <c r="N167" s="67"/>
      <c r="O167" s="68"/>
      <c r="P167" s="40"/>
      <c r="Q167" s="69"/>
      <c r="R167" s="178"/>
      <c r="S167" s="90"/>
      <c r="T167" s="70"/>
      <c r="U167" s="1"/>
      <c r="V167" s="1"/>
    </row>
    <row r="168" spans="1:22" ht="24.95" customHeight="1" x14ac:dyDescent="0.2">
      <c r="A168" s="1"/>
      <c r="B168" s="30">
        <v>26</v>
      </c>
      <c r="C168" s="30">
        <v>15852</v>
      </c>
      <c r="D168" s="49" t="s">
        <v>33</v>
      </c>
      <c r="E168" s="209" t="s">
        <v>0</v>
      </c>
      <c r="F168" s="184"/>
      <c r="G168" s="66"/>
      <c r="H168" s="67"/>
      <c r="I168" s="67"/>
      <c r="J168" s="68"/>
      <c r="K168" s="62"/>
      <c r="L168" s="66"/>
      <c r="M168" s="67"/>
      <c r="N168" s="67"/>
      <c r="O168" s="68"/>
      <c r="P168" s="40"/>
      <c r="Q168" s="69"/>
      <c r="R168" s="178"/>
      <c r="S168" s="90"/>
      <c r="T168" s="70"/>
      <c r="U168" s="1"/>
      <c r="V168" s="1"/>
    </row>
    <row r="169" spans="1:22" ht="24.95" customHeight="1" x14ac:dyDescent="0.2">
      <c r="A169" s="1"/>
      <c r="B169" s="30">
        <v>27</v>
      </c>
      <c r="C169" s="30">
        <v>15959</v>
      </c>
      <c r="D169" s="49" t="s">
        <v>242</v>
      </c>
      <c r="E169" s="209" t="s">
        <v>0</v>
      </c>
      <c r="F169" s="184"/>
      <c r="G169" s="66"/>
      <c r="H169" s="67"/>
      <c r="I169" s="67"/>
      <c r="J169" s="68"/>
      <c r="K169" s="62"/>
      <c r="L169" s="66"/>
      <c r="M169" s="67"/>
      <c r="N169" s="67"/>
      <c r="O169" s="68"/>
      <c r="P169" s="40"/>
      <c r="Q169" s="69"/>
      <c r="R169" s="178"/>
      <c r="S169" s="90"/>
      <c r="T169" s="70"/>
      <c r="U169" s="1"/>
      <c r="V169" s="1"/>
    </row>
    <row r="170" spans="1:22" ht="24.95" customHeight="1" x14ac:dyDescent="0.2">
      <c r="A170" s="1"/>
      <c r="B170" s="30">
        <v>28</v>
      </c>
      <c r="C170" s="30">
        <v>15888</v>
      </c>
      <c r="D170" s="49" t="s">
        <v>236</v>
      </c>
      <c r="E170" s="209" t="s">
        <v>0</v>
      </c>
      <c r="F170" s="184"/>
      <c r="G170" s="66"/>
      <c r="H170" s="67"/>
      <c r="I170" s="67"/>
      <c r="J170" s="68"/>
      <c r="K170" s="62"/>
      <c r="L170" s="66"/>
      <c r="M170" s="67"/>
      <c r="N170" s="67"/>
      <c r="O170" s="68"/>
      <c r="P170" s="40"/>
      <c r="Q170" s="69"/>
      <c r="R170" s="178"/>
      <c r="S170" s="90"/>
      <c r="T170" s="70"/>
      <c r="U170" s="1"/>
      <c r="V170" s="1"/>
    </row>
    <row r="171" spans="1:22" ht="24.95" customHeight="1" x14ac:dyDescent="0.2">
      <c r="A171" s="1"/>
      <c r="B171" s="30">
        <v>29</v>
      </c>
      <c r="C171" s="30">
        <v>15854</v>
      </c>
      <c r="D171" s="49" t="s">
        <v>26</v>
      </c>
      <c r="E171" s="209" t="s">
        <v>0</v>
      </c>
      <c r="F171" s="184"/>
      <c r="G171" s="66"/>
      <c r="H171" s="67"/>
      <c r="I171" s="67"/>
      <c r="J171" s="68"/>
      <c r="K171" s="62"/>
      <c r="L171" s="66"/>
      <c r="M171" s="67"/>
      <c r="N171" s="67"/>
      <c r="O171" s="68"/>
      <c r="P171" s="40"/>
      <c r="Q171" s="69"/>
      <c r="R171" s="178"/>
      <c r="S171" s="90"/>
      <c r="T171" s="70"/>
      <c r="U171" s="1"/>
      <c r="V171" s="1"/>
    </row>
    <row r="172" spans="1:22" ht="24.95" customHeight="1" x14ac:dyDescent="0.2">
      <c r="A172" s="1"/>
      <c r="B172" s="30">
        <v>30</v>
      </c>
      <c r="C172" s="30"/>
      <c r="D172" s="49"/>
      <c r="E172" s="209" t="s">
        <v>0</v>
      </c>
      <c r="F172" s="184"/>
      <c r="G172" s="66"/>
      <c r="H172" s="67"/>
      <c r="I172" s="67"/>
      <c r="J172" s="68"/>
      <c r="K172" s="62"/>
      <c r="L172" s="66"/>
      <c r="M172" s="67"/>
      <c r="N172" s="67"/>
      <c r="O172" s="68"/>
      <c r="P172" s="40"/>
      <c r="Q172" s="69"/>
      <c r="R172" s="178"/>
      <c r="S172" s="90"/>
      <c r="T172" s="70"/>
      <c r="U172" s="1"/>
      <c r="V172" s="1"/>
    </row>
    <row r="173" spans="1:22" ht="24.95" customHeight="1" x14ac:dyDescent="0.2">
      <c r="A173" s="1"/>
      <c r="B173" s="39">
        <v>31</v>
      </c>
      <c r="C173" s="30"/>
      <c r="D173" s="49"/>
      <c r="E173" s="209" t="s">
        <v>0</v>
      </c>
      <c r="F173" s="184"/>
      <c r="G173" s="66"/>
      <c r="H173" s="67"/>
      <c r="I173" s="67"/>
      <c r="J173" s="68"/>
      <c r="K173" s="71"/>
      <c r="L173" s="66"/>
      <c r="M173" s="67"/>
      <c r="N173" s="67"/>
      <c r="O173" s="68"/>
      <c r="P173" s="40"/>
      <c r="Q173" s="69"/>
      <c r="R173" s="178"/>
      <c r="S173" s="90"/>
      <c r="T173" s="70"/>
      <c r="U173" s="1"/>
      <c r="V173" s="1"/>
    </row>
    <row r="174" spans="1:22" ht="24.95" customHeight="1" x14ac:dyDescent="0.2">
      <c r="A174" s="1"/>
      <c r="B174" s="39">
        <f t="shared" ref="B174:B177" si="1">B173+1</f>
        <v>32</v>
      </c>
      <c r="C174" s="30"/>
      <c r="D174" s="49"/>
      <c r="E174" s="209"/>
      <c r="F174" s="184"/>
      <c r="G174" s="66"/>
      <c r="H174" s="67"/>
      <c r="I174" s="67"/>
      <c r="J174" s="68"/>
      <c r="K174" s="71"/>
      <c r="L174" s="66"/>
      <c r="M174" s="67"/>
      <c r="N174" s="67"/>
      <c r="O174" s="68"/>
      <c r="P174" s="40"/>
      <c r="Q174" s="69"/>
      <c r="R174" s="178"/>
      <c r="S174" s="90"/>
      <c r="T174" s="70"/>
      <c r="U174" s="1"/>
      <c r="V174" s="1"/>
    </row>
    <row r="175" spans="1:22" ht="24.95" customHeight="1" x14ac:dyDescent="0.2">
      <c r="A175" s="1"/>
      <c r="B175" s="39">
        <f t="shared" si="1"/>
        <v>33</v>
      </c>
      <c r="C175" s="30"/>
      <c r="D175" s="49"/>
      <c r="E175" s="209"/>
      <c r="F175" s="184"/>
      <c r="G175" s="66"/>
      <c r="H175" s="67"/>
      <c r="I175" s="67"/>
      <c r="J175" s="68"/>
      <c r="K175" s="71"/>
      <c r="L175" s="66"/>
      <c r="M175" s="67"/>
      <c r="N175" s="67"/>
      <c r="O175" s="68"/>
      <c r="P175" s="40"/>
      <c r="Q175" s="69"/>
      <c r="R175" s="178"/>
      <c r="S175" s="90"/>
      <c r="T175" s="70"/>
      <c r="U175" s="1"/>
      <c r="V175" s="1"/>
    </row>
    <row r="176" spans="1:22" ht="24.95" customHeight="1" x14ac:dyDescent="0.2">
      <c r="A176" s="1"/>
      <c r="B176" s="39">
        <f t="shared" si="1"/>
        <v>34</v>
      </c>
      <c r="C176" s="30"/>
      <c r="D176" s="49"/>
      <c r="E176" s="209"/>
      <c r="F176" s="184"/>
      <c r="G176" s="66"/>
      <c r="H176" s="67"/>
      <c r="I176" s="2"/>
      <c r="J176" s="61"/>
      <c r="K176" s="62"/>
      <c r="L176" s="65"/>
      <c r="M176" s="2"/>
      <c r="N176" s="2"/>
      <c r="O176" s="61"/>
      <c r="P176" s="3"/>
      <c r="Q176" s="63"/>
      <c r="R176" s="36"/>
      <c r="S176" s="60"/>
      <c r="T176" s="64"/>
      <c r="U176" s="1"/>
      <c r="V176" s="1"/>
    </row>
    <row r="177" spans="1:22" ht="24.95" customHeight="1" x14ac:dyDescent="0.2">
      <c r="A177" s="1"/>
      <c r="B177" s="39">
        <f t="shared" si="1"/>
        <v>35</v>
      </c>
      <c r="C177" s="30"/>
      <c r="D177" s="180" t="s">
        <v>248</v>
      </c>
      <c r="E177" s="209"/>
      <c r="F177" s="184"/>
      <c r="G177" s="66"/>
      <c r="H177" s="67"/>
      <c r="I177" s="2"/>
      <c r="J177" s="61"/>
      <c r="K177" s="62"/>
      <c r="L177" s="65"/>
      <c r="M177" s="2"/>
      <c r="N177" s="2"/>
      <c r="O177" s="61"/>
      <c r="P177" s="3"/>
      <c r="Q177" s="63"/>
      <c r="R177" s="36"/>
      <c r="S177" s="60"/>
      <c r="T177" s="64"/>
      <c r="U177" s="1"/>
      <c r="V177" s="1"/>
    </row>
    <row r="178" spans="1:22" ht="24.95" customHeight="1" thickBot="1" x14ac:dyDescent="0.25">
      <c r="A178" s="1"/>
      <c r="B178" s="53">
        <v>37</v>
      </c>
      <c r="C178" s="53"/>
      <c r="D178" s="213"/>
      <c r="E178" s="185"/>
      <c r="F178" s="185"/>
      <c r="G178" s="186"/>
      <c r="H178" s="187"/>
      <c r="I178" s="75"/>
      <c r="J178" s="76"/>
      <c r="K178" s="77"/>
      <c r="L178" s="74"/>
      <c r="M178" s="75"/>
      <c r="N178" s="75"/>
      <c r="O178" s="76"/>
      <c r="P178" s="75"/>
      <c r="Q178" s="78"/>
      <c r="R178" s="78"/>
      <c r="S178" s="78"/>
      <c r="T178" s="76"/>
      <c r="U178" s="1"/>
      <c r="V178" s="1"/>
    </row>
    <row r="179" spans="1:22" ht="18.95" customHeight="1" x14ac:dyDescent="0.2">
      <c r="A179" s="1"/>
      <c r="B179" s="37"/>
      <c r="C179" s="37"/>
      <c r="D179" s="1"/>
      <c r="E179" s="3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8.95" customHeight="1" thickBot="1" x14ac:dyDescent="0.25">
      <c r="V180" s="1"/>
    </row>
    <row r="181" spans="1:22" ht="18.95" customHeight="1" x14ac:dyDescent="0.2">
      <c r="A181" s="1"/>
      <c r="B181" s="255"/>
      <c r="C181" s="256"/>
      <c r="D181" s="259" t="s">
        <v>3</v>
      </c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1"/>
      <c r="U181" s="1"/>
      <c r="V181" s="1"/>
    </row>
    <row r="182" spans="1:22" ht="18.95" customHeight="1" x14ac:dyDescent="0.2">
      <c r="A182" s="1"/>
      <c r="B182" s="257"/>
      <c r="C182" s="258"/>
      <c r="D182" s="262" t="s">
        <v>4</v>
      </c>
      <c r="E182" s="263"/>
      <c r="F182" s="263"/>
      <c r="G182" s="263"/>
      <c r="H182" s="263"/>
      <c r="I182" s="263"/>
      <c r="J182" s="263"/>
      <c r="K182" s="263"/>
      <c r="L182" s="263"/>
      <c r="M182" s="263"/>
      <c r="N182" s="263"/>
      <c r="O182" s="263"/>
      <c r="P182" s="263"/>
      <c r="Q182" s="263"/>
      <c r="R182" s="263"/>
      <c r="S182" s="263"/>
      <c r="T182" s="264"/>
      <c r="U182" s="1"/>
      <c r="V182" s="1"/>
    </row>
    <row r="183" spans="1:22" ht="18.95" customHeight="1" thickBot="1" x14ac:dyDescent="0.25">
      <c r="A183" s="1"/>
      <c r="B183" s="257"/>
      <c r="C183" s="258"/>
      <c r="D183" s="265" t="s">
        <v>547</v>
      </c>
      <c r="E183" s="266"/>
      <c r="F183" s="266"/>
      <c r="G183" s="266"/>
      <c r="H183" s="266"/>
      <c r="I183" s="266"/>
      <c r="J183" s="266"/>
      <c r="K183" s="266"/>
      <c r="L183" s="266"/>
      <c r="M183" s="266"/>
      <c r="N183" s="266"/>
      <c r="O183" s="266"/>
      <c r="P183" s="266"/>
      <c r="Q183" s="266"/>
      <c r="R183" s="266"/>
      <c r="S183" s="266"/>
      <c r="T183" s="267"/>
      <c r="U183" s="1"/>
      <c r="V183" s="1"/>
    </row>
    <row r="184" spans="1:22" ht="18.95" customHeight="1" thickBot="1" x14ac:dyDescent="0.25">
      <c r="A184" s="1"/>
      <c r="B184" s="270"/>
      <c r="C184" s="270"/>
      <c r="D184" s="54" t="s">
        <v>253</v>
      </c>
      <c r="E184" s="29"/>
      <c r="F184" s="54" t="s">
        <v>2</v>
      </c>
      <c r="G184" s="54"/>
      <c r="H184" s="54"/>
      <c r="I184" s="105"/>
      <c r="J184" s="301" t="s">
        <v>523</v>
      </c>
      <c r="K184" s="301"/>
      <c r="L184" s="301"/>
      <c r="M184" s="301"/>
      <c r="N184" s="301"/>
      <c r="O184" s="301"/>
      <c r="P184" s="301"/>
      <c r="Q184" s="301"/>
      <c r="R184" s="301"/>
      <c r="S184" s="301"/>
      <c r="T184" s="302"/>
      <c r="U184" s="1"/>
      <c r="V184" s="1"/>
    </row>
    <row r="185" spans="1:22" ht="18.95" customHeight="1" thickBot="1" x14ac:dyDescent="0.25">
      <c r="A185" s="1"/>
      <c r="B185" s="270" t="s">
        <v>6</v>
      </c>
      <c r="C185" s="270"/>
      <c r="D185" s="270" t="s">
        <v>7</v>
      </c>
      <c r="E185" s="273" t="s">
        <v>12</v>
      </c>
      <c r="F185" s="270"/>
      <c r="G185" s="270"/>
      <c r="H185" s="270"/>
      <c r="I185" s="270"/>
      <c r="J185" s="270"/>
      <c r="K185" s="270"/>
      <c r="L185" s="270"/>
      <c r="M185" s="270"/>
      <c r="N185" s="270"/>
      <c r="O185" s="270"/>
      <c r="P185" s="270"/>
      <c r="Q185" s="270"/>
      <c r="R185" s="270"/>
      <c r="S185" s="270"/>
      <c r="T185" s="270"/>
      <c r="U185" s="1"/>
      <c r="V185" s="1"/>
    </row>
    <row r="186" spans="1:22" ht="18.95" customHeight="1" thickBot="1" x14ac:dyDescent="0.25">
      <c r="A186" s="1"/>
      <c r="B186" s="29" t="s">
        <v>10</v>
      </c>
      <c r="C186" s="29" t="s">
        <v>9</v>
      </c>
      <c r="D186" s="270"/>
      <c r="E186" s="274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1"/>
      <c r="V186" s="1"/>
    </row>
    <row r="187" spans="1:22" ht="24.95" customHeight="1" x14ac:dyDescent="0.2">
      <c r="A187" s="1"/>
      <c r="B187" s="85">
        <v>1</v>
      </c>
      <c r="C187" s="32">
        <v>16020</v>
      </c>
      <c r="D187" s="165" t="s">
        <v>179</v>
      </c>
      <c r="E187" s="31" t="s">
        <v>1</v>
      </c>
      <c r="F187" s="57"/>
      <c r="G187" s="55"/>
      <c r="H187" s="5"/>
      <c r="I187" s="5"/>
      <c r="J187" s="56"/>
      <c r="K187" s="57"/>
      <c r="L187" s="55"/>
      <c r="M187" s="5"/>
      <c r="N187" s="5"/>
      <c r="O187" s="56"/>
      <c r="P187" s="4"/>
      <c r="Q187" s="58"/>
      <c r="R187" s="93"/>
      <c r="S187" s="55"/>
      <c r="T187" s="59"/>
      <c r="U187" s="1"/>
      <c r="V187" s="1"/>
    </row>
    <row r="188" spans="1:22" ht="24.95" customHeight="1" x14ac:dyDescent="0.2">
      <c r="A188" s="1"/>
      <c r="B188" s="39">
        <f t="shared" ref="B188:B222" si="2">B187+1</f>
        <v>2</v>
      </c>
      <c r="C188" s="30">
        <v>16046</v>
      </c>
      <c r="D188" s="44" t="s">
        <v>197</v>
      </c>
      <c r="E188" s="30" t="s">
        <v>1</v>
      </c>
      <c r="F188" s="62"/>
      <c r="G188" s="60"/>
      <c r="H188" s="2"/>
      <c r="I188" s="2"/>
      <c r="J188" s="61"/>
      <c r="K188" s="62"/>
      <c r="L188" s="60"/>
      <c r="M188" s="2"/>
      <c r="N188" s="2"/>
      <c r="O188" s="61"/>
      <c r="P188" s="3"/>
      <c r="Q188" s="63"/>
      <c r="R188" s="36"/>
      <c r="S188" s="60"/>
      <c r="T188" s="64"/>
      <c r="U188" s="1"/>
      <c r="V188" s="1"/>
    </row>
    <row r="189" spans="1:22" ht="24.95" customHeight="1" x14ac:dyDescent="0.2">
      <c r="A189" s="1"/>
      <c r="B189" s="39">
        <f t="shared" si="2"/>
        <v>3</v>
      </c>
      <c r="C189" s="30">
        <v>16021</v>
      </c>
      <c r="D189" s="44" t="s">
        <v>163</v>
      </c>
      <c r="E189" s="30" t="s">
        <v>1</v>
      </c>
      <c r="F189" s="62"/>
      <c r="G189" s="60"/>
      <c r="H189" s="2"/>
      <c r="I189" s="2"/>
      <c r="J189" s="61"/>
      <c r="K189" s="62"/>
      <c r="L189" s="60"/>
      <c r="M189" s="2"/>
      <c r="N189" s="2"/>
      <c r="O189" s="61"/>
      <c r="P189" s="3"/>
      <c r="Q189" s="63"/>
      <c r="R189" s="36"/>
      <c r="S189" s="60"/>
      <c r="T189" s="64"/>
      <c r="U189" s="1"/>
      <c r="V189" s="1"/>
    </row>
    <row r="190" spans="1:22" ht="24.95" customHeight="1" x14ac:dyDescent="0.2">
      <c r="A190" s="1"/>
      <c r="B190" s="39">
        <f t="shared" si="2"/>
        <v>4</v>
      </c>
      <c r="C190" s="30">
        <v>15962</v>
      </c>
      <c r="D190" s="44" t="s">
        <v>121</v>
      </c>
      <c r="E190" s="30" t="s">
        <v>1</v>
      </c>
      <c r="F190" s="62"/>
      <c r="G190" s="60"/>
      <c r="H190" s="2"/>
      <c r="I190" s="2"/>
      <c r="J190" s="61"/>
      <c r="K190" s="62"/>
      <c r="L190" s="60"/>
      <c r="M190" s="2"/>
      <c r="N190" s="2"/>
      <c r="O190" s="61"/>
      <c r="P190" s="3"/>
      <c r="Q190" s="63"/>
      <c r="R190" s="36"/>
      <c r="S190" s="60"/>
      <c r="T190" s="64"/>
      <c r="U190" s="1"/>
      <c r="V190" s="1"/>
    </row>
    <row r="191" spans="1:22" ht="24.95" customHeight="1" x14ac:dyDescent="0.2">
      <c r="A191" s="1"/>
      <c r="B191" s="39">
        <f t="shared" si="2"/>
        <v>5</v>
      </c>
      <c r="C191" s="30">
        <v>16024</v>
      </c>
      <c r="D191" s="44" t="s">
        <v>166</v>
      </c>
      <c r="E191" s="30" t="s">
        <v>1</v>
      </c>
      <c r="F191" s="62"/>
      <c r="G191" s="60"/>
      <c r="H191" s="2"/>
      <c r="I191" s="2"/>
      <c r="J191" s="61"/>
      <c r="K191" s="62"/>
      <c r="L191" s="60"/>
      <c r="M191" s="2"/>
      <c r="N191" s="2"/>
      <c r="O191" s="61"/>
      <c r="P191" s="3"/>
      <c r="Q191" s="63"/>
      <c r="R191" s="36"/>
      <c r="S191" s="60"/>
      <c r="T191" s="64"/>
      <c r="U191" s="1"/>
      <c r="V191" s="1"/>
    </row>
    <row r="192" spans="1:22" ht="24.95" customHeight="1" x14ac:dyDescent="0.2">
      <c r="A192" s="1"/>
      <c r="B192" s="39">
        <f t="shared" si="2"/>
        <v>6</v>
      </c>
      <c r="C192" s="30">
        <v>16025</v>
      </c>
      <c r="D192" s="44" t="s">
        <v>169</v>
      </c>
      <c r="E192" s="30" t="s">
        <v>1</v>
      </c>
      <c r="F192" s="62"/>
      <c r="G192" s="60"/>
      <c r="H192" s="2"/>
      <c r="I192" s="2"/>
      <c r="J192" s="61"/>
      <c r="K192" s="62"/>
      <c r="L192" s="60"/>
      <c r="M192" s="2"/>
      <c r="N192" s="2"/>
      <c r="O192" s="61"/>
      <c r="P192" s="3"/>
      <c r="Q192" s="63"/>
      <c r="R192" s="36"/>
      <c r="S192" s="60"/>
      <c r="T192" s="64"/>
      <c r="U192" s="1"/>
      <c r="V192" s="1"/>
    </row>
    <row r="193" spans="1:22" ht="24.95" customHeight="1" x14ac:dyDescent="0.2">
      <c r="A193" s="1"/>
      <c r="B193" s="39">
        <f t="shared" si="2"/>
        <v>7</v>
      </c>
      <c r="C193" s="30">
        <v>16026</v>
      </c>
      <c r="D193" s="44" t="s">
        <v>167</v>
      </c>
      <c r="E193" s="30" t="s">
        <v>1</v>
      </c>
      <c r="F193" s="62"/>
      <c r="G193" s="60"/>
      <c r="H193" s="2"/>
      <c r="I193" s="2"/>
      <c r="J193" s="61"/>
      <c r="K193" s="62"/>
      <c r="L193" s="60"/>
      <c r="M193" s="2"/>
      <c r="N193" s="2"/>
      <c r="O193" s="61"/>
      <c r="P193" s="3"/>
      <c r="Q193" s="63"/>
      <c r="R193" s="36"/>
      <c r="S193" s="60"/>
      <c r="T193" s="64"/>
      <c r="U193" s="1"/>
      <c r="V193" s="1"/>
    </row>
    <row r="194" spans="1:22" ht="24.95" customHeight="1" x14ac:dyDescent="0.2">
      <c r="A194" s="1"/>
      <c r="B194" s="39">
        <f t="shared" si="2"/>
        <v>8</v>
      </c>
      <c r="C194" s="30">
        <v>15964</v>
      </c>
      <c r="D194" s="44" t="s">
        <v>125</v>
      </c>
      <c r="E194" s="30" t="s">
        <v>1</v>
      </c>
      <c r="F194" s="62"/>
      <c r="G194" s="60"/>
      <c r="H194" s="2"/>
      <c r="I194" s="2"/>
      <c r="J194" s="61"/>
      <c r="K194" s="62"/>
      <c r="L194" s="60"/>
      <c r="M194" s="2"/>
      <c r="N194" s="2"/>
      <c r="O194" s="61"/>
      <c r="P194" s="3"/>
      <c r="Q194" s="63"/>
      <c r="R194" s="36"/>
      <c r="S194" s="60"/>
      <c r="T194" s="64"/>
      <c r="U194" s="1"/>
      <c r="V194" s="1"/>
    </row>
    <row r="195" spans="1:22" ht="24.95" customHeight="1" x14ac:dyDescent="0.2">
      <c r="A195" s="1"/>
      <c r="B195" s="39">
        <f t="shared" si="2"/>
        <v>9</v>
      </c>
      <c r="C195" s="30">
        <v>15965</v>
      </c>
      <c r="D195" s="44" t="s">
        <v>114</v>
      </c>
      <c r="E195" s="30" t="s">
        <v>1</v>
      </c>
      <c r="F195" s="62"/>
      <c r="G195" s="60"/>
      <c r="H195" s="2"/>
      <c r="I195" s="2"/>
      <c r="J195" s="61"/>
      <c r="K195" s="62"/>
      <c r="L195" s="60"/>
      <c r="M195" s="2"/>
      <c r="N195" s="2"/>
      <c r="O195" s="61"/>
      <c r="P195" s="3"/>
      <c r="Q195" s="63"/>
      <c r="R195" s="36"/>
      <c r="S195" s="60"/>
      <c r="T195" s="64"/>
      <c r="U195" s="1"/>
      <c r="V195" s="1"/>
    </row>
    <row r="196" spans="1:22" ht="24.95" customHeight="1" x14ac:dyDescent="0.2">
      <c r="A196" s="1"/>
      <c r="B196" s="39">
        <f t="shared" si="2"/>
        <v>10</v>
      </c>
      <c r="C196" s="30">
        <v>16029</v>
      </c>
      <c r="D196" s="44" t="s">
        <v>165</v>
      </c>
      <c r="E196" s="30" t="s">
        <v>1</v>
      </c>
      <c r="F196" s="62"/>
      <c r="G196" s="60"/>
      <c r="H196" s="2"/>
      <c r="I196" s="2"/>
      <c r="J196" s="61"/>
      <c r="K196" s="62"/>
      <c r="L196" s="60"/>
      <c r="M196" s="2"/>
      <c r="N196" s="2"/>
      <c r="O196" s="61"/>
      <c r="P196" s="3"/>
      <c r="Q196" s="63"/>
      <c r="R196" s="36"/>
      <c r="S196" s="60"/>
      <c r="T196" s="64"/>
      <c r="U196" s="1"/>
      <c r="V196" s="1"/>
    </row>
    <row r="197" spans="1:22" ht="24.95" customHeight="1" x14ac:dyDescent="0.2">
      <c r="A197" s="1"/>
      <c r="B197" s="39">
        <f t="shared" si="2"/>
        <v>11</v>
      </c>
      <c r="C197" s="30">
        <v>16031</v>
      </c>
      <c r="D197" s="44" t="s">
        <v>168</v>
      </c>
      <c r="E197" s="30" t="s">
        <v>1</v>
      </c>
      <c r="F197" s="62"/>
      <c r="G197" s="60"/>
      <c r="H197" s="2"/>
      <c r="I197" s="2"/>
      <c r="J197" s="61"/>
      <c r="K197" s="62"/>
      <c r="L197" s="60"/>
      <c r="M197" s="2"/>
      <c r="N197" s="2"/>
      <c r="O197" s="61"/>
      <c r="P197" s="3"/>
      <c r="Q197" s="63"/>
      <c r="R197" s="36"/>
      <c r="S197" s="60"/>
      <c r="T197" s="64"/>
      <c r="U197" s="1"/>
      <c r="V197" s="1"/>
    </row>
    <row r="198" spans="1:22" ht="24.95" customHeight="1" x14ac:dyDescent="0.2">
      <c r="A198" s="1"/>
      <c r="B198" s="39">
        <f t="shared" si="2"/>
        <v>12</v>
      </c>
      <c r="C198" s="30">
        <v>15967</v>
      </c>
      <c r="D198" s="44" t="s">
        <v>116</v>
      </c>
      <c r="E198" s="30" t="s">
        <v>1</v>
      </c>
      <c r="F198" s="62"/>
      <c r="G198" s="60"/>
      <c r="H198" s="2"/>
      <c r="I198" s="2"/>
      <c r="J198" s="61"/>
      <c r="K198" s="62"/>
      <c r="L198" s="60"/>
      <c r="M198" s="2"/>
      <c r="N198" s="2"/>
      <c r="O198" s="61"/>
      <c r="P198" s="3"/>
      <c r="Q198" s="63"/>
      <c r="R198" s="93"/>
      <c r="S198" s="55"/>
      <c r="T198" s="64"/>
      <c r="U198" s="1"/>
      <c r="V198" s="1"/>
    </row>
    <row r="199" spans="1:22" ht="24.95" customHeight="1" x14ac:dyDescent="0.2">
      <c r="A199" s="1"/>
      <c r="B199" s="39">
        <f t="shared" si="2"/>
        <v>13</v>
      </c>
      <c r="C199" s="30">
        <v>16050</v>
      </c>
      <c r="D199" s="44" t="s">
        <v>192</v>
      </c>
      <c r="E199" s="30" t="s">
        <v>1</v>
      </c>
      <c r="F199" s="62"/>
      <c r="G199" s="60"/>
      <c r="H199" s="2"/>
      <c r="I199" s="2"/>
      <c r="J199" s="61"/>
      <c r="K199" s="62"/>
      <c r="L199" s="60"/>
      <c r="M199" s="2"/>
      <c r="N199" s="2"/>
      <c r="O199" s="61"/>
      <c r="P199" s="3"/>
      <c r="Q199" s="63"/>
      <c r="R199" s="36"/>
      <c r="S199" s="60"/>
      <c r="T199" s="64"/>
      <c r="U199" s="1"/>
      <c r="V199" s="1"/>
    </row>
    <row r="200" spans="1:22" ht="24.95" customHeight="1" x14ac:dyDescent="0.2">
      <c r="A200" s="1"/>
      <c r="B200" s="39">
        <f t="shared" si="2"/>
        <v>14</v>
      </c>
      <c r="C200" s="30">
        <v>16051</v>
      </c>
      <c r="D200" s="44" t="s">
        <v>194</v>
      </c>
      <c r="E200" s="30" t="s">
        <v>1</v>
      </c>
      <c r="F200" s="62"/>
      <c r="G200" s="60"/>
      <c r="H200" s="2"/>
      <c r="I200" s="2"/>
      <c r="J200" s="61"/>
      <c r="K200" s="62"/>
      <c r="L200" s="60"/>
      <c r="M200" s="2"/>
      <c r="N200" s="2"/>
      <c r="O200" s="61"/>
      <c r="P200" s="3"/>
      <c r="Q200" s="63"/>
      <c r="R200" s="36"/>
      <c r="S200" s="60"/>
      <c r="T200" s="64"/>
      <c r="U200" s="1"/>
      <c r="V200" s="1"/>
    </row>
    <row r="201" spans="1:22" ht="24.95" customHeight="1" x14ac:dyDescent="0.2">
      <c r="A201" s="1"/>
      <c r="B201" s="39">
        <f t="shared" si="2"/>
        <v>15</v>
      </c>
      <c r="C201" s="30">
        <v>15995</v>
      </c>
      <c r="D201" s="44" t="s">
        <v>244</v>
      </c>
      <c r="E201" s="30" t="s">
        <v>1</v>
      </c>
      <c r="F201" s="62"/>
      <c r="G201" s="60"/>
      <c r="H201" s="2"/>
      <c r="I201" s="2"/>
      <c r="J201" s="61"/>
      <c r="K201" s="62"/>
      <c r="L201" s="60"/>
      <c r="M201" s="2"/>
      <c r="N201" s="2"/>
      <c r="O201" s="61"/>
      <c r="P201" s="3"/>
      <c r="Q201" s="63"/>
      <c r="R201" s="36"/>
      <c r="S201" s="60"/>
      <c r="T201" s="64"/>
      <c r="U201" s="1"/>
      <c r="V201" s="1"/>
    </row>
    <row r="202" spans="1:22" ht="24.95" customHeight="1" x14ac:dyDescent="0.2">
      <c r="A202" s="1"/>
      <c r="B202" s="39">
        <f t="shared" si="2"/>
        <v>16</v>
      </c>
      <c r="C202" s="30">
        <v>16052</v>
      </c>
      <c r="D202" s="220" t="s">
        <v>200</v>
      </c>
      <c r="E202" s="30" t="s">
        <v>1</v>
      </c>
      <c r="F202" s="62"/>
      <c r="G202" s="60"/>
      <c r="H202" s="2"/>
      <c r="I202" s="2"/>
      <c r="J202" s="61"/>
      <c r="K202" s="62"/>
      <c r="L202" s="60"/>
      <c r="M202" s="2"/>
      <c r="N202" s="2"/>
      <c r="O202" s="61"/>
      <c r="P202" s="3"/>
      <c r="Q202" s="63"/>
      <c r="R202" s="36"/>
      <c r="S202" s="60"/>
      <c r="T202" s="64"/>
      <c r="U202" s="1"/>
      <c r="V202" s="1"/>
    </row>
    <row r="203" spans="1:22" ht="24.95" customHeight="1" x14ac:dyDescent="0.2">
      <c r="A203" s="1"/>
      <c r="B203" s="39">
        <f t="shared" si="2"/>
        <v>17</v>
      </c>
      <c r="C203" s="30">
        <v>15998</v>
      </c>
      <c r="D203" s="44" t="s">
        <v>152</v>
      </c>
      <c r="E203" s="30" t="s">
        <v>1</v>
      </c>
      <c r="F203" s="62"/>
      <c r="G203" s="60"/>
      <c r="H203" s="2"/>
      <c r="I203" s="2"/>
      <c r="J203" s="61"/>
      <c r="K203" s="62"/>
      <c r="L203" s="60"/>
      <c r="M203" s="2"/>
      <c r="N203" s="2"/>
      <c r="O203" s="61"/>
      <c r="P203" s="3"/>
      <c r="Q203" s="63"/>
      <c r="R203" s="36"/>
      <c r="S203" s="60"/>
      <c r="T203" s="64"/>
      <c r="U203" s="1"/>
      <c r="V203" s="1"/>
    </row>
    <row r="204" spans="1:22" ht="24.95" customHeight="1" x14ac:dyDescent="0.2">
      <c r="A204" s="1"/>
      <c r="B204" s="39">
        <f t="shared" si="2"/>
        <v>18</v>
      </c>
      <c r="C204" s="30">
        <v>16055</v>
      </c>
      <c r="D204" s="44" t="s">
        <v>193</v>
      </c>
      <c r="E204" s="30" t="s">
        <v>1</v>
      </c>
      <c r="F204" s="62"/>
      <c r="G204" s="60"/>
      <c r="H204" s="2"/>
      <c r="I204" s="2"/>
      <c r="J204" s="61"/>
      <c r="K204" s="62"/>
      <c r="L204" s="60"/>
      <c r="M204" s="2"/>
      <c r="N204" s="2"/>
      <c r="O204" s="61"/>
      <c r="P204" s="3"/>
      <c r="Q204" s="63"/>
      <c r="R204" s="36"/>
      <c r="S204" s="60"/>
      <c r="T204" s="64"/>
      <c r="U204" s="1"/>
      <c r="V204" s="1"/>
    </row>
    <row r="205" spans="1:22" ht="24.95" customHeight="1" x14ac:dyDescent="0.2">
      <c r="A205" s="1"/>
      <c r="B205" s="39">
        <f t="shared" si="2"/>
        <v>19</v>
      </c>
      <c r="C205" s="30">
        <v>16057</v>
      </c>
      <c r="D205" s="44" t="s">
        <v>199</v>
      </c>
      <c r="E205" s="30" t="s">
        <v>1</v>
      </c>
      <c r="F205" s="62"/>
      <c r="G205" s="65"/>
      <c r="H205" s="2"/>
      <c r="I205" s="2"/>
      <c r="J205" s="61"/>
      <c r="K205" s="62"/>
      <c r="L205" s="65"/>
      <c r="M205" s="2"/>
      <c r="N205" s="2"/>
      <c r="O205" s="61"/>
      <c r="P205" s="3"/>
      <c r="Q205" s="63"/>
      <c r="R205" s="93"/>
      <c r="S205" s="55"/>
      <c r="T205" s="64"/>
      <c r="U205" s="1"/>
      <c r="V205" s="1"/>
    </row>
    <row r="206" spans="1:22" ht="24.95" customHeight="1" x14ac:dyDescent="0.2">
      <c r="A206" s="1"/>
      <c r="B206" s="39">
        <f t="shared" si="2"/>
        <v>20</v>
      </c>
      <c r="C206" s="30">
        <v>16061</v>
      </c>
      <c r="D206" s="44" t="s">
        <v>190</v>
      </c>
      <c r="E206" s="30" t="s">
        <v>1</v>
      </c>
      <c r="F206" s="62"/>
      <c r="G206" s="65"/>
      <c r="H206" s="2"/>
      <c r="I206" s="2"/>
      <c r="J206" s="61"/>
      <c r="K206" s="62"/>
      <c r="L206" s="65"/>
      <c r="M206" s="2"/>
      <c r="N206" s="2"/>
      <c r="O206" s="61"/>
      <c r="P206" s="3"/>
      <c r="Q206" s="63"/>
      <c r="R206" s="93"/>
      <c r="S206" s="55"/>
      <c r="T206" s="64"/>
      <c r="U206" s="1"/>
      <c r="V206" s="1"/>
    </row>
    <row r="207" spans="1:22" ht="24.95" customHeight="1" x14ac:dyDescent="0.2">
      <c r="A207" s="1"/>
      <c r="B207" s="39">
        <f t="shared" si="2"/>
        <v>21</v>
      </c>
      <c r="C207" s="30">
        <v>15972</v>
      </c>
      <c r="D207" s="44" t="s">
        <v>128</v>
      </c>
      <c r="E207" s="30" t="s">
        <v>1</v>
      </c>
      <c r="F207" s="62"/>
      <c r="G207" s="65"/>
      <c r="H207" s="2"/>
      <c r="I207" s="2"/>
      <c r="J207" s="61"/>
      <c r="K207" s="62"/>
      <c r="L207" s="65"/>
      <c r="M207" s="2"/>
      <c r="N207" s="2"/>
      <c r="O207" s="61"/>
      <c r="P207" s="3"/>
      <c r="Q207" s="63"/>
      <c r="R207" s="36"/>
      <c r="S207" s="60"/>
      <c r="T207" s="64"/>
      <c r="U207" s="1"/>
      <c r="V207" s="1"/>
    </row>
    <row r="208" spans="1:22" ht="24.95" customHeight="1" x14ac:dyDescent="0.2">
      <c r="A208" s="1"/>
      <c r="B208" s="39">
        <f t="shared" si="2"/>
        <v>22</v>
      </c>
      <c r="C208" s="30">
        <v>16004</v>
      </c>
      <c r="D208" s="44" t="s">
        <v>134</v>
      </c>
      <c r="E208" s="30" t="s">
        <v>1</v>
      </c>
      <c r="F208" s="62"/>
      <c r="G208" s="65"/>
      <c r="H208" s="2"/>
      <c r="I208" s="2"/>
      <c r="J208" s="61"/>
      <c r="K208" s="62"/>
      <c r="L208" s="65"/>
      <c r="M208" s="2"/>
      <c r="N208" s="2"/>
      <c r="O208" s="61"/>
      <c r="P208" s="3"/>
      <c r="Q208" s="63"/>
      <c r="R208" s="36"/>
      <c r="S208" s="60"/>
      <c r="T208" s="64"/>
      <c r="U208" s="1"/>
      <c r="V208" s="1"/>
    </row>
    <row r="209" spans="1:31" ht="24.95" customHeight="1" x14ac:dyDescent="0.2">
      <c r="A209" s="1"/>
      <c r="B209" s="39">
        <f t="shared" si="2"/>
        <v>23</v>
      </c>
      <c r="C209" s="30">
        <v>16064</v>
      </c>
      <c r="D209" s="44" t="s">
        <v>202</v>
      </c>
      <c r="E209" s="30" t="s">
        <v>1</v>
      </c>
      <c r="F209" s="62"/>
      <c r="G209" s="66"/>
      <c r="H209" s="67"/>
      <c r="I209" s="67"/>
      <c r="J209" s="68"/>
      <c r="K209" s="62"/>
      <c r="L209" s="66"/>
      <c r="M209" s="67"/>
      <c r="N209" s="67"/>
      <c r="O209" s="68"/>
      <c r="P209" s="40"/>
      <c r="Q209" s="69"/>
      <c r="R209" s="178"/>
      <c r="S209" s="90"/>
      <c r="T209" s="70"/>
      <c r="U209" s="1"/>
      <c r="V209" s="1"/>
      <c r="AE209" s="50" t="s">
        <v>16</v>
      </c>
    </row>
    <row r="210" spans="1:31" ht="24.95" customHeight="1" x14ac:dyDescent="0.2">
      <c r="A210" s="1"/>
      <c r="B210" s="39">
        <f t="shared" si="2"/>
        <v>24</v>
      </c>
      <c r="C210" s="30">
        <v>15977</v>
      </c>
      <c r="D210" s="44" t="s">
        <v>123</v>
      </c>
      <c r="E210" s="30" t="s">
        <v>1</v>
      </c>
      <c r="F210" s="62"/>
      <c r="G210" s="66"/>
      <c r="H210" s="67"/>
      <c r="I210" s="67"/>
      <c r="J210" s="68"/>
      <c r="K210" s="62"/>
      <c r="L210" s="66"/>
      <c r="M210" s="67"/>
      <c r="N210" s="67"/>
      <c r="O210" s="68"/>
      <c r="P210" s="40"/>
      <c r="Q210" s="69"/>
      <c r="R210" s="178"/>
      <c r="S210" s="90"/>
      <c r="T210" s="70"/>
      <c r="U210" s="1"/>
      <c r="V210" s="1"/>
    </row>
    <row r="211" spans="1:31" ht="24.95" customHeight="1" x14ac:dyDescent="0.2">
      <c r="A211" s="1"/>
      <c r="B211" s="39">
        <f t="shared" si="2"/>
        <v>25</v>
      </c>
      <c r="C211" s="30">
        <v>16038</v>
      </c>
      <c r="D211" s="44" t="s">
        <v>174</v>
      </c>
      <c r="E211" s="30" t="s">
        <v>1</v>
      </c>
      <c r="F211" s="62"/>
      <c r="G211" s="66"/>
      <c r="H211" s="67"/>
      <c r="I211" s="67"/>
      <c r="J211" s="68"/>
      <c r="K211" s="62"/>
      <c r="L211" s="66"/>
      <c r="M211" s="67"/>
      <c r="N211" s="67"/>
      <c r="O211" s="68"/>
      <c r="P211" s="40"/>
      <c r="Q211" s="69"/>
      <c r="R211" s="178"/>
      <c r="S211" s="90"/>
      <c r="T211" s="70"/>
      <c r="U211" s="1"/>
      <c r="V211" s="1"/>
    </row>
    <row r="212" spans="1:31" ht="24.95" customHeight="1" x14ac:dyDescent="0.2">
      <c r="A212" s="1"/>
      <c r="B212" s="39">
        <f t="shared" si="2"/>
        <v>26</v>
      </c>
      <c r="C212" s="30">
        <v>15979</v>
      </c>
      <c r="D212" s="44" t="s">
        <v>119</v>
      </c>
      <c r="E212" s="30" t="s">
        <v>1</v>
      </c>
      <c r="F212" s="62"/>
      <c r="G212" s="66"/>
      <c r="H212" s="67"/>
      <c r="I212" s="67"/>
      <c r="J212" s="68"/>
      <c r="K212" s="62"/>
      <c r="L212" s="66"/>
      <c r="M212" s="67"/>
      <c r="N212" s="67"/>
      <c r="O212" s="68"/>
      <c r="P212" s="40"/>
      <c r="Q212" s="69"/>
      <c r="R212" s="178"/>
      <c r="S212" s="90"/>
      <c r="T212" s="70"/>
      <c r="U212" s="1"/>
      <c r="V212" s="1"/>
    </row>
    <row r="213" spans="1:31" ht="24.95" customHeight="1" x14ac:dyDescent="0.2">
      <c r="A213" s="1"/>
      <c r="B213" s="39">
        <f t="shared" si="2"/>
        <v>27</v>
      </c>
      <c r="C213" s="30">
        <v>16039</v>
      </c>
      <c r="D213" s="44" t="s">
        <v>171</v>
      </c>
      <c r="E213" s="30" t="s">
        <v>1</v>
      </c>
      <c r="F213" s="62"/>
      <c r="G213" s="66"/>
      <c r="H213" s="67"/>
      <c r="I213" s="67"/>
      <c r="J213" s="68"/>
      <c r="K213" s="62"/>
      <c r="L213" s="66"/>
      <c r="M213" s="67"/>
      <c r="N213" s="67"/>
      <c r="O213" s="68"/>
      <c r="P213" s="40"/>
      <c r="Q213" s="69"/>
      <c r="R213" s="178"/>
      <c r="S213" s="90"/>
      <c r="T213" s="70"/>
      <c r="U213" s="1"/>
      <c r="V213" s="1"/>
    </row>
    <row r="214" spans="1:31" ht="24.95" customHeight="1" x14ac:dyDescent="0.2">
      <c r="A214" s="1"/>
      <c r="B214" s="39">
        <f t="shared" si="2"/>
        <v>28</v>
      </c>
      <c r="C214" s="30">
        <v>16009</v>
      </c>
      <c r="D214" s="44" t="s">
        <v>137</v>
      </c>
      <c r="E214" s="30" t="s">
        <v>1</v>
      </c>
      <c r="F214" s="62"/>
      <c r="G214" s="66"/>
      <c r="H214" s="67"/>
      <c r="I214" s="67"/>
      <c r="J214" s="68"/>
      <c r="K214" s="62"/>
      <c r="L214" s="66"/>
      <c r="M214" s="67"/>
      <c r="N214" s="67"/>
      <c r="O214" s="68"/>
      <c r="P214" s="40"/>
      <c r="Q214" s="69"/>
      <c r="R214" s="178"/>
      <c r="S214" s="90"/>
      <c r="T214" s="70"/>
      <c r="U214" s="1"/>
      <c r="V214" s="1"/>
    </row>
    <row r="215" spans="1:31" ht="24.95" customHeight="1" x14ac:dyDescent="0.2">
      <c r="A215" s="1"/>
      <c r="B215" s="39">
        <f t="shared" si="2"/>
        <v>29</v>
      </c>
      <c r="C215" s="30">
        <v>16010</v>
      </c>
      <c r="D215" s="44" t="s">
        <v>542</v>
      </c>
      <c r="E215" s="30" t="s">
        <v>1</v>
      </c>
      <c r="F215" s="62"/>
      <c r="G215" s="66"/>
      <c r="H215" s="67"/>
      <c r="I215" s="67"/>
      <c r="J215" s="68"/>
      <c r="K215" s="62"/>
      <c r="L215" s="66"/>
      <c r="M215" s="67"/>
      <c r="N215" s="67"/>
      <c r="O215" s="68"/>
      <c r="P215" s="40"/>
      <c r="Q215" s="69"/>
      <c r="R215" s="178"/>
      <c r="S215" s="90"/>
      <c r="T215" s="70"/>
      <c r="U215" s="1"/>
      <c r="V215" s="1"/>
    </row>
    <row r="216" spans="1:31" ht="24.95" customHeight="1" x14ac:dyDescent="0.2">
      <c r="A216" s="1"/>
      <c r="B216" s="39">
        <f t="shared" si="2"/>
        <v>30</v>
      </c>
      <c r="C216" s="30">
        <v>16041</v>
      </c>
      <c r="D216" s="44" t="s">
        <v>159</v>
      </c>
      <c r="E216" s="30" t="s">
        <v>1</v>
      </c>
      <c r="F216" s="62"/>
      <c r="G216" s="66"/>
      <c r="H216" s="67"/>
      <c r="I216" s="67"/>
      <c r="J216" s="68"/>
      <c r="K216" s="62"/>
      <c r="L216" s="66"/>
      <c r="M216" s="67"/>
      <c r="N216" s="67"/>
      <c r="O216" s="68"/>
      <c r="P216" s="40"/>
      <c r="Q216" s="69"/>
      <c r="R216" s="178"/>
      <c r="S216" s="90"/>
      <c r="T216" s="70"/>
      <c r="U216" s="1"/>
      <c r="V216" s="1"/>
    </row>
    <row r="217" spans="1:31" ht="24.95" customHeight="1" x14ac:dyDescent="0.2">
      <c r="A217" s="1"/>
      <c r="B217" s="39">
        <f t="shared" si="2"/>
        <v>31</v>
      </c>
      <c r="C217" s="30">
        <v>16070</v>
      </c>
      <c r="D217" s="44" t="s">
        <v>195</v>
      </c>
      <c r="E217" s="30" t="s">
        <v>1</v>
      </c>
      <c r="F217" s="71"/>
      <c r="G217" s="66"/>
      <c r="H217" s="67"/>
      <c r="I217" s="67"/>
      <c r="J217" s="68"/>
      <c r="K217" s="71"/>
      <c r="L217" s="66"/>
      <c r="M217" s="67"/>
      <c r="N217" s="67"/>
      <c r="O217" s="68"/>
      <c r="P217" s="40"/>
      <c r="Q217" s="69"/>
      <c r="R217" s="178"/>
      <c r="S217" s="90"/>
      <c r="T217" s="70"/>
      <c r="U217" s="1"/>
      <c r="V217" s="1"/>
    </row>
    <row r="218" spans="1:31" ht="24.95" customHeight="1" x14ac:dyDescent="0.2">
      <c r="A218" s="1"/>
      <c r="B218" s="39">
        <f t="shared" si="2"/>
        <v>32</v>
      </c>
      <c r="C218" s="30">
        <v>16071</v>
      </c>
      <c r="D218" s="44" t="s">
        <v>198</v>
      </c>
      <c r="E218" s="30" t="s">
        <v>1</v>
      </c>
      <c r="F218" s="71"/>
      <c r="G218" s="66"/>
      <c r="H218" s="67"/>
      <c r="I218" s="67"/>
      <c r="J218" s="68"/>
      <c r="K218" s="71"/>
      <c r="L218" s="66"/>
      <c r="M218" s="67"/>
      <c r="N218" s="67"/>
      <c r="O218" s="68"/>
      <c r="P218" s="40"/>
      <c r="Q218" s="69"/>
      <c r="R218" s="178"/>
      <c r="S218" s="90"/>
      <c r="T218" s="70"/>
      <c r="U218" s="1"/>
      <c r="V218" s="1"/>
    </row>
    <row r="219" spans="1:31" ht="24.95" customHeight="1" x14ac:dyDescent="0.2">
      <c r="A219" s="1"/>
      <c r="B219" s="39">
        <f t="shared" si="2"/>
        <v>33</v>
      </c>
      <c r="C219" s="30">
        <v>16043</v>
      </c>
      <c r="D219" s="44" t="s">
        <v>178</v>
      </c>
      <c r="E219" s="30" t="s">
        <v>1</v>
      </c>
      <c r="F219" s="62"/>
      <c r="G219" s="65"/>
      <c r="H219" s="2"/>
      <c r="I219" s="2"/>
      <c r="J219" s="61"/>
      <c r="K219" s="62"/>
      <c r="L219" s="65"/>
      <c r="M219" s="2"/>
      <c r="N219" s="2"/>
      <c r="O219" s="61"/>
      <c r="P219" s="3"/>
      <c r="Q219" s="63"/>
      <c r="R219" s="36"/>
      <c r="S219" s="60"/>
      <c r="T219" s="64"/>
      <c r="U219" s="1"/>
      <c r="V219" s="1"/>
    </row>
    <row r="220" spans="1:31" ht="24.95" customHeight="1" x14ac:dyDescent="0.2">
      <c r="A220" s="1"/>
      <c r="B220" s="39">
        <f t="shared" si="2"/>
        <v>34</v>
      </c>
      <c r="C220" s="35">
        <v>16017</v>
      </c>
      <c r="D220" s="166" t="s">
        <v>149</v>
      </c>
      <c r="E220" s="30" t="s">
        <v>1</v>
      </c>
      <c r="F220" s="62"/>
      <c r="G220" s="65"/>
      <c r="H220" s="2"/>
      <c r="I220" s="2"/>
      <c r="J220" s="61"/>
      <c r="K220" s="62"/>
      <c r="L220" s="65"/>
      <c r="M220" s="2"/>
      <c r="N220" s="2"/>
      <c r="O220" s="61"/>
      <c r="P220" s="3"/>
      <c r="Q220" s="63"/>
      <c r="R220" s="36"/>
      <c r="S220" s="60"/>
      <c r="T220" s="64"/>
      <c r="U220" s="1"/>
      <c r="V220" s="1"/>
    </row>
    <row r="221" spans="1:31" ht="24.95" customHeight="1" x14ac:dyDescent="0.2">
      <c r="A221" s="1"/>
      <c r="B221" s="39">
        <f t="shared" si="2"/>
        <v>35</v>
      </c>
      <c r="C221" s="35">
        <v>16018</v>
      </c>
      <c r="D221" s="166" t="s">
        <v>138</v>
      </c>
      <c r="E221" s="30" t="s">
        <v>1</v>
      </c>
      <c r="F221" s="62"/>
      <c r="G221" s="65"/>
      <c r="H221" s="2"/>
      <c r="I221" s="2"/>
      <c r="J221" s="61"/>
      <c r="K221" s="62"/>
      <c r="L221" s="65"/>
      <c r="M221" s="2"/>
      <c r="N221" s="2"/>
      <c r="O221" s="61"/>
      <c r="P221" s="3"/>
      <c r="Q221" s="63"/>
      <c r="R221" s="36"/>
      <c r="S221" s="60"/>
      <c r="T221" s="64"/>
      <c r="U221" s="1"/>
      <c r="V221" s="1"/>
    </row>
    <row r="222" spans="1:31" ht="24.95" customHeight="1" x14ac:dyDescent="0.2">
      <c r="A222" s="1"/>
      <c r="B222" s="39">
        <f t="shared" si="2"/>
        <v>36</v>
      </c>
      <c r="C222" s="35">
        <v>15988</v>
      </c>
      <c r="D222" s="166" t="s">
        <v>127</v>
      </c>
      <c r="E222" s="30" t="s">
        <v>1</v>
      </c>
      <c r="F222" s="62"/>
      <c r="G222" s="65"/>
      <c r="H222" s="2"/>
      <c r="I222" s="2"/>
      <c r="J222" s="61"/>
      <c r="K222" s="62"/>
      <c r="L222" s="65"/>
      <c r="M222" s="2"/>
      <c r="N222" s="2"/>
      <c r="O222" s="61"/>
      <c r="P222" s="3"/>
      <c r="Q222" s="63"/>
      <c r="R222" s="188"/>
      <c r="S222" s="189"/>
      <c r="T222" s="64"/>
      <c r="U222" s="1"/>
      <c r="V222" s="1"/>
    </row>
    <row r="223" spans="1:31" ht="24.95" customHeight="1" x14ac:dyDescent="0.2">
      <c r="A223" s="1"/>
      <c r="B223" s="152">
        <v>37</v>
      </c>
      <c r="C223" s="35"/>
      <c r="D223" s="166"/>
      <c r="E223" s="30"/>
      <c r="F223" s="62"/>
      <c r="G223" s="65"/>
      <c r="H223" s="2"/>
      <c r="I223" s="2"/>
      <c r="J223" s="61"/>
      <c r="K223" s="62"/>
      <c r="L223" s="65"/>
      <c r="M223" s="2"/>
      <c r="N223" s="2"/>
      <c r="O223" s="61"/>
      <c r="P223" s="3"/>
      <c r="Q223" s="63"/>
      <c r="R223" s="188"/>
      <c r="S223" s="189"/>
      <c r="T223" s="64"/>
      <c r="U223" s="1"/>
      <c r="V223" s="1"/>
    </row>
    <row r="224" spans="1:31" ht="24.95" customHeight="1" thickBot="1" x14ac:dyDescent="0.25">
      <c r="A224" s="1"/>
      <c r="B224" s="86"/>
      <c r="C224" s="41"/>
      <c r="D224" s="87"/>
      <c r="E224" s="174"/>
      <c r="F224" s="77"/>
      <c r="G224" s="74"/>
      <c r="H224" s="75"/>
      <c r="I224" s="75"/>
      <c r="J224" s="76"/>
      <c r="K224" s="77"/>
      <c r="L224" s="74"/>
      <c r="M224" s="75"/>
      <c r="N224" s="75"/>
      <c r="O224" s="76"/>
      <c r="P224" s="75"/>
      <c r="Q224" s="78"/>
      <c r="R224" s="78"/>
      <c r="S224" s="78"/>
      <c r="T224" s="76"/>
      <c r="U224" s="1"/>
      <c r="V224" s="1"/>
    </row>
    <row r="225" spans="1:22" ht="18.95" customHeight="1" x14ac:dyDescent="0.2">
      <c r="A225" s="1"/>
      <c r="B225" s="37"/>
      <c r="C225" s="37"/>
      <c r="D225" s="1"/>
      <c r="E225" s="3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8.95" customHeight="1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8.95" customHeight="1" x14ac:dyDescent="0.2">
      <c r="A227" s="1"/>
      <c r="B227" s="255"/>
      <c r="C227" s="256"/>
      <c r="D227" s="259" t="s">
        <v>3</v>
      </c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1"/>
      <c r="U227" s="1"/>
      <c r="V227" s="1"/>
    </row>
    <row r="228" spans="1:22" ht="18.95" customHeight="1" x14ac:dyDescent="0.2">
      <c r="A228" s="1"/>
      <c r="B228" s="257"/>
      <c r="C228" s="258"/>
      <c r="D228" s="262" t="s">
        <v>4</v>
      </c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4"/>
      <c r="U228" s="1"/>
      <c r="V228" s="1"/>
    </row>
    <row r="229" spans="1:22" ht="18.95" customHeight="1" thickBot="1" x14ac:dyDescent="0.25">
      <c r="A229" s="1"/>
      <c r="B229" s="257"/>
      <c r="C229" s="258"/>
      <c r="D229" s="265" t="s">
        <v>547</v>
      </c>
      <c r="E229" s="266"/>
      <c r="F229" s="266"/>
      <c r="G229" s="266"/>
      <c r="H229" s="266"/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7"/>
      <c r="U229" s="1"/>
      <c r="V229" s="1"/>
    </row>
    <row r="230" spans="1:22" ht="18.95" customHeight="1" thickBot="1" x14ac:dyDescent="0.25">
      <c r="A230" s="1"/>
      <c r="B230" s="268"/>
      <c r="C230" s="269"/>
      <c r="D230" s="25" t="s">
        <v>254</v>
      </c>
      <c r="E230" s="26"/>
      <c r="F230" s="27" t="s">
        <v>2</v>
      </c>
      <c r="G230" s="27"/>
      <c r="H230" s="27"/>
      <c r="I230" s="28"/>
      <c r="J230" s="28" t="s">
        <v>524</v>
      </c>
      <c r="K230" s="27"/>
      <c r="L230" s="27"/>
      <c r="M230" s="27"/>
      <c r="N230" s="27"/>
      <c r="O230" s="27"/>
      <c r="P230" s="27"/>
      <c r="Q230" s="27"/>
      <c r="R230" s="27"/>
      <c r="S230" s="27"/>
      <c r="T230" s="123"/>
      <c r="U230" s="1"/>
      <c r="V230" s="1"/>
    </row>
    <row r="231" spans="1:22" ht="18.95" customHeight="1" thickBot="1" x14ac:dyDescent="0.25">
      <c r="A231" s="1"/>
      <c r="B231" s="271" t="s">
        <v>6</v>
      </c>
      <c r="C231" s="272"/>
      <c r="D231" s="270" t="s">
        <v>7</v>
      </c>
      <c r="E231" s="273" t="s">
        <v>12</v>
      </c>
      <c r="F231" s="268"/>
      <c r="G231" s="277"/>
      <c r="H231" s="277"/>
      <c r="I231" s="277"/>
      <c r="J231" s="269"/>
      <c r="K231" s="268"/>
      <c r="L231" s="277"/>
      <c r="M231" s="277"/>
      <c r="N231" s="277"/>
      <c r="O231" s="269"/>
      <c r="P231" s="272"/>
      <c r="Q231" s="277"/>
      <c r="R231" s="277"/>
      <c r="S231" s="277"/>
      <c r="T231" s="269"/>
      <c r="U231" s="1"/>
      <c r="V231" s="1"/>
    </row>
    <row r="232" spans="1:22" ht="18.95" customHeight="1" thickBot="1" x14ac:dyDescent="0.25">
      <c r="A232" s="1"/>
      <c r="B232" s="42" t="s">
        <v>10</v>
      </c>
      <c r="C232" s="42" t="s">
        <v>9</v>
      </c>
      <c r="D232" s="270"/>
      <c r="E232" s="274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1"/>
      <c r="V232" s="1"/>
    </row>
    <row r="233" spans="1:22" ht="24.95" customHeight="1" x14ac:dyDescent="0.2">
      <c r="A233" s="1"/>
      <c r="B233" s="85">
        <v>1</v>
      </c>
      <c r="C233" s="32">
        <v>15992</v>
      </c>
      <c r="D233" s="44" t="s">
        <v>143</v>
      </c>
      <c r="E233" s="30" t="s">
        <v>1</v>
      </c>
      <c r="F233" s="62"/>
      <c r="G233" s="79"/>
      <c r="H233" s="80"/>
      <c r="I233" s="2"/>
      <c r="J233" s="61"/>
      <c r="K233" s="62"/>
      <c r="L233" s="79"/>
      <c r="M233" s="80"/>
      <c r="N233" s="2"/>
      <c r="O233" s="61"/>
      <c r="P233" s="81"/>
      <c r="Q233" s="82"/>
      <c r="R233" s="36"/>
      <c r="S233" s="60"/>
      <c r="T233" s="83"/>
      <c r="U233" s="1"/>
      <c r="V233" s="1"/>
    </row>
    <row r="234" spans="1:22" ht="24.95" customHeight="1" x14ac:dyDescent="0.2">
      <c r="A234" s="1"/>
      <c r="B234" s="39">
        <f t="shared" ref="B234:B266" si="3">B233+1</f>
        <v>2</v>
      </c>
      <c r="C234" s="30">
        <v>16048</v>
      </c>
      <c r="D234" s="44" t="s">
        <v>208</v>
      </c>
      <c r="E234" s="30" t="s">
        <v>1</v>
      </c>
      <c r="F234" s="62"/>
      <c r="G234" s="60"/>
      <c r="H234" s="2"/>
      <c r="I234" s="2"/>
      <c r="J234" s="61"/>
      <c r="K234" s="62"/>
      <c r="L234" s="60"/>
      <c r="M234" s="2"/>
      <c r="N234" s="2"/>
      <c r="O234" s="61"/>
      <c r="P234" s="3"/>
      <c r="Q234" s="63"/>
      <c r="R234" s="36"/>
      <c r="S234" s="60"/>
      <c r="T234" s="64"/>
      <c r="U234" s="1"/>
      <c r="V234" s="1"/>
    </row>
    <row r="235" spans="1:22" ht="24.95" customHeight="1" x14ac:dyDescent="0.2">
      <c r="A235" s="1"/>
      <c r="B235" s="39">
        <f t="shared" si="3"/>
        <v>3</v>
      </c>
      <c r="C235" s="30">
        <v>16054</v>
      </c>
      <c r="D235" s="44" t="s">
        <v>182</v>
      </c>
      <c r="E235" s="30" t="s">
        <v>1</v>
      </c>
      <c r="F235" s="62"/>
      <c r="G235" s="60"/>
      <c r="H235" s="2"/>
      <c r="I235" s="2"/>
      <c r="J235" s="61"/>
      <c r="K235" s="62"/>
      <c r="L235" s="60"/>
      <c r="M235" s="2"/>
      <c r="N235" s="2"/>
      <c r="O235" s="61"/>
      <c r="P235" s="3"/>
      <c r="Q235" s="63"/>
      <c r="R235" s="36"/>
      <c r="S235" s="60"/>
      <c r="T235" s="64"/>
      <c r="U235" s="1"/>
      <c r="V235" s="1"/>
    </row>
    <row r="236" spans="1:22" ht="24.95" customHeight="1" x14ac:dyDescent="0.2">
      <c r="A236" s="1"/>
      <c r="B236" s="39">
        <f t="shared" si="3"/>
        <v>4</v>
      </c>
      <c r="C236" s="30">
        <v>15969</v>
      </c>
      <c r="D236" s="44" t="s">
        <v>122</v>
      </c>
      <c r="E236" s="30" t="s">
        <v>1</v>
      </c>
      <c r="F236" s="62"/>
      <c r="G236" s="60"/>
      <c r="H236" s="2"/>
      <c r="I236" s="2"/>
      <c r="J236" s="61"/>
      <c r="K236" s="62"/>
      <c r="L236" s="60"/>
      <c r="M236" s="2"/>
      <c r="N236" s="2"/>
      <c r="O236" s="61"/>
      <c r="P236" s="3"/>
      <c r="Q236" s="63"/>
      <c r="R236" s="36"/>
      <c r="S236" s="60"/>
      <c r="T236" s="64"/>
      <c r="U236" s="1"/>
      <c r="V236" s="1"/>
    </row>
    <row r="237" spans="1:22" ht="24.95" customHeight="1" x14ac:dyDescent="0.2">
      <c r="A237" s="1"/>
      <c r="B237" s="39">
        <f t="shared" si="3"/>
        <v>5</v>
      </c>
      <c r="C237" s="30">
        <v>16056</v>
      </c>
      <c r="D237" s="44" t="s">
        <v>196</v>
      </c>
      <c r="E237" s="30" t="s">
        <v>1</v>
      </c>
      <c r="F237" s="62"/>
      <c r="G237" s="60"/>
      <c r="H237" s="2"/>
      <c r="I237" s="2"/>
      <c r="J237" s="61"/>
      <c r="K237" s="62"/>
      <c r="L237" s="60"/>
      <c r="M237" s="2"/>
      <c r="N237" s="2"/>
      <c r="O237" s="61"/>
      <c r="P237" s="3"/>
      <c r="Q237" s="63"/>
      <c r="R237" s="36"/>
      <c r="S237" s="60"/>
      <c r="T237" s="64"/>
      <c r="U237" s="1"/>
      <c r="V237" s="1"/>
    </row>
    <row r="238" spans="1:22" ht="24.95" customHeight="1" x14ac:dyDescent="0.2">
      <c r="A238" s="1"/>
      <c r="B238" s="39">
        <f t="shared" si="3"/>
        <v>6</v>
      </c>
      <c r="C238" s="30">
        <v>16062</v>
      </c>
      <c r="D238" s="44" t="s">
        <v>185</v>
      </c>
      <c r="E238" s="30" t="s">
        <v>1</v>
      </c>
      <c r="F238" s="62"/>
      <c r="G238" s="60"/>
      <c r="H238" s="2"/>
      <c r="I238" s="2"/>
      <c r="J238" s="61"/>
      <c r="K238" s="62"/>
      <c r="L238" s="60"/>
      <c r="M238" s="2"/>
      <c r="N238" s="2"/>
      <c r="O238" s="61"/>
      <c r="P238" s="3"/>
      <c r="Q238" s="63"/>
      <c r="R238" s="36"/>
      <c r="S238" s="60"/>
      <c r="T238" s="64"/>
      <c r="U238" s="1"/>
      <c r="V238" s="1"/>
    </row>
    <row r="239" spans="1:22" ht="24.95" customHeight="1" x14ac:dyDescent="0.2">
      <c r="A239" s="1"/>
      <c r="B239" s="39">
        <f t="shared" si="3"/>
        <v>7</v>
      </c>
      <c r="C239" s="30">
        <v>15970</v>
      </c>
      <c r="D239" s="44" t="s">
        <v>132</v>
      </c>
      <c r="E239" s="30" t="s">
        <v>1</v>
      </c>
      <c r="F239" s="62"/>
      <c r="G239" s="60"/>
      <c r="H239" s="2"/>
      <c r="I239" s="2"/>
      <c r="J239" s="61"/>
      <c r="K239" s="62"/>
      <c r="L239" s="60"/>
      <c r="M239" s="2"/>
      <c r="N239" s="2"/>
      <c r="O239" s="61"/>
      <c r="P239" s="3"/>
      <c r="Q239" s="63"/>
      <c r="R239" s="36"/>
      <c r="S239" s="60"/>
      <c r="T239" s="64"/>
      <c r="U239" s="1"/>
      <c r="V239" s="1"/>
    </row>
    <row r="240" spans="1:22" ht="24.95" customHeight="1" x14ac:dyDescent="0.2">
      <c r="A240" s="1"/>
      <c r="B240" s="39">
        <f t="shared" si="3"/>
        <v>8</v>
      </c>
      <c r="C240" s="30">
        <v>16035</v>
      </c>
      <c r="D240" s="44" t="s">
        <v>161</v>
      </c>
      <c r="E240" s="30" t="s">
        <v>1</v>
      </c>
      <c r="F240" s="62"/>
      <c r="G240" s="60"/>
      <c r="H240" s="2"/>
      <c r="I240" s="2"/>
      <c r="J240" s="61"/>
      <c r="K240" s="62"/>
      <c r="L240" s="60"/>
      <c r="M240" s="2"/>
      <c r="N240" s="2"/>
      <c r="O240" s="61"/>
      <c r="P240" s="3"/>
      <c r="Q240" s="63"/>
      <c r="R240" s="36"/>
      <c r="S240" s="60"/>
      <c r="T240" s="64"/>
      <c r="U240" s="1"/>
      <c r="V240" s="1"/>
    </row>
    <row r="241" spans="1:22" ht="24.95" customHeight="1" x14ac:dyDescent="0.2">
      <c r="A241" s="1"/>
      <c r="B241" s="39">
        <f t="shared" si="3"/>
        <v>9</v>
      </c>
      <c r="C241" s="30">
        <v>16003</v>
      </c>
      <c r="D241" s="44" t="s">
        <v>146</v>
      </c>
      <c r="E241" s="30" t="s">
        <v>1</v>
      </c>
      <c r="F241" s="62"/>
      <c r="G241" s="60"/>
      <c r="H241" s="2"/>
      <c r="I241" s="2"/>
      <c r="J241" s="61"/>
      <c r="K241" s="62"/>
      <c r="L241" s="60"/>
      <c r="M241" s="2"/>
      <c r="N241" s="2"/>
      <c r="O241" s="61"/>
      <c r="P241" s="3"/>
      <c r="Q241" s="63"/>
      <c r="R241" s="36"/>
      <c r="S241" s="60"/>
      <c r="T241" s="64"/>
      <c r="U241" s="1"/>
      <c r="V241" s="1"/>
    </row>
    <row r="242" spans="1:22" ht="24.95" customHeight="1" x14ac:dyDescent="0.2">
      <c r="A242" s="1"/>
      <c r="B242" s="39">
        <f t="shared" si="3"/>
        <v>10</v>
      </c>
      <c r="C242" s="30">
        <v>15974</v>
      </c>
      <c r="D242" s="44" t="s">
        <v>120</v>
      </c>
      <c r="E242" s="30" t="s">
        <v>1</v>
      </c>
      <c r="F242" s="62"/>
      <c r="G242" s="60"/>
      <c r="H242" s="2"/>
      <c r="I242" s="2"/>
      <c r="J242" s="61"/>
      <c r="K242" s="62"/>
      <c r="L242" s="60"/>
      <c r="M242" s="2"/>
      <c r="N242" s="2"/>
      <c r="O242" s="61"/>
      <c r="P242" s="3"/>
      <c r="Q242" s="63"/>
      <c r="R242" s="93"/>
      <c r="S242" s="55"/>
      <c r="T242" s="64"/>
      <c r="U242" s="1"/>
      <c r="V242" s="1"/>
    </row>
    <row r="243" spans="1:22" ht="24.95" customHeight="1" x14ac:dyDescent="0.2">
      <c r="A243" s="1"/>
      <c r="B243" s="39">
        <f t="shared" si="3"/>
        <v>11</v>
      </c>
      <c r="C243" s="30">
        <v>16005</v>
      </c>
      <c r="D243" s="44" t="s">
        <v>151</v>
      </c>
      <c r="E243" s="30" t="s">
        <v>1</v>
      </c>
      <c r="F243" s="62"/>
      <c r="G243" s="60"/>
      <c r="H243" s="2"/>
      <c r="I243" s="2"/>
      <c r="J243" s="61"/>
      <c r="K243" s="62"/>
      <c r="L243" s="60"/>
      <c r="M243" s="2"/>
      <c r="N243" s="2"/>
      <c r="O243" s="61"/>
      <c r="P243" s="3"/>
      <c r="Q243" s="63"/>
      <c r="R243" s="36"/>
      <c r="S243" s="60"/>
      <c r="T243" s="64"/>
      <c r="U243" s="1"/>
      <c r="V243" s="1"/>
    </row>
    <row r="244" spans="1:22" ht="24.95" customHeight="1" x14ac:dyDescent="0.2">
      <c r="A244" s="1"/>
      <c r="B244" s="39">
        <f t="shared" si="3"/>
        <v>12</v>
      </c>
      <c r="C244" s="30">
        <v>16007</v>
      </c>
      <c r="D244" s="44" t="s">
        <v>156</v>
      </c>
      <c r="E244" s="30" t="s">
        <v>1</v>
      </c>
      <c r="F244" s="62"/>
      <c r="G244" s="60"/>
      <c r="H244" s="2"/>
      <c r="I244" s="2"/>
      <c r="J244" s="61"/>
      <c r="K244" s="62"/>
      <c r="L244" s="60"/>
      <c r="M244" s="2"/>
      <c r="N244" s="2"/>
      <c r="O244" s="61"/>
      <c r="P244" s="3"/>
      <c r="Q244" s="63"/>
      <c r="R244" s="36"/>
      <c r="S244" s="60"/>
      <c r="T244" s="64"/>
      <c r="U244" s="1"/>
      <c r="V244" s="1"/>
    </row>
    <row r="245" spans="1:22" ht="24.95" customHeight="1" x14ac:dyDescent="0.2">
      <c r="A245" s="1"/>
      <c r="B245" s="39">
        <f t="shared" si="3"/>
        <v>13</v>
      </c>
      <c r="C245" s="30">
        <v>16065</v>
      </c>
      <c r="D245" s="44" t="s">
        <v>187</v>
      </c>
      <c r="E245" s="30" t="s">
        <v>1</v>
      </c>
      <c r="F245" s="62"/>
      <c r="G245" s="60"/>
      <c r="H245" s="2"/>
      <c r="I245" s="2"/>
      <c r="J245" s="61"/>
      <c r="K245" s="62"/>
      <c r="L245" s="60"/>
      <c r="M245" s="2"/>
      <c r="N245" s="2"/>
      <c r="O245" s="61"/>
      <c r="P245" s="3"/>
      <c r="Q245" s="63"/>
      <c r="R245" s="36"/>
      <c r="S245" s="60"/>
      <c r="T245" s="64"/>
      <c r="U245" s="1"/>
      <c r="V245" s="1"/>
    </row>
    <row r="246" spans="1:22" ht="24.95" customHeight="1" x14ac:dyDescent="0.2">
      <c r="A246" s="1"/>
      <c r="B246" s="39">
        <f t="shared" si="3"/>
        <v>14</v>
      </c>
      <c r="C246" s="30">
        <v>16008</v>
      </c>
      <c r="D246" s="44" t="s">
        <v>245</v>
      </c>
      <c r="E246" s="30" t="s">
        <v>1</v>
      </c>
      <c r="F246" s="62"/>
      <c r="G246" s="60"/>
      <c r="H246" s="2"/>
      <c r="I246" s="2"/>
      <c r="J246" s="61"/>
      <c r="K246" s="62"/>
      <c r="L246" s="60"/>
      <c r="M246" s="2"/>
      <c r="N246" s="2"/>
      <c r="O246" s="61"/>
      <c r="P246" s="3"/>
      <c r="Q246" s="63"/>
      <c r="R246" s="36"/>
      <c r="S246" s="60"/>
      <c r="T246" s="64"/>
      <c r="U246" s="1"/>
      <c r="V246" s="1"/>
    </row>
    <row r="247" spans="1:22" ht="24.95" customHeight="1" x14ac:dyDescent="0.2">
      <c r="A247" s="1"/>
      <c r="B247" s="39">
        <f t="shared" si="3"/>
        <v>15</v>
      </c>
      <c r="C247" s="30">
        <v>15978</v>
      </c>
      <c r="D247" s="44" t="s">
        <v>109</v>
      </c>
      <c r="E247" s="30" t="s">
        <v>1</v>
      </c>
      <c r="F247" s="62"/>
      <c r="G247" s="60"/>
      <c r="H247" s="2"/>
      <c r="I247" s="2"/>
      <c r="J247" s="61"/>
      <c r="K247" s="62"/>
      <c r="L247" s="60"/>
      <c r="M247" s="2"/>
      <c r="N247" s="2"/>
      <c r="O247" s="61"/>
      <c r="P247" s="3"/>
      <c r="Q247" s="63"/>
      <c r="R247" s="36"/>
      <c r="S247" s="60"/>
      <c r="T247" s="64"/>
      <c r="U247" s="1"/>
      <c r="V247" s="1"/>
    </row>
    <row r="248" spans="1:22" ht="24.95" customHeight="1" x14ac:dyDescent="0.2">
      <c r="A248" s="1"/>
      <c r="B248" s="39">
        <f t="shared" si="3"/>
        <v>16</v>
      </c>
      <c r="C248" s="30">
        <v>16040</v>
      </c>
      <c r="D248" s="44" t="s">
        <v>246</v>
      </c>
      <c r="E248" s="30" t="s">
        <v>1</v>
      </c>
      <c r="F248" s="62"/>
      <c r="G248" s="60"/>
      <c r="H248" s="2"/>
      <c r="I248" s="2"/>
      <c r="J248" s="61"/>
      <c r="K248" s="62"/>
      <c r="L248" s="60"/>
      <c r="M248" s="2"/>
      <c r="N248" s="2"/>
      <c r="O248" s="61"/>
      <c r="P248" s="3"/>
      <c r="Q248" s="63"/>
      <c r="R248" s="36"/>
      <c r="S248" s="60"/>
      <c r="T248" s="64"/>
      <c r="U248" s="1"/>
      <c r="V248" s="1"/>
    </row>
    <row r="249" spans="1:22" ht="24.95" customHeight="1" x14ac:dyDescent="0.2">
      <c r="A249" s="1"/>
      <c r="B249" s="39">
        <f t="shared" si="3"/>
        <v>17</v>
      </c>
      <c r="C249" s="30">
        <v>16011</v>
      </c>
      <c r="D249" s="44" t="s">
        <v>141</v>
      </c>
      <c r="E249" s="30" t="s">
        <v>1</v>
      </c>
      <c r="F249" s="62"/>
      <c r="G249" s="65"/>
      <c r="H249" s="2"/>
      <c r="I249" s="2"/>
      <c r="J249" s="61"/>
      <c r="K249" s="62"/>
      <c r="L249" s="65"/>
      <c r="M249" s="2"/>
      <c r="N249" s="2"/>
      <c r="O249" s="61"/>
      <c r="P249" s="3"/>
      <c r="Q249" s="63"/>
      <c r="R249" s="93"/>
      <c r="S249" s="55"/>
      <c r="T249" s="64"/>
      <c r="U249" s="1"/>
      <c r="V249" s="1"/>
    </row>
    <row r="250" spans="1:22" ht="24.95" customHeight="1" x14ac:dyDescent="0.2">
      <c r="A250" s="1"/>
      <c r="B250" s="39">
        <f t="shared" si="3"/>
        <v>18</v>
      </c>
      <c r="C250" s="30">
        <v>15982</v>
      </c>
      <c r="D250" s="44" t="s">
        <v>118</v>
      </c>
      <c r="E250" s="30" t="s">
        <v>1</v>
      </c>
      <c r="F250" s="62"/>
      <c r="G250" s="65"/>
      <c r="H250" s="2"/>
      <c r="I250" s="2"/>
      <c r="J250" s="61"/>
      <c r="K250" s="62"/>
      <c r="L250" s="65"/>
      <c r="M250" s="2"/>
      <c r="N250" s="2"/>
      <c r="O250" s="61"/>
      <c r="P250" s="3"/>
      <c r="Q250" s="63"/>
      <c r="R250" s="93"/>
      <c r="S250" s="55"/>
      <c r="T250" s="64"/>
      <c r="U250" s="1"/>
      <c r="V250" s="1"/>
    </row>
    <row r="251" spans="1:22" ht="24.95" customHeight="1" x14ac:dyDescent="0.2">
      <c r="A251" s="1"/>
      <c r="B251" s="39">
        <f t="shared" si="3"/>
        <v>19</v>
      </c>
      <c r="C251" s="30">
        <v>15983</v>
      </c>
      <c r="D251" s="44" t="s">
        <v>110</v>
      </c>
      <c r="E251" s="30" t="s">
        <v>1</v>
      </c>
      <c r="F251" s="62"/>
      <c r="G251" s="65"/>
      <c r="H251" s="2"/>
      <c r="I251" s="2"/>
      <c r="J251" s="61"/>
      <c r="K251" s="62"/>
      <c r="L251" s="65"/>
      <c r="M251" s="2"/>
      <c r="N251" s="2"/>
      <c r="O251" s="61"/>
      <c r="P251" s="3"/>
      <c r="Q251" s="63"/>
      <c r="R251" s="36"/>
      <c r="S251" s="60"/>
      <c r="T251" s="64"/>
      <c r="U251" s="1"/>
      <c r="V251" s="1"/>
    </row>
    <row r="252" spans="1:22" ht="24.95" customHeight="1" x14ac:dyDescent="0.2">
      <c r="A252" s="1"/>
      <c r="B252" s="39">
        <f t="shared" si="3"/>
        <v>20</v>
      </c>
      <c r="C252" s="30">
        <v>16072</v>
      </c>
      <c r="D252" s="44" t="s">
        <v>206</v>
      </c>
      <c r="E252" s="30" t="s">
        <v>1</v>
      </c>
      <c r="F252" s="62"/>
      <c r="G252" s="60"/>
      <c r="H252" s="2"/>
      <c r="I252" s="2"/>
      <c r="J252" s="61"/>
      <c r="K252" s="62"/>
      <c r="L252" s="60"/>
      <c r="M252" s="2"/>
      <c r="N252" s="2"/>
      <c r="O252" s="61"/>
      <c r="P252" s="3"/>
      <c r="Q252" s="63"/>
      <c r="R252" s="36"/>
      <c r="S252" s="60"/>
      <c r="T252" s="64"/>
      <c r="U252" s="1"/>
      <c r="V252" s="1"/>
    </row>
    <row r="253" spans="1:22" ht="24.95" customHeight="1" x14ac:dyDescent="0.2">
      <c r="A253" s="1"/>
      <c r="B253" s="39">
        <f t="shared" si="3"/>
        <v>21</v>
      </c>
      <c r="C253" s="30">
        <v>16013</v>
      </c>
      <c r="D253" s="44" t="s">
        <v>142</v>
      </c>
      <c r="E253" s="30" t="s">
        <v>1</v>
      </c>
      <c r="F253" s="62"/>
      <c r="G253" s="65"/>
      <c r="H253" s="2"/>
      <c r="I253" s="2"/>
      <c r="J253" s="61"/>
      <c r="K253" s="62"/>
      <c r="L253" s="65"/>
      <c r="M253" s="2"/>
      <c r="N253" s="2"/>
      <c r="O253" s="61"/>
      <c r="P253" s="3"/>
      <c r="Q253" s="63"/>
      <c r="R253" s="36"/>
      <c r="S253" s="60"/>
      <c r="T253" s="64"/>
      <c r="U253" s="1"/>
      <c r="V253" s="1"/>
    </row>
    <row r="254" spans="1:22" ht="24.95" customHeight="1" x14ac:dyDescent="0.2">
      <c r="A254" s="1"/>
      <c r="B254" s="39">
        <f t="shared" si="3"/>
        <v>22</v>
      </c>
      <c r="C254" s="30">
        <v>16074</v>
      </c>
      <c r="D254" s="44" t="s">
        <v>184</v>
      </c>
      <c r="E254" s="30" t="s">
        <v>1</v>
      </c>
      <c r="F254" s="62"/>
      <c r="G254" s="66"/>
      <c r="H254" s="67"/>
      <c r="I254" s="67"/>
      <c r="J254" s="68"/>
      <c r="K254" s="62"/>
      <c r="L254" s="66"/>
      <c r="M254" s="67"/>
      <c r="N254" s="67"/>
      <c r="O254" s="68"/>
      <c r="P254" s="40"/>
      <c r="Q254" s="69"/>
      <c r="R254" s="178"/>
      <c r="S254" s="90"/>
      <c r="T254" s="70"/>
      <c r="U254" s="1"/>
      <c r="V254" s="1"/>
    </row>
    <row r="255" spans="1:22" ht="24.95" customHeight="1" x14ac:dyDescent="0.2">
      <c r="A255" s="1"/>
      <c r="B255" s="39">
        <f t="shared" si="3"/>
        <v>23</v>
      </c>
      <c r="C255" s="30">
        <v>16014</v>
      </c>
      <c r="D255" s="44" t="s">
        <v>136</v>
      </c>
      <c r="E255" s="30" t="s">
        <v>1</v>
      </c>
      <c r="F255" s="62"/>
      <c r="G255" s="66"/>
      <c r="H255" s="67"/>
      <c r="I255" s="67"/>
      <c r="J255" s="68"/>
      <c r="K255" s="62"/>
      <c r="L255" s="66"/>
      <c r="M255" s="67"/>
      <c r="N255" s="67"/>
      <c r="O255" s="68"/>
      <c r="P255" s="40"/>
      <c r="Q255" s="69"/>
      <c r="R255" s="178"/>
      <c r="S255" s="90"/>
      <c r="T255" s="70"/>
      <c r="U255" s="1"/>
      <c r="V255" s="1"/>
    </row>
    <row r="256" spans="1:22" ht="24.95" customHeight="1" x14ac:dyDescent="0.2">
      <c r="A256" s="1"/>
      <c r="B256" s="39">
        <f t="shared" si="3"/>
        <v>24</v>
      </c>
      <c r="C256" s="30">
        <v>15987</v>
      </c>
      <c r="D256" s="44" t="s">
        <v>130</v>
      </c>
      <c r="E256" s="30" t="s">
        <v>1</v>
      </c>
      <c r="F256" s="62"/>
      <c r="G256" s="66"/>
      <c r="H256" s="67"/>
      <c r="I256" s="67"/>
      <c r="J256" s="68"/>
      <c r="K256" s="62"/>
      <c r="L256" s="66"/>
      <c r="M256" s="67"/>
      <c r="N256" s="67"/>
      <c r="O256" s="68"/>
      <c r="P256" s="40"/>
      <c r="Q256" s="69"/>
      <c r="R256" s="178"/>
      <c r="S256" s="90"/>
      <c r="T256" s="70"/>
      <c r="U256" s="1"/>
      <c r="V256" s="1"/>
    </row>
    <row r="257" spans="1:22" ht="24.95" customHeight="1" x14ac:dyDescent="0.2">
      <c r="A257" s="1"/>
      <c r="B257" s="39">
        <f t="shared" si="3"/>
        <v>25</v>
      </c>
      <c r="C257" s="30">
        <v>16045</v>
      </c>
      <c r="D257" s="44" t="s">
        <v>176</v>
      </c>
      <c r="E257" s="30" t="s">
        <v>1</v>
      </c>
      <c r="F257" s="62"/>
      <c r="G257" s="66"/>
      <c r="H257" s="67"/>
      <c r="I257" s="67"/>
      <c r="J257" s="68"/>
      <c r="K257" s="62"/>
      <c r="L257" s="66"/>
      <c r="M257" s="67"/>
      <c r="N257" s="67"/>
      <c r="O257" s="68"/>
      <c r="P257" s="40"/>
      <c r="Q257" s="69"/>
      <c r="R257" s="178"/>
      <c r="S257" s="90"/>
      <c r="T257" s="70"/>
      <c r="U257" s="1"/>
      <c r="V257" s="1"/>
    </row>
    <row r="258" spans="1:22" ht="24.95" customHeight="1" x14ac:dyDescent="0.2">
      <c r="A258" s="1"/>
      <c r="B258" s="39">
        <f t="shared" si="3"/>
        <v>26</v>
      </c>
      <c r="C258" s="30">
        <v>16019</v>
      </c>
      <c r="D258" s="44" t="s">
        <v>145</v>
      </c>
      <c r="E258" s="30" t="s">
        <v>1</v>
      </c>
      <c r="F258" s="62"/>
      <c r="G258" s="66"/>
      <c r="H258" s="67"/>
      <c r="I258" s="67"/>
      <c r="J258" s="68"/>
      <c r="K258" s="62"/>
      <c r="L258" s="66"/>
      <c r="M258" s="67"/>
      <c r="N258" s="67"/>
      <c r="O258" s="68"/>
      <c r="P258" s="40"/>
      <c r="Q258" s="69"/>
      <c r="R258" s="178"/>
      <c r="S258" s="90"/>
      <c r="T258" s="70"/>
      <c r="U258" s="1"/>
      <c r="V258" s="1"/>
    </row>
    <row r="259" spans="1:22" ht="24.95" customHeight="1" x14ac:dyDescent="0.2">
      <c r="A259" s="1"/>
      <c r="B259" s="39">
        <f t="shared" si="3"/>
        <v>27</v>
      </c>
      <c r="C259" s="30"/>
      <c r="D259" s="44"/>
      <c r="E259" s="30" t="s">
        <v>1</v>
      </c>
      <c r="F259" s="62"/>
      <c r="G259" s="66"/>
      <c r="H259" s="67"/>
      <c r="I259" s="67"/>
      <c r="J259" s="68"/>
      <c r="K259" s="62"/>
      <c r="L259" s="66"/>
      <c r="M259" s="67"/>
      <c r="N259" s="67"/>
      <c r="O259" s="68"/>
      <c r="P259" s="40"/>
      <c r="Q259" s="69"/>
      <c r="R259" s="178"/>
      <c r="S259" s="90"/>
      <c r="T259" s="70"/>
      <c r="U259" s="1"/>
      <c r="V259" s="1"/>
    </row>
    <row r="260" spans="1:22" ht="24.95" customHeight="1" x14ac:dyDescent="0.2">
      <c r="A260" s="1"/>
      <c r="B260" s="39">
        <f t="shared" si="3"/>
        <v>28</v>
      </c>
      <c r="C260" s="30"/>
      <c r="D260" s="44"/>
      <c r="E260" s="30" t="s">
        <v>1</v>
      </c>
      <c r="F260" s="71"/>
      <c r="G260" s="66"/>
      <c r="H260" s="67"/>
      <c r="I260" s="67"/>
      <c r="J260" s="68"/>
      <c r="K260" s="71"/>
      <c r="L260" s="66"/>
      <c r="M260" s="67"/>
      <c r="N260" s="67"/>
      <c r="O260" s="68"/>
      <c r="P260" s="40"/>
      <c r="Q260" s="69"/>
      <c r="R260" s="178"/>
      <c r="S260" s="90"/>
      <c r="T260" s="70"/>
      <c r="U260" s="1"/>
      <c r="V260" s="1"/>
    </row>
    <row r="261" spans="1:22" ht="24.95" customHeight="1" x14ac:dyDescent="0.2">
      <c r="A261" s="1"/>
      <c r="B261" s="39">
        <f t="shared" si="3"/>
        <v>29</v>
      </c>
      <c r="C261" s="30"/>
      <c r="D261" s="44"/>
      <c r="E261" s="30" t="s">
        <v>1</v>
      </c>
      <c r="F261" s="71"/>
      <c r="G261" s="66"/>
      <c r="H261" s="67"/>
      <c r="I261" s="67"/>
      <c r="J261" s="68"/>
      <c r="K261" s="71"/>
      <c r="L261" s="66"/>
      <c r="M261" s="67"/>
      <c r="N261" s="67"/>
      <c r="O261" s="68"/>
      <c r="P261" s="40"/>
      <c r="Q261" s="69"/>
      <c r="R261" s="178"/>
      <c r="S261" s="90"/>
      <c r="T261" s="70"/>
      <c r="U261" s="1"/>
      <c r="V261" s="1"/>
    </row>
    <row r="262" spans="1:22" ht="24.95" customHeight="1" x14ac:dyDescent="0.2">
      <c r="A262" s="1"/>
      <c r="B262" s="39">
        <f t="shared" si="3"/>
        <v>30</v>
      </c>
      <c r="C262" s="30"/>
      <c r="D262" s="44"/>
      <c r="E262" s="30" t="s">
        <v>1</v>
      </c>
      <c r="F262" s="71"/>
      <c r="G262" s="66"/>
      <c r="H262" s="67"/>
      <c r="I262" s="67"/>
      <c r="J262" s="68"/>
      <c r="K262" s="71"/>
      <c r="L262" s="66"/>
      <c r="M262" s="67"/>
      <c r="N262" s="67"/>
      <c r="O262" s="68"/>
      <c r="P262" s="40"/>
      <c r="Q262" s="69"/>
      <c r="R262" s="178"/>
      <c r="S262" s="90"/>
      <c r="T262" s="70"/>
      <c r="U262" s="1"/>
      <c r="V262" s="1"/>
    </row>
    <row r="263" spans="1:22" ht="24.95" customHeight="1" x14ac:dyDescent="0.2">
      <c r="A263" s="1"/>
      <c r="B263" s="39">
        <f t="shared" si="3"/>
        <v>31</v>
      </c>
      <c r="C263" s="30"/>
      <c r="D263" s="44"/>
      <c r="E263" s="30" t="s">
        <v>1</v>
      </c>
      <c r="F263" s="71"/>
      <c r="G263" s="66"/>
      <c r="H263" s="67"/>
      <c r="I263" s="67"/>
      <c r="J263" s="68"/>
      <c r="K263" s="71"/>
      <c r="L263" s="66"/>
      <c r="M263" s="67"/>
      <c r="N263" s="67"/>
      <c r="O263" s="68"/>
      <c r="P263" s="40"/>
      <c r="Q263" s="69"/>
      <c r="R263" s="178"/>
      <c r="S263" s="90"/>
      <c r="T263" s="70"/>
      <c r="U263" s="1"/>
      <c r="V263" s="1"/>
    </row>
    <row r="264" spans="1:22" ht="24.95" customHeight="1" x14ac:dyDescent="0.2">
      <c r="A264" s="1"/>
      <c r="B264" s="39">
        <f t="shared" si="3"/>
        <v>32</v>
      </c>
      <c r="C264" s="30"/>
      <c r="D264" s="44"/>
      <c r="E264" s="30" t="s">
        <v>1</v>
      </c>
      <c r="F264" s="71"/>
      <c r="G264" s="66"/>
      <c r="H264" s="67"/>
      <c r="I264" s="67"/>
      <c r="J264" s="68"/>
      <c r="K264" s="71"/>
      <c r="L264" s="66"/>
      <c r="M264" s="67"/>
      <c r="N264" s="67"/>
      <c r="O264" s="68"/>
      <c r="P264" s="40"/>
      <c r="Q264" s="69"/>
      <c r="R264" s="178"/>
      <c r="S264" s="90"/>
      <c r="T264" s="70"/>
      <c r="U264" s="1"/>
      <c r="V264" s="1"/>
    </row>
    <row r="265" spans="1:22" ht="24.95" customHeight="1" x14ac:dyDescent="0.2">
      <c r="A265" s="1"/>
      <c r="B265" s="39">
        <f t="shared" si="3"/>
        <v>33</v>
      </c>
      <c r="C265" s="30"/>
      <c r="D265" s="44"/>
      <c r="E265" s="30" t="s">
        <v>1</v>
      </c>
      <c r="F265" s="62"/>
      <c r="G265" s="65"/>
      <c r="H265" s="2"/>
      <c r="I265" s="2"/>
      <c r="J265" s="61"/>
      <c r="K265" s="62"/>
      <c r="L265" s="65"/>
      <c r="M265" s="2"/>
      <c r="N265" s="2"/>
      <c r="O265" s="61"/>
      <c r="P265" s="3"/>
      <c r="Q265" s="63"/>
      <c r="R265" s="36"/>
      <c r="S265" s="60"/>
      <c r="T265" s="64"/>
      <c r="U265" s="1"/>
      <c r="V265" s="1"/>
    </row>
    <row r="266" spans="1:22" ht="24.95" customHeight="1" x14ac:dyDescent="0.2">
      <c r="A266" s="1"/>
      <c r="B266" s="39">
        <f t="shared" si="3"/>
        <v>34</v>
      </c>
      <c r="C266" s="31"/>
      <c r="D266" s="100"/>
      <c r="E266" s="30" t="s">
        <v>1</v>
      </c>
      <c r="F266" s="57"/>
      <c r="G266" s="153"/>
      <c r="H266" s="5"/>
      <c r="I266" s="5"/>
      <c r="J266" s="56"/>
      <c r="K266" s="57"/>
      <c r="L266" s="153"/>
      <c r="M266" s="5"/>
      <c r="N266" s="5"/>
      <c r="O266" s="56"/>
      <c r="P266" s="4"/>
      <c r="Q266" s="58"/>
      <c r="R266" s="190"/>
      <c r="S266" s="191"/>
      <c r="T266" s="59"/>
      <c r="U266" s="1"/>
      <c r="V266" s="1"/>
    </row>
    <row r="267" spans="1:22" ht="24.95" customHeight="1" x14ac:dyDescent="0.2">
      <c r="A267" s="1"/>
      <c r="B267" s="39"/>
      <c r="C267" s="31"/>
      <c r="D267" s="192"/>
      <c r="E267" s="30"/>
      <c r="F267" s="57"/>
      <c r="G267" s="153"/>
      <c r="H267" s="5"/>
      <c r="I267" s="5"/>
      <c r="J267" s="56"/>
      <c r="K267" s="57"/>
      <c r="L267" s="153"/>
      <c r="M267" s="5"/>
      <c r="N267" s="5"/>
      <c r="O267" s="56"/>
      <c r="P267" s="4"/>
      <c r="Q267" s="58"/>
      <c r="R267" s="190"/>
      <c r="S267" s="191"/>
      <c r="T267" s="59"/>
      <c r="U267" s="1"/>
      <c r="V267" s="1"/>
    </row>
    <row r="268" spans="1:22" ht="24.95" customHeight="1" x14ac:dyDescent="0.2">
      <c r="A268" s="1"/>
      <c r="B268" s="152"/>
      <c r="C268" s="30"/>
      <c r="D268" s="193"/>
      <c r="E268" s="30"/>
      <c r="F268" s="62"/>
      <c r="G268" s="65"/>
      <c r="H268" s="2"/>
      <c r="I268" s="2"/>
      <c r="J268" s="61"/>
      <c r="K268" s="62"/>
      <c r="L268" s="65"/>
      <c r="M268" s="2"/>
      <c r="N268" s="2"/>
      <c r="O268" s="61"/>
      <c r="P268" s="3"/>
      <c r="Q268" s="63"/>
      <c r="R268" s="188"/>
      <c r="S268" s="189"/>
      <c r="T268" s="64"/>
      <c r="U268" s="1"/>
      <c r="V268" s="1"/>
    </row>
    <row r="269" spans="1:22" ht="24.95" customHeight="1" x14ac:dyDescent="0.2">
      <c r="A269" s="1"/>
      <c r="B269" s="152"/>
      <c r="C269" s="30"/>
      <c r="D269" s="193"/>
      <c r="E269" s="30"/>
      <c r="F269" s="62"/>
      <c r="G269" s="65"/>
      <c r="H269" s="2"/>
      <c r="I269" s="2"/>
      <c r="J269" s="61"/>
      <c r="K269" s="62"/>
      <c r="L269" s="65"/>
      <c r="M269" s="2"/>
      <c r="N269" s="2"/>
      <c r="O269" s="61"/>
      <c r="P269" s="3"/>
      <c r="Q269" s="63"/>
      <c r="R269" s="188"/>
      <c r="S269" s="189"/>
      <c r="T269" s="64"/>
      <c r="U269" s="1"/>
      <c r="V269" s="1"/>
    </row>
    <row r="270" spans="1:22" ht="24.95" customHeight="1" thickBot="1" x14ac:dyDescent="0.25">
      <c r="A270" s="1"/>
      <c r="B270" s="41"/>
      <c r="C270" s="53"/>
      <c r="D270" s="127"/>
      <c r="E270" s="174"/>
      <c r="F270" s="77"/>
      <c r="G270" s="74"/>
      <c r="H270" s="75"/>
      <c r="I270" s="75"/>
      <c r="J270" s="76"/>
      <c r="K270" s="77"/>
      <c r="L270" s="74"/>
      <c r="M270" s="75"/>
      <c r="N270" s="75"/>
      <c r="O270" s="76"/>
      <c r="P270" s="75"/>
      <c r="Q270" s="78"/>
      <c r="R270" s="78"/>
      <c r="S270" s="78"/>
      <c r="T270" s="76"/>
      <c r="U270" s="1"/>
      <c r="V270" s="1"/>
    </row>
    <row r="271" spans="1:22" ht="18.95" customHeight="1" x14ac:dyDescent="0.2">
      <c r="A271" s="1"/>
      <c r="B271" s="37"/>
      <c r="C271" s="37"/>
      <c r="D271" s="1"/>
      <c r="E271" s="194"/>
      <c r="F271" s="88"/>
      <c r="G271" s="88"/>
      <c r="H271" s="37"/>
      <c r="I271" s="37"/>
      <c r="J271" s="37"/>
      <c r="K271" s="88"/>
      <c r="L271" s="88"/>
      <c r="M271" s="37"/>
      <c r="N271" s="37"/>
      <c r="O271" s="37"/>
      <c r="P271" s="37"/>
      <c r="Q271" s="37"/>
      <c r="R271" s="37"/>
      <c r="S271" s="37"/>
      <c r="T271" s="37"/>
      <c r="U271" s="1"/>
      <c r="V271" s="1"/>
    </row>
    <row r="272" spans="1:22" ht="18.95" customHeight="1" thickBot="1" x14ac:dyDescent="0.25">
      <c r="A272" s="1"/>
      <c r="B272" s="37"/>
      <c r="C272" s="37"/>
      <c r="D272" s="1"/>
      <c r="E272" s="194"/>
      <c r="F272" s="88"/>
      <c r="G272" s="88"/>
      <c r="H272" s="37"/>
      <c r="I272" s="37"/>
      <c r="J272" s="37"/>
      <c r="K272" s="88"/>
      <c r="L272" s="88"/>
      <c r="M272" s="37"/>
      <c r="N272" s="37"/>
      <c r="O272" s="37"/>
      <c r="P272" s="37"/>
      <c r="Q272" s="37"/>
      <c r="R272" s="37"/>
      <c r="S272" s="37"/>
      <c r="T272" s="37"/>
      <c r="U272" s="1"/>
      <c r="V272" s="1"/>
    </row>
    <row r="273" spans="1:22" ht="18.95" customHeight="1" x14ac:dyDescent="0.2">
      <c r="A273" s="1"/>
      <c r="B273" s="255"/>
      <c r="C273" s="256"/>
      <c r="D273" s="259" t="s">
        <v>3</v>
      </c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60"/>
      <c r="R273" s="260"/>
      <c r="S273" s="260"/>
      <c r="T273" s="261"/>
      <c r="U273" s="1"/>
      <c r="V273" s="1"/>
    </row>
    <row r="274" spans="1:22" ht="18.95" customHeight="1" x14ac:dyDescent="0.2">
      <c r="A274" s="1"/>
      <c r="B274" s="257"/>
      <c r="C274" s="258"/>
      <c r="D274" s="262" t="s">
        <v>4</v>
      </c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4"/>
      <c r="U274" s="1"/>
      <c r="V274" s="1"/>
    </row>
    <row r="275" spans="1:22" ht="18.95" customHeight="1" thickBot="1" x14ac:dyDescent="0.25">
      <c r="A275" s="1"/>
      <c r="B275" s="257"/>
      <c r="C275" s="258"/>
      <c r="D275" s="265" t="s">
        <v>547</v>
      </c>
      <c r="E275" s="266"/>
      <c r="F275" s="266"/>
      <c r="G275" s="266"/>
      <c r="H275" s="266"/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7"/>
      <c r="U275" s="1"/>
      <c r="V275" s="1"/>
    </row>
    <row r="276" spans="1:22" ht="18.95" customHeight="1" thickBot="1" x14ac:dyDescent="0.25">
      <c r="A276" s="1"/>
      <c r="B276" s="268"/>
      <c r="C276" s="269"/>
      <c r="D276" s="25" t="s">
        <v>255</v>
      </c>
      <c r="E276" s="26"/>
      <c r="F276" s="27" t="s">
        <v>2</v>
      </c>
      <c r="G276" s="27"/>
      <c r="H276" s="27"/>
      <c r="I276" s="28"/>
      <c r="J276" s="28" t="s">
        <v>525</v>
      </c>
      <c r="K276" s="27"/>
      <c r="L276" s="27"/>
      <c r="M276" s="27"/>
      <c r="N276" s="27"/>
      <c r="O276" s="27"/>
      <c r="P276" s="27"/>
      <c r="Q276" s="27"/>
      <c r="R276" s="27"/>
      <c r="S276" s="27"/>
      <c r="T276" s="123"/>
      <c r="U276" s="1"/>
      <c r="V276" s="1"/>
    </row>
    <row r="277" spans="1:22" ht="18.95" customHeight="1" thickBot="1" x14ac:dyDescent="0.25">
      <c r="A277" s="1"/>
      <c r="B277" s="271" t="s">
        <v>6</v>
      </c>
      <c r="C277" s="278"/>
      <c r="D277" s="277" t="s">
        <v>7</v>
      </c>
      <c r="E277" s="273" t="s">
        <v>12</v>
      </c>
      <c r="F277" s="268"/>
      <c r="G277" s="277"/>
      <c r="H277" s="277"/>
      <c r="I277" s="277"/>
      <c r="J277" s="269"/>
      <c r="K277" s="268"/>
      <c r="L277" s="277"/>
      <c r="M277" s="277"/>
      <c r="N277" s="277"/>
      <c r="O277" s="269"/>
      <c r="P277" s="272"/>
      <c r="Q277" s="277"/>
      <c r="R277" s="277"/>
      <c r="S277" s="277"/>
      <c r="T277" s="269"/>
      <c r="U277" s="1"/>
      <c r="V277" s="1"/>
    </row>
    <row r="278" spans="1:22" ht="18.95" customHeight="1" thickBot="1" x14ac:dyDescent="0.25">
      <c r="A278" s="1"/>
      <c r="B278" s="42" t="s">
        <v>10</v>
      </c>
      <c r="C278" s="29" t="s">
        <v>9</v>
      </c>
      <c r="D278" s="277"/>
      <c r="E278" s="274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1"/>
      <c r="V278" s="1"/>
    </row>
    <row r="279" spans="1:22" ht="24.95" customHeight="1" x14ac:dyDescent="0.2">
      <c r="A279" s="1"/>
      <c r="B279" s="32">
        <v>1</v>
      </c>
      <c r="C279" s="31">
        <v>15989</v>
      </c>
      <c r="D279" s="44" t="s">
        <v>154</v>
      </c>
      <c r="E279" s="30" t="s">
        <v>1</v>
      </c>
      <c r="F279" s="62"/>
      <c r="G279" s="79"/>
      <c r="H279" s="80"/>
      <c r="I279" s="2"/>
      <c r="J279" s="61"/>
      <c r="K279" s="62"/>
      <c r="L279" s="79"/>
      <c r="M279" s="80"/>
      <c r="N279" s="2"/>
      <c r="O279" s="61"/>
      <c r="P279" s="81"/>
      <c r="Q279" s="82"/>
      <c r="R279" s="36"/>
      <c r="S279" s="60"/>
      <c r="T279" s="83"/>
      <c r="U279" s="1"/>
      <c r="V279" s="1"/>
    </row>
    <row r="280" spans="1:22" ht="24.95" customHeight="1" x14ac:dyDescent="0.2">
      <c r="A280" s="1"/>
      <c r="B280" s="30">
        <v>2</v>
      </c>
      <c r="C280" s="30">
        <v>16023</v>
      </c>
      <c r="D280" s="44" t="s">
        <v>172</v>
      </c>
      <c r="E280" s="30" t="s">
        <v>1</v>
      </c>
      <c r="F280" s="62"/>
      <c r="G280" s="60"/>
      <c r="H280" s="2"/>
      <c r="I280" s="2"/>
      <c r="J280" s="61"/>
      <c r="K280" s="62"/>
      <c r="L280" s="60"/>
      <c r="M280" s="2"/>
      <c r="N280" s="2"/>
      <c r="O280" s="61"/>
      <c r="P280" s="3"/>
      <c r="Q280" s="63"/>
      <c r="R280" s="36"/>
      <c r="S280" s="60"/>
      <c r="T280" s="64"/>
      <c r="U280" s="1"/>
      <c r="V280" s="1"/>
    </row>
    <row r="281" spans="1:22" ht="24.95" customHeight="1" x14ac:dyDescent="0.2">
      <c r="A281" s="1"/>
      <c r="B281" s="30">
        <v>3</v>
      </c>
      <c r="C281" s="30">
        <v>15991</v>
      </c>
      <c r="D281" s="44" t="s">
        <v>148</v>
      </c>
      <c r="E281" s="30" t="s">
        <v>1</v>
      </c>
      <c r="F281" s="62"/>
      <c r="G281" s="60"/>
      <c r="H281" s="2"/>
      <c r="I281" s="2"/>
      <c r="J281" s="61"/>
      <c r="K281" s="62"/>
      <c r="L281" s="60"/>
      <c r="M281" s="2"/>
      <c r="N281" s="2"/>
      <c r="O281" s="61"/>
      <c r="P281" s="3"/>
      <c r="Q281" s="63"/>
      <c r="R281" s="36"/>
      <c r="S281" s="60"/>
      <c r="T281" s="64"/>
      <c r="U281" s="1"/>
      <c r="V281" s="1"/>
    </row>
    <row r="282" spans="1:22" ht="24.95" customHeight="1" x14ac:dyDescent="0.2">
      <c r="A282" s="1"/>
      <c r="B282" s="30">
        <v>4</v>
      </c>
      <c r="C282" s="30">
        <v>16027</v>
      </c>
      <c r="D282" s="44" t="s">
        <v>170</v>
      </c>
      <c r="E282" s="30" t="s">
        <v>1</v>
      </c>
      <c r="F282" s="62"/>
      <c r="G282" s="60"/>
      <c r="H282" s="2"/>
      <c r="I282" s="2"/>
      <c r="J282" s="61"/>
      <c r="K282" s="62"/>
      <c r="L282" s="60"/>
      <c r="M282" s="2"/>
      <c r="N282" s="2"/>
      <c r="O282" s="61"/>
      <c r="P282" s="3"/>
      <c r="Q282" s="63"/>
      <c r="R282" s="36"/>
      <c r="S282" s="60"/>
      <c r="T282" s="64"/>
      <c r="U282" s="1"/>
      <c r="V282" s="1"/>
    </row>
    <row r="283" spans="1:22" ht="24.95" customHeight="1" x14ac:dyDescent="0.2">
      <c r="A283" s="1"/>
      <c r="B283" s="30">
        <v>5</v>
      </c>
      <c r="C283" s="30">
        <v>16028</v>
      </c>
      <c r="D283" s="44" t="s">
        <v>173</v>
      </c>
      <c r="E283" s="30" t="s">
        <v>1</v>
      </c>
      <c r="F283" s="62"/>
      <c r="G283" s="60"/>
      <c r="H283" s="2"/>
      <c r="I283" s="2"/>
      <c r="J283" s="61"/>
      <c r="K283" s="62"/>
      <c r="L283" s="60"/>
      <c r="M283" s="2"/>
      <c r="N283" s="2"/>
      <c r="O283" s="61"/>
      <c r="P283" s="3"/>
      <c r="Q283" s="63"/>
      <c r="R283" s="36"/>
      <c r="S283" s="60"/>
      <c r="T283" s="64"/>
      <c r="U283" s="1"/>
      <c r="V283" s="1"/>
    </row>
    <row r="284" spans="1:22" ht="24.95" customHeight="1" x14ac:dyDescent="0.2">
      <c r="A284" s="1"/>
      <c r="B284" s="30">
        <v>6</v>
      </c>
      <c r="C284" s="30">
        <v>15966</v>
      </c>
      <c r="D284" s="44" t="s">
        <v>124</v>
      </c>
      <c r="E284" s="30" t="s">
        <v>1</v>
      </c>
      <c r="F284" s="62"/>
      <c r="G284" s="60"/>
      <c r="H284" s="2"/>
      <c r="I284" s="2"/>
      <c r="J284" s="61"/>
      <c r="K284" s="62"/>
      <c r="L284" s="60"/>
      <c r="M284" s="2"/>
      <c r="N284" s="2"/>
      <c r="O284" s="61"/>
      <c r="P284" s="3"/>
      <c r="Q284" s="63"/>
      <c r="R284" s="36"/>
      <c r="S284" s="60"/>
      <c r="T284" s="64"/>
      <c r="U284" s="1"/>
      <c r="V284" s="1"/>
    </row>
    <row r="285" spans="1:22" ht="24.95" customHeight="1" x14ac:dyDescent="0.2">
      <c r="A285" s="1"/>
      <c r="B285" s="30">
        <v>7</v>
      </c>
      <c r="C285" s="30">
        <v>16047</v>
      </c>
      <c r="D285" s="44" t="s">
        <v>203</v>
      </c>
      <c r="E285" s="30" t="s">
        <v>1</v>
      </c>
      <c r="F285" s="62"/>
      <c r="G285" s="60"/>
      <c r="H285" s="2"/>
      <c r="I285" s="2"/>
      <c r="J285" s="61"/>
      <c r="K285" s="62"/>
      <c r="L285" s="60"/>
      <c r="M285" s="2"/>
      <c r="N285" s="2"/>
      <c r="O285" s="61"/>
      <c r="P285" s="3"/>
      <c r="Q285" s="63"/>
      <c r="R285" s="36"/>
      <c r="S285" s="60"/>
      <c r="T285" s="64"/>
      <c r="U285" s="1"/>
      <c r="V285" s="1"/>
    </row>
    <row r="286" spans="1:22" ht="24.95" customHeight="1" x14ac:dyDescent="0.2">
      <c r="A286" s="1"/>
      <c r="B286" s="30">
        <v>8</v>
      </c>
      <c r="C286" s="30">
        <v>15996</v>
      </c>
      <c r="D286" s="44" t="s">
        <v>144</v>
      </c>
      <c r="E286" s="30" t="s">
        <v>1</v>
      </c>
      <c r="F286" s="62"/>
      <c r="G286" s="60"/>
      <c r="H286" s="2"/>
      <c r="I286" s="2"/>
      <c r="J286" s="61"/>
      <c r="K286" s="62"/>
      <c r="L286" s="60"/>
      <c r="M286" s="2"/>
      <c r="N286" s="2"/>
      <c r="O286" s="61"/>
      <c r="P286" s="3"/>
      <c r="Q286" s="63"/>
      <c r="R286" s="36"/>
      <c r="S286" s="60"/>
      <c r="T286" s="64"/>
      <c r="U286" s="1"/>
      <c r="V286" s="1"/>
    </row>
    <row r="287" spans="1:22" ht="24.95" customHeight="1" x14ac:dyDescent="0.2">
      <c r="A287" s="1"/>
      <c r="B287" s="30">
        <v>9</v>
      </c>
      <c r="C287" s="30">
        <v>16053</v>
      </c>
      <c r="D287" s="44" t="s">
        <v>180</v>
      </c>
      <c r="E287" s="30" t="s">
        <v>1</v>
      </c>
      <c r="F287" s="62"/>
      <c r="G287" s="60"/>
      <c r="H287" s="2"/>
      <c r="I287" s="2"/>
      <c r="J287" s="61"/>
      <c r="K287" s="62"/>
      <c r="L287" s="60"/>
      <c r="M287" s="2"/>
      <c r="N287" s="2"/>
      <c r="O287" s="61"/>
      <c r="P287" s="3"/>
      <c r="Q287" s="63"/>
      <c r="R287" s="36"/>
      <c r="S287" s="60"/>
      <c r="T287" s="64"/>
      <c r="U287" s="1"/>
      <c r="V287" s="1"/>
    </row>
    <row r="288" spans="1:22" ht="24.95" customHeight="1" x14ac:dyDescent="0.2">
      <c r="A288" s="1"/>
      <c r="B288" s="30">
        <v>10</v>
      </c>
      <c r="C288" s="30">
        <v>16059</v>
      </c>
      <c r="D288" s="44" t="s">
        <v>204</v>
      </c>
      <c r="E288" s="30" t="s">
        <v>1</v>
      </c>
      <c r="F288" s="62"/>
      <c r="G288" s="60"/>
      <c r="H288" s="2"/>
      <c r="I288" s="2"/>
      <c r="J288" s="61"/>
      <c r="K288" s="62"/>
      <c r="L288" s="60"/>
      <c r="M288" s="2"/>
      <c r="N288" s="2"/>
      <c r="O288" s="61"/>
      <c r="P288" s="3"/>
      <c r="Q288" s="63"/>
      <c r="R288" s="36"/>
      <c r="S288" s="60"/>
      <c r="T288" s="64"/>
      <c r="U288" s="1"/>
      <c r="V288" s="1"/>
    </row>
    <row r="289" spans="1:22" ht="24.95" customHeight="1" x14ac:dyDescent="0.2">
      <c r="A289" s="1"/>
      <c r="B289" s="30">
        <v>11</v>
      </c>
      <c r="C289" s="30">
        <v>16033</v>
      </c>
      <c r="D289" s="44" t="s">
        <v>158</v>
      </c>
      <c r="E289" s="30" t="s">
        <v>1</v>
      </c>
      <c r="F289" s="62"/>
      <c r="G289" s="60"/>
      <c r="H289" s="2"/>
      <c r="I289" s="2"/>
      <c r="J289" s="61"/>
      <c r="K289" s="62"/>
      <c r="L289" s="60"/>
      <c r="M289" s="2"/>
      <c r="N289" s="2"/>
      <c r="O289" s="61"/>
      <c r="P289" s="3"/>
      <c r="Q289" s="63"/>
      <c r="R289" s="93"/>
      <c r="S289" s="55"/>
      <c r="T289" s="64"/>
      <c r="U289" s="1"/>
      <c r="V289" s="1"/>
    </row>
    <row r="290" spans="1:22" ht="24.95" customHeight="1" x14ac:dyDescent="0.2">
      <c r="A290" s="1"/>
      <c r="B290" s="30">
        <v>12</v>
      </c>
      <c r="C290" s="30">
        <v>16060</v>
      </c>
      <c r="D290" s="44" t="s">
        <v>189</v>
      </c>
      <c r="E290" s="30" t="s">
        <v>1</v>
      </c>
      <c r="F290" s="62"/>
      <c r="G290" s="60"/>
      <c r="H290" s="2"/>
      <c r="I290" s="2"/>
      <c r="J290" s="61"/>
      <c r="K290" s="62"/>
      <c r="L290" s="60"/>
      <c r="M290" s="2"/>
      <c r="N290" s="2"/>
      <c r="O290" s="61"/>
      <c r="P290" s="3"/>
      <c r="Q290" s="63"/>
      <c r="R290" s="36"/>
      <c r="S290" s="60"/>
      <c r="T290" s="64"/>
      <c r="U290" s="1"/>
      <c r="V290" s="1"/>
    </row>
    <row r="291" spans="1:22" ht="24.95" customHeight="1" x14ac:dyDescent="0.2">
      <c r="A291" s="1"/>
      <c r="B291" s="30">
        <v>13</v>
      </c>
      <c r="C291" s="30">
        <v>16001</v>
      </c>
      <c r="D291" s="44" t="s">
        <v>157</v>
      </c>
      <c r="E291" s="30" t="s">
        <v>1</v>
      </c>
      <c r="F291" s="62"/>
      <c r="G291" s="60"/>
      <c r="H291" s="2"/>
      <c r="I291" s="2"/>
      <c r="J291" s="61"/>
      <c r="K291" s="62"/>
      <c r="L291" s="60"/>
      <c r="M291" s="2"/>
      <c r="N291" s="2"/>
      <c r="O291" s="61"/>
      <c r="P291" s="3"/>
      <c r="Q291" s="63"/>
      <c r="R291" s="36"/>
      <c r="S291" s="60"/>
      <c r="T291" s="64"/>
      <c r="U291" s="1"/>
      <c r="V291" s="1"/>
    </row>
    <row r="292" spans="1:22" ht="24.95" customHeight="1" x14ac:dyDescent="0.2">
      <c r="A292" s="1"/>
      <c r="B292" s="30">
        <v>14</v>
      </c>
      <c r="C292" s="30">
        <v>16063</v>
      </c>
      <c r="D292" s="44" t="s">
        <v>205</v>
      </c>
      <c r="E292" s="30" t="s">
        <v>1</v>
      </c>
      <c r="F292" s="62"/>
      <c r="G292" s="60"/>
      <c r="H292" s="2"/>
      <c r="I292" s="2"/>
      <c r="J292" s="61"/>
      <c r="K292" s="62"/>
      <c r="L292" s="60"/>
      <c r="M292" s="2"/>
      <c r="N292" s="2"/>
      <c r="O292" s="61"/>
      <c r="P292" s="3"/>
      <c r="Q292" s="63"/>
      <c r="R292" s="36"/>
      <c r="S292" s="60"/>
      <c r="T292" s="64"/>
      <c r="U292" s="1"/>
      <c r="V292" s="1"/>
    </row>
    <row r="293" spans="1:22" ht="24.95" customHeight="1" x14ac:dyDescent="0.2">
      <c r="A293" s="1"/>
      <c r="B293" s="30">
        <v>15</v>
      </c>
      <c r="C293" s="30">
        <v>16006</v>
      </c>
      <c r="D293" s="44" t="s">
        <v>155</v>
      </c>
      <c r="E293" s="30" t="s">
        <v>1</v>
      </c>
      <c r="F293" s="62"/>
      <c r="G293" s="60"/>
      <c r="H293" s="2"/>
      <c r="I293" s="2"/>
      <c r="J293" s="61"/>
      <c r="K293" s="62"/>
      <c r="L293" s="60"/>
      <c r="M293" s="2"/>
      <c r="N293" s="2"/>
      <c r="O293" s="61"/>
      <c r="P293" s="3"/>
      <c r="Q293" s="63"/>
      <c r="R293" s="36"/>
      <c r="S293" s="60"/>
      <c r="T293" s="64"/>
      <c r="U293" s="1"/>
      <c r="V293" s="1"/>
    </row>
    <row r="294" spans="1:22" ht="24.95" customHeight="1" x14ac:dyDescent="0.2">
      <c r="A294" s="1"/>
      <c r="B294" s="30">
        <v>16</v>
      </c>
      <c r="C294" s="30">
        <v>16066</v>
      </c>
      <c r="D294" s="44" t="s">
        <v>188</v>
      </c>
      <c r="E294" s="30" t="s">
        <v>1</v>
      </c>
      <c r="F294" s="62"/>
      <c r="G294" s="60"/>
      <c r="H294" s="2"/>
      <c r="I294" s="2"/>
      <c r="J294" s="61"/>
      <c r="K294" s="62"/>
      <c r="L294" s="60"/>
      <c r="M294" s="2"/>
      <c r="N294" s="2"/>
      <c r="O294" s="61"/>
      <c r="P294" s="3"/>
      <c r="Q294" s="63"/>
      <c r="R294" s="36"/>
      <c r="S294" s="60"/>
      <c r="T294" s="64"/>
      <c r="U294" s="1"/>
      <c r="V294" s="1"/>
    </row>
    <row r="295" spans="1:22" ht="24.95" customHeight="1" x14ac:dyDescent="0.2">
      <c r="A295" s="1"/>
      <c r="B295" s="30">
        <v>17</v>
      </c>
      <c r="C295" s="30">
        <v>16067</v>
      </c>
      <c r="D295" s="44" t="s">
        <v>201</v>
      </c>
      <c r="E295" s="30" t="s">
        <v>1</v>
      </c>
      <c r="F295" s="62"/>
      <c r="G295" s="60"/>
      <c r="H295" s="2"/>
      <c r="I295" s="2"/>
      <c r="J295" s="61"/>
      <c r="K295" s="62"/>
      <c r="L295" s="60"/>
      <c r="M295" s="2"/>
      <c r="N295" s="2"/>
      <c r="O295" s="61"/>
      <c r="P295" s="3"/>
      <c r="Q295" s="63"/>
      <c r="R295" s="36"/>
      <c r="S295" s="60"/>
      <c r="T295" s="64"/>
      <c r="U295" s="1"/>
      <c r="V295" s="1"/>
    </row>
    <row r="296" spans="1:22" ht="24.95" customHeight="1" x14ac:dyDescent="0.2">
      <c r="A296" s="1"/>
      <c r="B296" s="30">
        <v>18</v>
      </c>
      <c r="C296" s="30">
        <v>16068</v>
      </c>
      <c r="D296" s="44" t="s">
        <v>207</v>
      </c>
      <c r="E296" s="30" t="s">
        <v>1</v>
      </c>
      <c r="F296" s="62"/>
      <c r="G296" s="65"/>
      <c r="H296" s="2"/>
      <c r="I296" s="2"/>
      <c r="J296" s="61"/>
      <c r="K296" s="62"/>
      <c r="L296" s="65"/>
      <c r="M296" s="2"/>
      <c r="N296" s="2"/>
      <c r="O296" s="61"/>
      <c r="P296" s="3"/>
      <c r="Q296" s="63"/>
      <c r="R296" s="93"/>
      <c r="S296" s="55"/>
      <c r="T296" s="64"/>
      <c r="U296" s="1"/>
      <c r="V296" s="1"/>
    </row>
    <row r="297" spans="1:22" ht="24.95" customHeight="1" x14ac:dyDescent="0.2">
      <c r="A297" s="1"/>
      <c r="B297" s="30">
        <v>19</v>
      </c>
      <c r="C297" s="30">
        <v>16012</v>
      </c>
      <c r="D297" s="44" t="s">
        <v>150</v>
      </c>
      <c r="E297" s="30" t="s">
        <v>1</v>
      </c>
      <c r="F297" s="62"/>
      <c r="G297" s="65"/>
      <c r="H297" s="2"/>
      <c r="I297" s="2"/>
      <c r="J297" s="61"/>
      <c r="K297" s="62"/>
      <c r="L297" s="65"/>
      <c r="M297" s="2"/>
      <c r="N297" s="2"/>
      <c r="O297" s="61"/>
      <c r="P297" s="3"/>
      <c r="Q297" s="63"/>
      <c r="R297" s="93"/>
      <c r="S297" s="55"/>
      <c r="T297" s="64"/>
      <c r="U297" s="1"/>
      <c r="V297" s="1"/>
    </row>
    <row r="298" spans="1:22" ht="24.95" customHeight="1" x14ac:dyDescent="0.2">
      <c r="A298" s="1"/>
      <c r="B298" s="30">
        <v>20</v>
      </c>
      <c r="C298" s="30">
        <v>15981</v>
      </c>
      <c r="D298" s="44" t="s">
        <v>106</v>
      </c>
      <c r="E298" s="30" t="s">
        <v>1</v>
      </c>
      <c r="F298" s="62"/>
      <c r="G298" s="60"/>
      <c r="H298" s="2"/>
      <c r="I298" s="2"/>
      <c r="J298" s="61"/>
      <c r="K298" s="62"/>
      <c r="L298" s="60"/>
      <c r="M298" s="2"/>
      <c r="N298" s="2"/>
      <c r="O298" s="61"/>
      <c r="P298" s="3"/>
      <c r="Q298" s="63"/>
      <c r="R298" s="36"/>
      <c r="S298" s="60"/>
      <c r="T298" s="64"/>
      <c r="U298" s="1"/>
      <c r="V298" s="1"/>
    </row>
    <row r="299" spans="1:22" ht="24.95" customHeight="1" x14ac:dyDescent="0.2">
      <c r="A299" s="1"/>
      <c r="B299" s="30">
        <v>21</v>
      </c>
      <c r="C299" s="30">
        <v>16073</v>
      </c>
      <c r="D299" s="44" t="s">
        <v>181</v>
      </c>
      <c r="E299" s="30" t="s">
        <v>1</v>
      </c>
      <c r="F299" s="62"/>
      <c r="G299" s="65"/>
      <c r="H299" s="2"/>
      <c r="I299" s="2"/>
      <c r="J299" s="61"/>
      <c r="K299" s="62"/>
      <c r="L299" s="65"/>
      <c r="M299" s="2"/>
      <c r="N299" s="2"/>
      <c r="O299" s="61"/>
      <c r="P299" s="3"/>
      <c r="Q299" s="63"/>
      <c r="R299" s="36"/>
      <c r="S299" s="60"/>
      <c r="T299" s="64"/>
      <c r="U299" s="1"/>
      <c r="V299" s="1"/>
    </row>
    <row r="300" spans="1:22" ht="24.95" customHeight="1" x14ac:dyDescent="0.2">
      <c r="A300" s="1"/>
      <c r="B300" s="30">
        <v>22</v>
      </c>
      <c r="C300" s="30">
        <v>16015</v>
      </c>
      <c r="D300" s="44" t="s">
        <v>153</v>
      </c>
      <c r="E300" s="30" t="s">
        <v>1</v>
      </c>
      <c r="F300" s="62"/>
      <c r="G300" s="66"/>
      <c r="H300" s="67"/>
      <c r="I300" s="67"/>
      <c r="J300" s="68"/>
      <c r="K300" s="62"/>
      <c r="L300" s="66"/>
      <c r="M300" s="67"/>
      <c r="N300" s="67"/>
      <c r="O300" s="68"/>
      <c r="P300" s="40"/>
      <c r="Q300" s="69"/>
      <c r="R300" s="178"/>
      <c r="S300" s="90"/>
      <c r="T300" s="70"/>
      <c r="U300" s="1"/>
      <c r="V300" s="1"/>
    </row>
    <row r="301" spans="1:22" ht="24.95" customHeight="1" x14ac:dyDescent="0.2">
      <c r="A301" s="1"/>
      <c r="B301" s="30">
        <v>23</v>
      </c>
      <c r="C301" s="30">
        <v>15986</v>
      </c>
      <c r="D301" s="44" t="s">
        <v>133</v>
      </c>
      <c r="E301" s="30" t="s">
        <v>1</v>
      </c>
      <c r="F301" s="62"/>
      <c r="G301" s="66"/>
      <c r="H301" s="67"/>
      <c r="I301" s="67"/>
      <c r="J301" s="68"/>
      <c r="K301" s="62"/>
      <c r="L301" s="66"/>
      <c r="M301" s="67"/>
      <c r="N301" s="67"/>
      <c r="O301" s="68"/>
      <c r="P301" s="40"/>
      <c r="Q301" s="69"/>
      <c r="R301" s="178"/>
      <c r="S301" s="90"/>
      <c r="T301" s="70"/>
      <c r="U301" s="1"/>
      <c r="V301" s="1"/>
    </row>
    <row r="302" spans="1:22" ht="24.95" customHeight="1" x14ac:dyDescent="0.2">
      <c r="A302" s="1"/>
      <c r="B302" s="30">
        <v>24</v>
      </c>
      <c r="C302" s="30">
        <v>16075</v>
      </c>
      <c r="D302" s="44" t="s">
        <v>191</v>
      </c>
      <c r="E302" s="30" t="s">
        <v>1</v>
      </c>
      <c r="F302" s="62"/>
      <c r="G302" s="66"/>
      <c r="H302" s="67"/>
      <c r="I302" s="67"/>
      <c r="J302" s="68"/>
      <c r="K302" s="62"/>
      <c r="L302" s="66"/>
      <c r="M302" s="67"/>
      <c r="N302" s="67"/>
      <c r="O302" s="68"/>
      <c r="P302" s="40"/>
      <c r="Q302" s="69"/>
      <c r="R302" s="178"/>
      <c r="S302" s="90"/>
      <c r="T302" s="70"/>
      <c r="U302" s="1"/>
      <c r="V302" s="1"/>
    </row>
    <row r="303" spans="1:22" ht="24.95" customHeight="1" x14ac:dyDescent="0.2">
      <c r="A303" s="1"/>
      <c r="B303" s="30">
        <v>25</v>
      </c>
      <c r="C303" s="30"/>
      <c r="D303" s="44"/>
      <c r="E303" s="30" t="s">
        <v>1</v>
      </c>
      <c r="F303" s="62"/>
      <c r="G303" s="66"/>
      <c r="H303" s="67"/>
      <c r="I303" s="67"/>
      <c r="J303" s="68"/>
      <c r="K303" s="62"/>
      <c r="L303" s="66"/>
      <c r="M303" s="67"/>
      <c r="N303" s="67"/>
      <c r="O303" s="68"/>
      <c r="P303" s="40"/>
      <c r="Q303" s="69"/>
      <c r="R303" s="178"/>
      <c r="S303" s="90"/>
      <c r="T303" s="70"/>
      <c r="U303" s="1"/>
      <c r="V303" s="1"/>
    </row>
    <row r="304" spans="1:22" ht="24.95" customHeight="1" x14ac:dyDescent="0.2">
      <c r="A304" s="1"/>
      <c r="B304" s="30">
        <v>26</v>
      </c>
      <c r="C304" s="30"/>
      <c r="D304" s="44"/>
      <c r="E304" s="30" t="s">
        <v>1</v>
      </c>
      <c r="F304" s="62"/>
      <c r="G304" s="66"/>
      <c r="H304" s="67"/>
      <c r="I304" s="67"/>
      <c r="J304" s="68"/>
      <c r="K304" s="62"/>
      <c r="L304" s="66"/>
      <c r="M304" s="67"/>
      <c r="N304" s="67"/>
      <c r="O304" s="68"/>
      <c r="P304" s="40"/>
      <c r="Q304" s="69"/>
      <c r="R304" s="178"/>
      <c r="S304" s="90"/>
      <c r="T304" s="70"/>
      <c r="U304" s="1"/>
      <c r="V304" s="1"/>
    </row>
    <row r="305" spans="1:22" ht="24.95" customHeight="1" x14ac:dyDescent="0.2">
      <c r="A305" s="1"/>
      <c r="B305" s="30">
        <v>27</v>
      </c>
      <c r="C305" s="30"/>
      <c r="D305" s="44"/>
      <c r="E305" s="30" t="s">
        <v>1</v>
      </c>
      <c r="F305" s="62"/>
      <c r="G305" s="66"/>
      <c r="H305" s="67"/>
      <c r="I305" s="67"/>
      <c r="J305" s="68"/>
      <c r="K305" s="62"/>
      <c r="L305" s="66"/>
      <c r="M305" s="67"/>
      <c r="N305" s="67"/>
      <c r="O305" s="68"/>
      <c r="P305" s="40"/>
      <c r="Q305" s="69"/>
      <c r="R305" s="178"/>
      <c r="S305" s="90"/>
      <c r="T305" s="70"/>
      <c r="U305" s="1"/>
      <c r="V305" s="1"/>
    </row>
    <row r="306" spans="1:22" ht="24.95" customHeight="1" x14ac:dyDescent="0.2">
      <c r="A306" s="1"/>
      <c r="B306" s="30">
        <v>28</v>
      </c>
      <c r="C306" s="30"/>
      <c r="D306" s="44"/>
      <c r="E306" s="30" t="s">
        <v>1</v>
      </c>
      <c r="F306" s="62"/>
      <c r="G306" s="66"/>
      <c r="H306" s="67"/>
      <c r="I306" s="67"/>
      <c r="J306" s="68"/>
      <c r="K306" s="62"/>
      <c r="L306" s="66"/>
      <c r="M306" s="67"/>
      <c r="N306" s="67"/>
      <c r="O306" s="68"/>
      <c r="P306" s="40"/>
      <c r="Q306" s="69"/>
      <c r="R306" s="178"/>
      <c r="S306" s="90"/>
      <c r="T306" s="70"/>
      <c r="U306" s="1"/>
      <c r="V306" s="1"/>
    </row>
    <row r="307" spans="1:22" ht="24.95" customHeight="1" x14ac:dyDescent="0.2">
      <c r="A307" s="1"/>
      <c r="B307" s="30">
        <v>29</v>
      </c>
      <c r="C307" s="30"/>
      <c r="D307" s="44"/>
      <c r="E307" s="30" t="s">
        <v>1</v>
      </c>
      <c r="F307" s="62"/>
      <c r="G307" s="66"/>
      <c r="H307" s="67"/>
      <c r="I307" s="67"/>
      <c r="J307" s="68"/>
      <c r="K307" s="62"/>
      <c r="L307" s="66"/>
      <c r="M307" s="67"/>
      <c r="N307" s="67"/>
      <c r="O307" s="68"/>
      <c r="P307" s="40"/>
      <c r="Q307" s="69"/>
      <c r="R307" s="178"/>
      <c r="S307" s="90"/>
      <c r="T307" s="70"/>
      <c r="U307" s="1"/>
      <c r="V307" s="1"/>
    </row>
    <row r="308" spans="1:22" ht="24.95" customHeight="1" x14ac:dyDescent="0.2">
      <c r="A308" s="1"/>
      <c r="B308" s="30">
        <v>30</v>
      </c>
      <c r="C308" s="30"/>
      <c r="D308" s="44"/>
      <c r="E308" s="30"/>
      <c r="F308" s="71"/>
      <c r="G308" s="66"/>
      <c r="H308" s="67"/>
      <c r="I308" s="67"/>
      <c r="J308" s="68"/>
      <c r="K308" s="71"/>
      <c r="L308" s="66"/>
      <c r="M308" s="67"/>
      <c r="N308" s="67"/>
      <c r="O308" s="68"/>
      <c r="P308" s="40"/>
      <c r="Q308" s="69"/>
      <c r="R308" s="178"/>
      <c r="S308" s="90"/>
      <c r="T308" s="70"/>
      <c r="U308" s="1"/>
      <c r="V308" s="1"/>
    </row>
    <row r="309" spans="1:22" ht="24.95" customHeight="1" x14ac:dyDescent="0.2">
      <c r="A309" s="1"/>
      <c r="B309" s="30">
        <v>31</v>
      </c>
      <c r="C309" s="30"/>
      <c r="D309" s="44"/>
      <c r="E309" s="30"/>
      <c r="F309" s="71"/>
      <c r="G309" s="66"/>
      <c r="H309" s="67"/>
      <c r="I309" s="67"/>
      <c r="J309" s="68"/>
      <c r="K309" s="71"/>
      <c r="L309" s="66"/>
      <c r="M309" s="67"/>
      <c r="N309" s="67"/>
      <c r="O309" s="68"/>
      <c r="P309" s="40"/>
      <c r="Q309" s="69"/>
      <c r="R309" s="178"/>
      <c r="S309" s="90"/>
      <c r="T309" s="70"/>
      <c r="U309" s="1"/>
      <c r="V309" s="1"/>
    </row>
    <row r="310" spans="1:22" ht="24.95" customHeight="1" x14ac:dyDescent="0.2">
      <c r="A310" s="1"/>
      <c r="B310" s="30">
        <v>32</v>
      </c>
      <c r="C310" s="30"/>
      <c r="D310" s="44"/>
      <c r="E310" s="30"/>
      <c r="F310" s="71"/>
      <c r="G310" s="66"/>
      <c r="H310" s="67"/>
      <c r="I310" s="67"/>
      <c r="J310" s="68"/>
      <c r="K310" s="71"/>
      <c r="L310" s="66"/>
      <c r="M310" s="67"/>
      <c r="N310" s="67"/>
      <c r="O310" s="68"/>
      <c r="P310" s="40"/>
      <c r="Q310" s="69"/>
      <c r="R310" s="178"/>
      <c r="S310" s="90"/>
      <c r="T310" s="70"/>
      <c r="U310" s="1"/>
      <c r="V310" s="1"/>
    </row>
    <row r="311" spans="1:22" ht="24.95" customHeight="1" x14ac:dyDescent="0.2">
      <c r="A311" s="1"/>
      <c r="B311" s="30">
        <v>33</v>
      </c>
      <c r="C311" s="30"/>
      <c r="D311" s="44"/>
      <c r="E311" s="30"/>
      <c r="F311" s="71"/>
      <c r="G311" s="66"/>
      <c r="H311" s="67"/>
      <c r="I311" s="67"/>
      <c r="J311" s="68"/>
      <c r="K311" s="71"/>
      <c r="L311" s="66"/>
      <c r="M311" s="67"/>
      <c r="N311" s="67"/>
      <c r="O311" s="68"/>
      <c r="P311" s="40"/>
      <c r="Q311" s="69"/>
      <c r="R311" s="178"/>
      <c r="S311" s="90"/>
      <c r="T311" s="70"/>
      <c r="U311" s="1"/>
      <c r="V311" s="1"/>
    </row>
    <row r="312" spans="1:22" ht="24.95" customHeight="1" x14ac:dyDescent="0.2">
      <c r="A312" s="1"/>
      <c r="B312" s="30"/>
      <c r="C312" s="30"/>
      <c r="D312" s="44"/>
      <c r="E312" s="30"/>
      <c r="F312" s="89"/>
      <c r="G312" s="90"/>
      <c r="H312" s="67"/>
      <c r="I312" s="67"/>
      <c r="J312" s="68"/>
      <c r="K312" s="89"/>
      <c r="L312" s="90"/>
      <c r="M312" s="67"/>
      <c r="N312" s="67"/>
      <c r="O312" s="68"/>
      <c r="P312" s="40"/>
      <c r="Q312" s="69"/>
      <c r="R312" s="178"/>
      <c r="S312" s="90"/>
      <c r="T312" s="70"/>
      <c r="U312" s="1"/>
      <c r="V312" s="1"/>
    </row>
    <row r="313" spans="1:22" ht="24.95" customHeight="1" x14ac:dyDescent="0.2">
      <c r="A313" s="1"/>
      <c r="B313" s="30"/>
      <c r="C313" s="30"/>
      <c r="D313" s="44"/>
      <c r="E313" s="30"/>
      <c r="F313" s="71"/>
      <c r="G313" s="66"/>
      <c r="H313" s="67"/>
      <c r="I313" s="67"/>
      <c r="J313" s="68"/>
      <c r="K313" s="71"/>
      <c r="L313" s="66"/>
      <c r="M313" s="67"/>
      <c r="N313" s="67"/>
      <c r="O313" s="68"/>
      <c r="P313" s="40"/>
      <c r="Q313" s="69"/>
      <c r="R313" s="178"/>
      <c r="S313" s="90"/>
      <c r="T313" s="70"/>
      <c r="U313" s="1"/>
      <c r="V313" s="1"/>
    </row>
    <row r="314" spans="1:22" ht="24.95" customHeight="1" x14ac:dyDescent="0.2">
      <c r="A314" s="1"/>
      <c r="B314" s="30"/>
      <c r="C314" s="30"/>
      <c r="D314" s="44"/>
      <c r="E314" s="30"/>
      <c r="F314" s="62"/>
      <c r="G314" s="65"/>
      <c r="H314" s="2"/>
      <c r="I314" s="2"/>
      <c r="J314" s="61"/>
      <c r="K314" s="62"/>
      <c r="L314" s="65"/>
      <c r="M314" s="2"/>
      <c r="N314" s="2"/>
      <c r="O314" s="61"/>
      <c r="P314" s="3"/>
      <c r="Q314" s="63"/>
      <c r="R314" s="36"/>
      <c r="S314" s="60"/>
      <c r="T314" s="64"/>
      <c r="U314" s="1"/>
      <c r="V314" s="1"/>
    </row>
    <row r="315" spans="1:22" ht="24.95" customHeight="1" x14ac:dyDescent="0.2">
      <c r="A315" s="1"/>
      <c r="B315" s="85"/>
      <c r="C315" s="30"/>
      <c r="D315" s="168"/>
      <c r="E315" s="31"/>
      <c r="F315" s="57"/>
      <c r="G315" s="153"/>
      <c r="H315" s="5"/>
      <c r="I315" s="5"/>
      <c r="J315" s="56"/>
      <c r="K315" s="57"/>
      <c r="L315" s="153"/>
      <c r="M315" s="5"/>
      <c r="N315" s="5"/>
      <c r="O315" s="56"/>
      <c r="P315" s="4"/>
      <c r="Q315" s="58"/>
      <c r="R315" s="190"/>
      <c r="S315" s="191"/>
      <c r="T315" s="59"/>
      <c r="U315" s="1"/>
      <c r="V315" s="1"/>
    </row>
    <row r="316" spans="1:22" ht="24.95" customHeight="1" thickBot="1" x14ac:dyDescent="0.25">
      <c r="A316" s="1"/>
      <c r="B316" s="52"/>
      <c r="C316" s="53"/>
      <c r="D316" s="195"/>
      <c r="E316" s="174"/>
      <c r="F316" s="77"/>
      <c r="G316" s="74"/>
      <c r="H316" s="75"/>
      <c r="I316" s="75"/>
      <c r="J316" s="76"/>
      <c r="K316" s="77"/>
      <c r="L316" s="74"/>
      <c r="M316" s="75"/>
      <c r="N316" s="75"/>
      <c r="O316" s="76"/>
      <c r="P316" s="75"/>
      <c r="Q316" s="78"/>
      <c r="R316" s="78"/>
      <c r="S316" s="78"/>
      <c r="T316" s="76"/>
      <c r="U316" s="1"/>
      <c r="V316" s="1"/>
    </row>
    <row r="317" spans="1:22" ht="18.95" customHeight="1" x14ac:dyDescent="0.2">
      <c r="A317" s="1"/>
      <c r="B317" s="37"/>
      <c r="C317" s="37"/>
      <c r="D317" s="205"/>
      <c r="E317" s="3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8.95" customHeight="1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8.95" customHeight="1" x14ac:dyDescent="0.2">
      <c r="A319" s="1"/>
      <c r="B319" s="255"/>
      <c r="C319" s="256"/>
      <c r="D319" s="259" t="s">
        <v>3</v>
      </c>
      <c r="E319" s="260"/>
      <c r="F319" s="260"/>
      <c r="G319" s="260"/>
      <c r="H319" s="260"/>
      <c r="I319" s="260"/>
      <c r="J319" s="260"/>
      <c r="K319" s="260"/>
      <c r="L319" s="260"/>
      <c r="M319" s="260"/>
      <c r="N319" s="260"/>
      <c r="O319" s="260"/>
      <c r="P319" s="260"/>
      <c r="Q319" s="260"/>
      <c r="R319" s="260"/>
      <c r="S319" s="260"/>
      <c r="T319" s="261"/>
      <c r="U319" s="1"/>
      <c r="V319" s="1"/>
    </row>
    <row r="320" spans="1:22" ht="18.95" customHeight="1" x14ac:dyDescent="0.2">
      <c r="A320" s="1"/>
      <c r="B320" s="257"/>
      <c r="C320" s="258"/>
      <c r="D320" s="262" t="s">
        <v>4</v>
      </c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4"/>
      <c r="U320" s="1"/>
      <c r="V320" s="1"/>
    </row>
    <row r="321" spans="1:22" ht="18.95" customHeight="1" thickBot="1" x14ac:dyDescent="0.25">
      <c r="A321" s="1"/>
      <c r="B321" s="257"/>
      <c r="C321" s="258"/>
      <c r="D321" s="265" t="s">
        <v>547</v>
      </c>
      <c r="E321" s="266"/>
      <c r="F321" s="266"/>
      <c r="G321" s="266"/>
      <c r="H321" s="266"/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7"/>
      <c r="U321" s="1"/>
      <c r="V321" s="1"/>
    </row>
    <row r="322" spans="1:22" ht="18.95" customHeight="1" thickBot="1" x14ac:dyDescent="0.25">
      <c r="A322" s="1"/>
      <c r="B322" s="268"/>
      <c r="C322" s="269"/>
      <c r="D322" s="25" t="s">
        <v>256</v>
      </c>
      <c r="E322" s="26"/>
      <c r="F322" s="27" t="s">
        <v>2</v>
      </c>
      <c r="G322" s="27"/>
      <c r="H322" s="27"/>
      <c r="I322" s="28"/>
      <c r="J322" s="28" t="s">
        <v>526</v>
      </c>
      <c r="K322" s="27"/>
      <c r="L322" s="27"/>
      <c r="M322" s="27"/>
      <c r="N322" s="27"/>
      <c r="O322" s="27"/>
      <c r="P322" s="27"/>
      <c r="Q322" s="27"/>
      <c r="R322" s="27"/>
      <c r="S322" s="27"/>
      <c r="T322" s="123"/>
      <c r="U322" s="1"/>
      <c r="V322" s="1"/>
    </row>
    <row r="323" spans="1:22" ht="18.95" customHeight="1" thickBot="1" x14ac:dyDescent="0.25">
      <c r="A323" s="1"/>
      <c r="B323" s="271" t="s">
        <v>6</v>
      </c>
      <c r="C323" s="278"/>
      <c r="D323" s="277" t="s">
        <v>7</v>
      </c>
      <c r="E323" s="273" t="s">
        <v>12</v>
      </c>
      <c r="F323" s="268"/>
      <c r="G323" s="277"/>
      <c r="H323" s="277"/>
      <c r="I323" s="277"/>
      <c r="J323" s="269"/>
      <c r="K323" s="268"/>
      <c r="L323" s="277"/>
      <c r="M323" s="277"/>
      <c r="N323" s="277"/>
      <c r="O323" s="269"/>
      <c r="P323" s="272"/>
      <c r="Q323" s="277"/>
      <c r="R323" s="277"/>
      <c r="S323" s="277"/>
      <c r="T323" s="269"/>
      <c r="U323" s="1"/>
      <c r="V323" s="1"/>
    </row>
    <row r="324" spans="1:22" ht="18.95" customHeight="1" thickBot="1" x14ac:dyDescent="0.25">
      <c r="A324" s="1"/>
      <c r="B324" s="42" t="s">
        <v>10</v>
      </c>
      <c r="C324" s="29" t="s">
        <v>9</v>
      </c>
      <c r="D324" s="277"/>
      <c r="E324" s="274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1"/>
      <c r="V324" s="1"/>
    </row>
    <row r="325" spans="1:22" ht="24.95" customHeight="1" x14ac:dyDescent="0.2">
      <c r="A325" s="1"/>
      <c r="B325" s="32">
        <v>1</v>
      </c>
      <c r="C325" s="31">
        <v>15961</v>
      </c>
      <c r="D325" s="44" t="s">
        <v>117</v>
      </c>
      <c r="E325" s="30" t="s">
        <v>1</v>
      </c>
      <c r="F325" s="62"/>
      <c r="G325" s="79"/>
      <c r="H325" s="80"/>
      <c r="I325" s="2"/>
      <c r="J325" s="61"/>
      <c r="K325" s="62"/>
      <c r="L325" s="79"/>
      <c r="M325" s="80"/>
      <c r="N325" s="2"/>
      <c r="O325" s="61"/>
      <c r="P325" s="81"/>
      <c r="Q325" s="82"/>
      <c r="R325" s="36"/>
      <c r="S325" s="60"/>
      <c r="T325" s="83"/>
      <c r="U325" s="1"/>
      <c r="V325" s="1"/>
    </row>
    <row r="326" spans="1:22" ht="24.95" customHeight="1" x14ac:dyDescent="0.2">
      <c r="A326" s="1"/>
      <c r="B326" s="30">
        <v>2</v>
      </c>
      <c r="C326" s="30">
        <v>16022</v>
      </c>
      <c r="D326" s="44" t="s">
        <v>177</v>
      </c>
      <c r="E326" s="30" t="s">
        <v>1</v>
      </c>
      <c r="F326" s="62"/>
      <c r="G326" s="60"/>
      <c r="H326" s="2"/>
      <c r="I326" s="2"/>
      <c r="J326" s="61"/>
      <c r="K326" s="62"/>
      <c r="L326" s="60"/>
      <c r="M326" s="2"/>
      <c r="N326" s="2"/>
      <c r="O326" s="61"/>
      <c r="P326" s="3"/>
      <c r="Q326" s="63"/>
      <c r="R326" s="36"/>
      <c r="S326" s="60"/>
      <c r="T326" s="64"/>
      <c r="U326" s="1"/>
      <c r="V326" s="1"/>
    </row>
    <row r="327" spans="1:22" ht="24.95" customHeight="1" x14ac:dyDescent="0.2">
      <c r="A327" s="1"/>
      <c r="B327" s="30">
        <v>3</v>
      </c>
      <c r="C327" s="30">
        <v>15990</v>
      </c>
      <c r="D327" s="44" t="s">
        <v>139</v>
      </c>
      <c r="E327" s="30" t="s">
        <v>1</v>
      </c>
      <c r="F327" s="62"/>
      <c r="G327" s="60"/>
      <c r="H327" s="2"/>
      <c r="I327" s="2"/>
      <c r="J327" s="61"/>
      <c r="K327" s="62"/>
      <c r="L327" s="60"/>
      <c r="M327" s="2"/>
      <c r="N327" s="2"/>
      <c r="O327" s="61"/>
      <c r="P327" s="3"/>
      <c r="Q327" s="63"/>
      <c r="R327" s="36"/>
      <c r="S327" s="60"/>
      <c r="T327" s="64"/>
      <c r="U327" s="1"/>
      <c r="V327" s="1"/>
    </row>
    <row r="328" spans="1:22" ht="24.95" customHeight="1" x14ac:dyDescent="0.2">
      <c r="A328" s="1"/>
      <c r="B328" s="30">
        <v>4</v>
      </c>
      <c r="C328" s="30">
        <v>15963</v>
      </c>
      <c r="D328" s="44" t="s">
        <v>107</v>
      </c>
      <c r="E328" s="30" t="s">
        <v>1</v>
      </c>
      <c r="F328" s="62"/>
      <c r="G328" s="60"/>
      <c r="H328" s="2"/>
      <c r="I328" s="2"/>
      <c r="J328" s="167"/>
      <c r="K328" s="62"/>
      <c r="L328" s="60"/>
      <c r="M328" s="2"/>
      <c r="N328" s="2"/>
      <c r="O328" s="61"/>
      <c r="P328" s="3"/>
      <c r="Q328" s="63"/>
      <c r="R328" s="36"/>
      <c r="S328" s="60"/>
      <c r="T328" s="64"/>
      <c r="U328" s="1"/>
      <c r="V328" s="1"/>
    </row>
    <row r="329" spans="1:22" ht="24.95" customHeight="1" x14ac:dyDescent="0.2">
      <c r="A329" s="1"/>
      <c r="B329" s="30">
        <v>5</v>
      </c>
      <c r="C329" s="30">
        <v>16030</v>
      </c>
      <c r="D329" s="44" t="s">
        <v>164</v>
      </c>
      <c r="E329" s="30" t="s">
        <v>1</v>
      </c>
      <c r="F329" s="62"/>
      <c r="G329" s="60"/>
      <c r="H329" s="2"/>
      <c r="I329" s="2"/>
      <c r="J329" s="61"/>
      <c r="K329" s="62"/>
      <c r="L329" s="60"/>
      <c r="M329" s="2"/>
      <c r="N329" s="2"/>
      <c r="O329" s="61"/>
      <c r="P329" s="3"/>
      <c r="Q329" s="63"/>
      <c r="R329" s="36"/>
      <c r="S329" s="60"/>
      <c r="T329" s="64"/>
      <c r="U329" s="1"/>
      <c r="V329" s="1"/>
    </row>
    <row r="330" spans="1:22" ht="24.95" customHeight="1" x14ac:dyDescent="0.2">
      <c r="A330" s="1"/>
      <c r="B330" s="30">
        <v>6</v>
      </c>
      <c r="C330" s="30">
        <v>15993</v>
      </c>
      <c r="D330" s="44" t="s">
        <v>243</v>
      </c>
      <c r="E330" s="30" t="s">
        <v>1</v>
      </c>
      <c r="F330" s="62"/>
      <c r="G330" s="60"/>
      <c r="H330" s="2"/>
      <c r="I330" s="2"/>
      <c r="J330" s="61"/>
      <c r="K330" s="62"/>
      <c r="L330" s="60"/>
      <c r="M330" s="2"/>
      <c r="N330" s="2"/>
      <c r="O330" s="61"/>
      <c r="P330" s="3"/>
      <c r="Q330" s="63"/>
      <c r="R330" s="36"/>
      <c r="S330" s="60"/>
      <c r="T330" s="64"/>
      <c r="U330" s="1"/>
      <c r="V330" s="1"/>
    </row>
    <row r="331" spans="1:22" ht="24.95" customHeight="1" x14ac:dyDescent="0.2">
      <c r="A331" s="1"/>
      <c r="B331" s="30">
        <v>7</v>
      </c>
      <c r="C331" s="30">
        <v>16049</v>
      </c>
      <c r="D331" s="44" t="s">
        <v>209</v>
      </c>
      <c r="E331" s="30" t="s">
        <v>1</v>
      </c>
      <c r="F331" s="62"/>
      <c r="G331" s="60"/>
      <c r="H331" s="2"/>
      <c r="I331" s="2"/>
      <c r="J331" s="61"/>
      <c r="K331" s="62"/>
      <c r="L331" s="60"/>
      <c r="M331" s="2"/>
      <c r="N331" s="2"/>
      <c r="O331" s="61"/>
      <c r="P331" s="3"/>
      <c r="Q331" s="63"/>
      <c r="R331" s="36"/>
      <c r="S331" s="60"/>
      <c r="T331" s="64"/>
      <c r="U331" s="1"/>
      <c r="V331" s="1"/>
    </row>
    <row r="332" spans="1:22" ht="24.95" customHeight="1" x14ac:dyDescent="0.2">
      <c r="A332" s="1"/>
      <c r="B332" s="30">
        <v>8</v>
      </c>
      <c r="C332" s="30">
        <v>15968</v>
      </c>
      <c r="D332" s="44" t="s">
        <v>115</v>
      </c>
      <c r="E332" s="30" t="s">
        <v>1</v>
      </c>
      <c r="F332" s="62"/>
      <c r="G332" s="60"/>
      <c r="H332" s="2"/>
      <c r="I332" s="2"/>
      <c r="J332" s="61"/>
      <c r="K332" s="62"/>
      <c r="L332" s="60"/>
      <c r="M332" s="2"/>
      <c r="N332" s="2"/>
      <c r="O332" s="61"/>
      <c r="P332" s="3"/>
      <c r="Q332" s="63"/>
      <c r="R332" s="36"/>
      <c r="S332" s="60"/>
      <c r="T332" s="64"/>
      <c r="U332" s="1"/>
      <c r="V332" s="1"/>
    </row>
    <row r="333" spans="1:22" ht="24.95" customHeight="1" x14ac:dyDescent="0.2">
      <c r="A333" s="1"/>
      <c r="B333" s="30">
        <v>9</v>
      </c>
      <c r="C333" s="30">
        <v>15997</v>
      </c>
      <c r="D333" s="44" t="s">
        <v>135</v>
      </c>
      <c r="E333" s="30" t="s">
        <v>1</v>
      </c>
      <c r="F333" s="62"/>
      <c r="G333" s="60"/>
      <c r="H333" s="2"/>
      <c r="I333" s="2"/>
      <c r="J333" s="61"/>
      <c r="K333" s="62"/>
      <c r="L333" s="60"/>
      <c r="M333" s="2"/>
      <c r="N333" s="2"/>
      <c r="O333" s="61"/>
      <c r="P333" s="3"/>
      <c r="Q333" s="63"/>
      <c r="R333" s="93"/>
      <c r="S333" s="55"/>
      <c r="T333" s="64"/>
      <c r="U333" s="1"/>
      <c r="V333" s="1"/>
    </row>
    <row r="334" spans="1:22" ht="24.95" customHeight="1" x14ac:dyDescent="0.2">
      <c r="A334" s="1"/>
      <c r="B334" s="30">
        <v>10</v>
      </c>
      <c r="C334" s="30">
        <v>15999</v>
      </c>
      <c r="D334" s="44" t="s">
        <v>140</v>
      </c>
      <c r="E334" s="30" t="s">
        <v>1</v>
      </c>
      <c r="F334" s="62"/>
      <c r="G334" s="60"/>
      <c r="H334" s="2"/>
      <c r="I334" s="2"/>
      <c r="J334" s="61"/>
      <c r="K334" s="62"/>
      <c r="L334" s="60"/>
      <c r="M334" s="2"/>
      <c r="N334" s="2"/>
      <c r="O334" s="61"/>
      <c r="P334" s="3"/>
      <c r="Q334" s="63"/>
      <c r="R334" s="36"/>
      <c r="S334" s="60"/>
      <c r="T334" s="64"/>
      <c r="U334" s="1"/>
      <c r="V334" s="1"/>
    </row>
    <row r="335" spans="1:22" ht="24.95" customHeight="1" x14ac:dyDescent="0.2">
      <c r="A335" s="1"/>
      <c r="B335" s="30">
        <v>11</v>
      </c>
      <c r="C335" s="30">
        <v>16000</v>
      </c>
      <c r="D335" s="44" t="s">
        <v>147</v>
      </c>
      <c r="E335" s="30" t="s">
        <v>1</v>
      </c>
      <c r="F335" s="62"/>
      <c r="G335" s="60"/>
      <c r="H335" s="2"/>
      <c r="I335" s="2"/>
      <c r="J335" s="61"/>
      <c r="K335" s="62"/>
      <c r="L335" s="60"/>
      <c r="M335" s="2"/>
      <c r="N335" s="2"/>
      <c r="O335" s="61"/>
      <c r="P335" s="3"/>
      <c r="Q335" s="63"/>
      <c r="R335" s="36"/>
      <c r="S335" s="60"/>
      <c r="T335" s="64"/>
      <c r="U335" s="1"/>
      <c r="V335" s="1"/>
    </row>
    <row r="336" spans="1:22" ht="24.95" customHeight="1" x14ac:dyDescent="0.2">
      <c r="A336" s="1"/>
      <c r="B336" s="30">
        <v>12</v>
      </c>
      <c r="C336" s="30">
        <v>16058</v>
      </c>
      <c r="D336" s="44" t="s">
        <v>186</v>
      </c>
      <c r="E336" s="30" t="s">
        <v>1</v>
      </c>
      <c r="F336" s="62"/>
      <c r="G336" s="60"/>
      <c r="H336" s="2"/>
      <c r="I336" s="2"/>
      <c r="J336" s="61"/>
      <c r="K336" s="62"/>
      <c r="L336" s="60"/>
      <c r="M336" s="2"/>
      <c r="N336" s="2"/>
      <c r="O336" s="61"/>
      <c r="P336" s="3"/>
      <c r="Q336" s="63"/>
      <c r="R336" s="36"/>
      <c r="S336" s="60"/>
      <c r="T336" s="64"/>
      <c r="U336" s="1"/>
      <c r="V336" s="1"/>
    </row>
    <row r="337" spans="1:22" ht="24.95" customHeight="1" x14ac:dyDescent="0.2">
      <c r="A337" s="1"/>
      <c r="B337" s="30">
        <v>13</v>
      </c>
      <c r="C337" s="30">
        <v>16002</v>
      </c>
      <c r="D337" s="44" t="s">
        <v>535</v>
      </c>
      <c r="E337" s="30" t="s">
        <v>1</v>
      </c>
      <c r="F337" s="62"/>
      <c r="G337" s="60"/>
      <c r="H337" s="2"/>
      <c r="I337" s="2"/>
      <c r="J337" s="61"/>
      <c r="K337" s="62"/>
      <c r="L337" s="60"/>
      <c r="M337" s="2"/>
      <c r="N337" s="2"/>
      <c r="O337" s="61"/>
      <c r="P337" s="3"/>
      <c r="Q337" s="63"/>
      <c r="R337" s="36"/>
      <c r="S337" s="60"/>
      <c r="T337" s="64"/>
      <c r="U337" s="1"/>
      <c r="V337" s="1"/>
    </row>
    <row r="338" spans="1:22" ht="24.95" customHeight="1" x14ac:dyDescent="0.2">
      <c r="A338" s="1"/>
      <c r="B338" s="30">
        <v>14</v>
      </c>
      <c r="C338" s="30">
        <v>15971</v>
      </c>
      <c r="D338" s="44" t="s">
        <v>111</v>
      </c>
      <c r="E338" s="30" t="s">
        <v>1</v>
      </c>
      <c r="F338" s="62"/>
      <c r="G338" s="60"/>
      <c r="H338" s="2"/>
      <c r="I338" s="2"/>
      <c r="J338" s="61"/>
      <c r="K338" s="62"/>
      <c r="L338" s="60"/>
      <c r="M338" s="2"/>
      <c r="N338" s="2"/>
      <c r="O338" s="61"/>
      <c r="P338" s="3"/>
      <c r="Q338" s="63"/>
      <c r="R338" s="36"/>
      <c r="S338" s="60"/>
      <c r="T338" s="64"/>
      <c r="U338" s="1"/>
      <c r="V338" s="1"/>
    </row>
    <row r="339" spans="1:22" ht="24.95" customHeight="1" x14ac:dyDescent="0.2">
      <c r="A339" s="1"/>
      <c r="B339" s="30">
        <v>15</v>
      </c>
      <c r="C339" s="30">
        <v>15973</v>
      </c>
      <c r="D339" s="44" t="s">
        <v>126</v>
      </c>
      <c r="E339" s="30" t="s">
        <v>1</v>
      </c>
      <c r="F339" s="62"/>
      <c r="G339" s="60"/>
      <c r="H339" s="2"/>
      <c r="I339" s="2"/>
      <c r="J339" s="61"/>
      <c r="K339" s="62"/>
      <c r="L339" s="60"/>
      <c r="M339" s="2"/>
      <c r="N339" s="2"/>
      <c r="O339" s="61"/>
      <c r="P339" s="3"/>
      <c r="Q339" s="63"/>
      <c r="R339" s="36"/>
      <c r="S339" s="60"/>
      <c r="T339" s="64"/>
      <c r="U339" s="1"/>
      <c r="V339" s="1"/>
    </row>
    <row r="340" spans="1:22" ht="24.95" customHeight="1" x14ac:dyDescent="0.2">
      <c r="A340" s="1"/>
      <c r="B340" s="30">
        <v>16</v>
      </c>
      <c r="C340" s="30">
        <v>16036</v>
      </c>
      <c r="D340" s="44" t="s">
        <v>160</v>
      </c>
      <c r="E340" s="30" t="s">
        <v>1</v>
      </c>
      <c r="F340" s="62"/>
      <c r="G340" s="60"/>
      <c r="H340" s="2"/>
      <c r="I340" s="2"/>
      <c r="J340" s="61"/>
      <c r="K340" s="62"/>
      <c r="L340" s="60"/>
      <c r="M340" s="2"/>
      <c r="N340" s="2"/>
      <c r="O340" s="61"/>
      <c r="P340" s="3"/>
      <c r="Q340" s="63"/>
      <c r="R340" s="36"/>
      <c r="S340" s="60"/>
      <c r="T340" s="64"/>
      <c r="U340" s="1"/>
      <c r="V340" s="1"/>
    </row>
    <row r="341" spans="1:22" ht="24.95" customHeight="1" x14ac:dyDescent="0.2">
      <c r="A341" s="1"/>
      <c r="B341" s="30">
        <v>17</v>
      </c>
      <c r="C341" s="30">
        <v>15975</v>
      </c>
      <c r="D341" s="44" t="s">
        <v>108</v>
      </c>
      <c r="E341" s="30" t="s">
        <v>1</v>
      </c>
      <c r="F341" s="62"/>
      <c r="G341" s="65"/>
      <c r="H341" s="2"/>
      <c r="I341" s="2"/>
      <c r="J341" s="61"/>
      <c r="K341" s="62"/>
      <c r="L341" s="65"/>
      <c r="M341" s="2"/>
      <c r="N341" s="2"/>
      <c r="O341" s="61"/>
      <c r="P341" s="3"/>
      <c r="Q341" s="63"/>
      <c r="R341" s="93"/>
      <c r="S341" s="55"/>
      <c r="T341" s="64"/>
      <c r="U341" s="1"/>
      <c r="V341" s="1"/>
    </row>
    <row r="342" spans="1:22" ht="24.95" customHeight="1" x14ac:dyDescent="0.2">
      <c r="A342" s="1"/>
      <c r="B342" s="30">
        <v>18</v>
      </c>
      <c r="C342" s="30">
        <v>15976</v>
      </c>
      <c r="D342" s="44" t="s">
        <v>113</v>
      </c>
      <c r="E342" s="30" t="s">
        <v>1</v>
      </c>
      <c r="F342" s="62"/>
      <c r="G342" s="65"/>
      <c r="H342" s="2"/>
      <c r="I342" s="2"/>
      <c r="J342" s="61"/>
      <c r="K342" s="62"/>
      <c r="L342" s="65"/>
      <c r="M342" s="2"/>
      <c r="N342" s="2"/>
      <c r="O342" s="61"/>
      <c r="P342" s="3"/>
      <c r="Q342" s="63"/>
      <c r="R342" s="93"/>
      <c r="S342" s="55"/>
      <c r="T342" s="64"/>
      <c r="U342" s="1"/>
      <c r="V342" s="1"/>
    </row>
    <row r="343" spans="1:22" ht="24.95" customHeight="1" x14ac:dyDescent="0.2">
      <c r="A343" s="1"/>
      <c r="B343" s="30">
        <v>19</v>
      </c>
      <c r="C343" s="30">
        <v>16069</v>
      </c>
      <c r="D343" s="44" t="s">
        <v>183</v>
      </c>
      <c r="E343" s="30" t="s">
        <v>1</v>
      </c>
      <c r="F343" s="62"/>
      <c r="G343" s="65"/>
      <c r="H343" s="2"/>
      <c r="I343" s="2"/>
      <c r="J343" s="61"/>
      <c r="K343" s="62"/>
      <c r="L343" s="65"/>
      <c r="M343" s="2"/>
      <c r="N343" s="2"/>
      <c r="O343" s="61"/>
      <c r="P343" s="3"/>
      <c r="Q343" s="63"/>
      <c r="R343" s="36"/>
      <c r="S343" s="60"/>
      <c r="T343" s="64"/>
      <c r="U343" s="1"/>
      <c r="V343" s="1"/>
    </row>
    <row r="344" spans="1:22" ht="24.95" customHeight="1" x14ac:dyDescent="0.2">
      <c r="A344" s="1"/>
      <c r="B344" s="30">
        <v>20</v>
      </c>
      <c r="C344" s="30">
        <v>15980</v>
      </c>
      <c r="D344" s="44" t="s">
        <v>112</v>
      </c>
      <c r="E344" s="30" t="s">
        <v>1</v>
      </c>
      <c r="F344" s="62"/>
      <c r="G344" s="60"/>
      <c r="H344" s="2"/>
      <c r="I344" s="2"/>
      <c r="J344" s="61"/>
      <c r="K344" s="62"/>
      <c r="L344" s="60"/>
      <c r="M344" s="2"/>
      <c r="N344" s="2"/>
      <c r="O344" s="61"/>
      <c r="P344" s="3"/>
      <c r="Q344" s="63"/>
      <c r="R344" s="36"/>
      <c r="S344" s="60"/>
      <c r="T344" s="64"/>
      <c r="U344" s="1"/>
      <c r="V344" s="1"/>
    </row>
    <row r="345" spans="1:22" ht="24.95" customHeight="1" x14ac:dyDescent="0.2">
      <c r="A345" s="1"/>
      <c r="B345" s="30">
        <v>21</v>
      </c>
      <c r="C345" s="30">
        <v>16042</v>
      </c>
      <c r="D345" s="44" t="s">
        <v>162</v>
      </c>
      <c r="E345" s="30" t="s">
        <v>1</v>
      </c>
      <c r="F345" s="62"/>
      <c r="G345" s="66"/>
      <c r="H345" s="67"/>
      <c r="I345" s="67"/>
      <c r="J345" s="68"/>
      <c r="K345" s="62"/>
      <c r="L345" s="66"/>
      <c r="M345" s="67"/>
      <c r="N345" s="67"/>
      <c r="O345" s="68"/>
      <c r="P345" s="40"/>
      <c r="Q345" s="69"/>
      <c r="R345" s="178"/>
      <c r="S345" s="90"/>
      <c r="T345" s="70"/>
      <c r="U345" s="1"/>
      <c r="V345" s="1"/>
    </row>
    <row r="346" spans="1:22" ht="24.95" customHeight="1" x14ac:dyDescent="0.2">
      <c r="A346" s="1"/>
      <c r="B346" s="30">
        <v>22</v>
      </c>
      <c r="C346" s="30">
        <v>15984</v>
      </c>
      <c r="D346" s="44" t="s">
        <v>129</v>
      </c>
      <c r="E346" s="30" t="s">
        <v>1</v>
      </c>
      <c r="F346" s="62"/>
      <c r="G346" s="66"/>
      <c r="H346" s="67"/>
      <c r="I346" s="67"/>
      <c r="J346" s="68"/>
      <c r="K346" s="62"/>
      <c r="L346" s="66"/>
      <c r="M346" s="67"/>
      <c r="N346" s="67"/>
      <c r="O346" s="68"/>
      <c r="P346" s="40"/>
      <c r="Q346" s="69"/>
      <c r="R346" s="178"/>
      <c r="S346" s="90"/>
      <c r="T346" s="70"/>
      <c r="U346" s="1"/>
      <c r="V346" s="1"/>
    </row>
    <row r="347" spans="1:22" ht="24.95" customHeight="1" x14ac:dyDescent="0.2">
      <c r="A347" s="1"/>
      <c r="B347" s="30">
        <v>23</v>
      </c>
      <c r="C347" s="30">
        <v>15985</v>
      </c>
      <c r="D347" s="44" t="s">
        <v>131</v>
      </c>
      <c r="E347" s="30" t="s">
        <v>1</v>
      </c>
      <c r="F347" s="62"/>
      <c r="G347" s="66"/>
      <c r="H347" s="67"/>
      <c r="I347" s="67"/>
      <c r="J347" s="68"/>
      <c r="K347" s="62"/>
      <c r="L347" s="66"/>
      <c r="M347" s="67"/>
      <c r="N347" s="67"/>
      <c r="O347" s="68"/>
      <c r="P347" s="40"/>
      <c r="Q347" s="69"/>
      <c r="R347" s="178"/>
      <c r="S347" s="90"/>
      <c r="T347" s="70"/>
      <c r="U347" s="1"/>
      <c r="V347" s="1"/>
    </row>
    <row r="348" spans="1:22" ht="24.95" customHeight="1" x14ac:dyDescent="0.2">
      <c r="A348" s="1"/>
      <c r="B348" s="30">
        <v>24</v>
      </c>
      <c r="C348" s="30">
        <v>16016</v>
      </c>
      <c r="D348" s="44" t="s">
        <v>229</v>
      </c>
      <c r="E348" s="30" t="s">
        <v>1</v>
      </c>
      <c r="F348" s="62"/>
      <c r="G348" s="66"/>
      <c r="H348" s="67"/>
      <c r="I348" s="67"/>
      <c r="J348" s="68"/>
      <c r="K348" s="62"/>
      <c r="L348" s="66"/>
      <c r="M348" s="67"/>
      <c r="N348" s="67"/>
      <c r="O348" s="68"/>
      <c r="P348" s="40"/>
      <c r="Q348" s="69"/>
      <c r="R348" s="178"/>
      <c r="S348" s="90"/>
      <c r="T348" s="70"/>
      <c r="U348" s="1"/>
      <c r="V348" s="1"/>
    </row>
    <row r="349" spans="1:22" ht="24.95" customHeight="1" x14ac:dyDescent="0.2">
      <c r="A349" s="1"/>
      <c r="B349" s="30">
        <v>25</v>
      </c>
      <c r="C349" s="30">
        <v>16044</v>
      </c>
      <c r="D349" s="44" t="s">
        <v>175</v>
      </c>
      <c r="E349" s="30" t="s">
        <v>1</v>
      </c>
      <c r="F349" s="62"/>
      <c r="G349" s="66"/>
      <c r="H349" s="67"/>
      <c r="I349" s="67"/>
      <c r="J349" s="68"/>
      <c r="K349" s="62"/>
      <c r="L349" s="66"/>
      <c r="M349" s="67"/>
      <c r="N349" s="67"/>
      <c r="O349" s="68"/>
      <c r="P349" s="40"/>
      <c r="Q349" s="69"/>
      <c r="R349" s="178"/>
      <c r="S349" s="90"/>
      <c r="T349" s="70"/>
      <c r="U349" s="1"/>
      <c r="V349" s="1"/>
    </row>
    <row r="350" spans="1:22" ht="24.95" customHeight="1" x14ac:dyDescent="0.2">
      <c r="A350" s="1"/>
      <c r="B350" s="30">
        <v>26</v>
      </c>
      <c r="C350" s="30"/>
      <c r="D350" s="44"/>
      <c r="E350" s="30" t="s">
        <v>1</v>
      </c>
      <c r="F350" s="71"/>
      <c r="G350" s="66"/>
      <c r="H350" s="67"/>
      <c r="I350" s="67"/>
      <c r="J350" s="68"/>
      <c r="K350" s="71"/>
      <c r="L350" s="66"/>
      <c r="M350" s="67"/>
      <c r="N350" s="67"/>
      <c r="O350" s="68"/>
      <c r="P350" s="40"/>
      <c r="Q350" s="69"/>
      <c r="R350" s="178"/>
      <c r="S350" s="90"/>
      <c r="T350" s="70"/>
      <c r="U350" s="1"/>
      <c r="V350" s="1"/>
    </row>
    <row r="351" spans="1:22" ht="24.95" customHeight="1" x14ac:dyDescent="0.2">
      <c r="A351" s="1"/>
      <c r="B351" s="30">
        <v>27</v>
      </c>
      <c r="C351" s="30"/>
      <c r="D351" s="44"/>
      <c r="E351" s="30" t="s">
        <v>1</v>
      </c>
      <c r="F351" s="71"/>
      <c r="G351" s="66"/>
      <c r="H351" s="67"/>
      <c r="I351" s="67"/>
      <c r="J351" s="68"/>
      <c r="K351" s="71"/>
      <c r="L351" s="66"/>
      <c r="M351" s="67"/>
      <c r="N351" s="67"/>
      <c r="O351" s="68"/>
      <c r="P351" s="40"/>
      <c r="Q351" s="69"/>
      <c r="R351" s="178"/>
      <c r="S351" s="90"/>
      <c r="T351" s="70"/>
      <c r="U351" s="1"/>
      <c r="V351" s="1"/>
    </row>
    <row r="352" spans="1:22" ht="24.95" customHeight="1" x14ac:dyDescent="0.2">
      <c r="A352" s="1"/>
      <c r="B352" s="30">
        <v>28</v>
      </c>
      <c r="C352" s="30"/>
      <c r="D352" s="44"/>
      <c r="E352" s="30" t="s">
        <v>1</v>
      </c>
      <c r="F352" s="71"/>
      <c r="G352" s="66"/>
      <c r="H352" s="67"/>
      <c r="I352" s="67"/>
      <c r="J352" s="68"/>
      <c r="K352" s="71"/>
      <c r="L352" s="66"/>
      <c r="M352" s="67"/>
      <c r="N352" s="67"/>
      <c r="O352" s="68"/>
      <c r="P352" s="40"/>
      <c r="Q352" s="69"/>
      <c r="R352" s="178"/>
      <c r="S352" s="90"/>
      <c r="T352" s="70"/>
      <c r="U352" s="1"/>
      <c r="V352" s="1"/>
    </row>
    <row r="353" spans="1:22" ht="24.95" customHeight="1" x14ac:dyDescent="0.2">
      <c r="A353" s="1"/>
      <c r="B353" s="30">
        <v>29</v>
      </c>
      <c r="C353" s="30"/>
      <c r="D353" s="44"/>
      <c r="E353" s="30" t="s">
        <v>1</v>
      </c>
      <c r="F353" s="71"/>
      <c r="G353" s="66"/>
      <c r="H353" s="67"/>
      <c r="I353" s="67"/>
      <c r="J353" s="68"/>
      <c r="K353" s="71"/>
      <c r="L353" s="66"/>
      <c r="M353" s="67"/>
      <c r="N353" s="67"/>
      <c r="O353" s="68"/>
      <c r="P353" s="40"/>
      <c r="Q353" s="69"/>
      <c r="R353" s="178"/>
      <c r="S353" s="90"/>
      <c r="T353" s="70"/>
      <c r="U353" s="1"/>
      <c r="V353" s="1"/>
    </row>
    <row r="354" spans="1:22" ht="24.95" customHeight="1" x14ac:dyDescent="0.2">
      <c r="A354" s="1"/>
      <c r="B354" s="30">
        <v>30</v>
      </c>
      <c r="C354" s="30"/>
      <c r="D354" s="44"/>
      <c r="E354" s="30" t="s">
        <v>1</v>
      </c>
      <c r="F354" s="71"/>
      <c r="G354" s="66"/>
      <c r="H354" s="67"/>
      <c r="I354" s="67"/>
      <c r="J354" s="68"/>
      <c r="K354" s="71"/>
      <c r="L354" s="66"/>
      <c r="M354" s="67"/>
      <c r="N354" s="67"/>
      <c r="O354" s="68"/>
      <c r="P354" s="40"/>
      <c r="Q354" s="69"/>
      <c r="R354" s="178"/>
      <c r="S354" s="90"/>
      <c r="T354" s="70"/>
      <c r="U354" s="1"/>
      <c r="V354" s="1"/>
    </row>
    <row r="355" spans="1:22" ht="24.95" customHeight="1" x14ac:dyDescent="0.2">
      <c r="A355" s="1"/>
      <c r="B355" s="30">
        <v>31</v>
      </c>
      <c r="C355" s="30"/>
      <c r="D355" s="45"/>
      <c r="E355" s="30" t="s">
        <v>1</v>
      </c>
      <c r="F355" s="89"/>
      <c r="G355" s="90"/>
      <c r="H355" s="67"/>
      <c r="I355" s="67"/>
      <c r="J355" s="68"/>
      <c r="K355" s="89"/>
      <c r="L355" s="90"/>
      <c r="M355" s="67"/>
      <c r="N355" s="67"/>
      <c r="O355" s="68"/>
      <c r="P355" s="40"/>
      <c r="Q355" s="69"/>
      <c r="R355" s="178"/>
      <c r="S355" s="90"/>
      <c r="T355" s="70"/>
      <c r="U355" s="1"/>
      <c r="V355" s="1"/>
    </row>
    <row r="356" spans="1:22" ht="24.95" customHeight="1" x14ac:dyDescent="0.2">
      <c r="A356" s="1"/>
      <c r="B356" s="30">
        <v>32</v>
      </c>
      <c r="C356" s="30"/>
      <c r="D356" s="46"/>
      <c r="E356" s="30" t="s">
        <v>1</v>
      </c>
      <c r="F356" s="91"/>
      <c r="G356" s="91"/>
      <c r="H356" s="3"/>
      <c r="I356" s="3"/>
      <c r="J356" s="68"/>
      <c r="K356" s="91"/>
      <c r="L356" s="91"/>
      <c r="M356" s="3"/>
      <c r="N356" s="3"/>
      <c r="O356" s="68"/>
      <c r="P356" s="3"/>
      <c r="Q356" s="3"/>
      <c r="R356" s="3"/>
      <c r="S356" s="3"/>
      <c r="T356" s="64"/>
      <c r="U356" s="1"/>
      <c r="V356" s="1"/>
    </row>
    <row r="357" spans="1:22" ht="24.95" customHeight="1" x14ac:dyDescent="0.2">
      <c r="A357" s="1"/>
      <c r="B357" s="30">
        <v>33</v>
      </c>
      <c r="C357" s="35"/>
      <c r="D357" s="47"/>
      <c r="E357" s="35" t="s">
        <v>1</v>
      </c>
      <c r="F357" s="92"/>
      <c r="G357" s="92"/>
      <c r="H357" s="40"/>
      <c r="I357" s="40"/>
      <c r="J357" s="68"/>
      <c r="K357" s="92"/>
      <c r="L357" s="92"/>
      <c r="M357" s="40"/>
      <c r="N357" s="40"/>
      <c r="O357" s="68"/>
      <c r="P357" s="40"/>
      <c r="Q357" s="40"/>
      <c r="R357" s="40"/>
      <c r="S357" s="40"/>
      <c r="T357" s="70"/>
      <c r="U357" s="1"/>
      <c r="V357" s="1"/>
    </row>
    <row r="358" spans="1:22" ht="24.95" customHeight="1" x14ac:dyDescent="0.2">
      <c r="A358" s="1"/>
      <c r="B358" s="30">
        <v>34</v>
      </c>
      <c r="C358" s="30"/>
      <c r="D358" s="46"/>
      <c r="E358" s="35" t="s">
        <v>1</v>
      </c>
      <c r="F358" s="91"/>
      <c r="G358" s="91"/>
      <c r="H358" s="3"/>
      <c r="I358" s="3"/>
      <c r="J358" s="68"/>
      <c r="K358" s="91"/>
      <c r="L358" s="91"/>
      <c r="M358" s="3"/>
      <c r="N358" s="3"/>
      <c r="O358" s="68"/>
      <c r="P358" s="3"/>
      <c r="Q358" s="3"/>
      <c r="R358" s="3"/>
      <c r="S358" s="3"/>
      <c r="T358" s="64"/>
      <c r="U358" s="1"/>
      <c r="V358" s="1"/>
    </row>
    <row r="359" spans="1:22" ht="24.95" customHeight="1" x14ac:dyDescent="0.2">
      <c r="A359" s="1"/>
      <c r="B359" s="30"/>
      <c r="C359" s="30"/>
      <c r="D359" s="196"/>
      <c r="E359" s="35"/>
      <c r="F359" s="91"/>
      <c r="G359" s="91"/>
      <c r="H359" s="3"/>
      <c r="I359" s="3"/>
      <c r="J359" s="68"/>
      <c r="K359" s="91"/>
      <c r="L359" s="91"/>
      <c r="M359" s="3"/>
      <c r="N359" s="3"/>
      <c r="O359" s="68"/>
      <c r="P359" s="3"/>
      <c r="Q359" s="3"/>
      <c r="R359" s="3"/>
      <c r="S359" s="3"/>
      <c r="T359" s="64"/>
      <c r="U359" s="1"/>
      <c r="V359" s="1"/>
    </row>
    <row r="360" spans="1:22" ht="24.95" customHeight="1" x14ac:dyDescent="0.2">
      <c r="A360" s="1"/>
      <c r="B360" s="30"/>
      <c r="C360" s="31"/>
      <c r="D360" s="128"/>
      <c r="E360" s="35"/>
      <c r="F360" s="93"/>
      <c r="G360" s="93"/>
      <c r="H360" s="93"/>
      <c r="I360" s="93"/>
      <c r="J360" s="68"/>
      <c r="K360" s="93"/>
      <c r="L360" s="93"/>
      <c r="M360" s="93"/>
      <c r="N360" s="93"/>
      <c r="O360" s="68"/>
      <c r="P360" s="93"/>
      <c r="Q360" s="93"/>
      <c r="R360" s="93"/>
      <c r="S360" s="93"/>
      <c r="T360" s="94"/>
      <c r="U360" s="1"/>
      <c r="V360" s="1"/>
    </row>
    <row r="361" spans="1:22" ht="24.95" customHeight="1" x14ac:dyDescent="0.2">
      <c r="B361" s="30"/>
      <c r="C361" s="30"/>
      <c r="D361" s="46"/>
      <c r="E361" s="35"/>
      <c r="F361" s="95"/>
      <c r="G361" s="95"/>
      <c r="H361" s="95"/>
      <c r="I361" s="95"/>
      <c r="J361" s="68"/>
      <c r="K361" s="95"/>
      <c r="L361" s="95"/>
      <c r="M361" s="95"/>
      <c r="N361" s="95"/>
      <c r="O361" s="68"/>
      <c r="P361" s="95"/>
      <c r="Q361" s="95"/>
      <c r="R361" s="95"/>
      <c r="S361" s="95"/>
      <c r="T361" s="96"/>
      <c r="V361" s="1"/>
    </row>
    <row r="362" spans="1:22" ht="24.95" customHeight="1" x14ac:dyDescent="0.2">
      <c r="B362" s="35"/>
      <c r="C362" s="35"/>
      <c r="D362" s="154"/>
      <c r="E362" s="35"/>
      <c r="F362" s="155"/>
      <c r="G362" s="156"/>
      <c r="H362" s="156"/>
      <c r="I362" s="156"/>
      <c r="J362" s="68"/>
      <c r="K362" s="155"/>
      <c r="L362" s="156"/>
      <c r="M362" s="156"/>
      <c r="N362" s="156"/>
      <c r="O362" s="68"/>
      <c r="P362" s="155"/>
      <c r="Q362" s="156"/>
      <c r="R362" s="156"/>
      <c r="S362" s="156"/>
      <c r="T362" s="157"/>
      <c r="V362" s="1"/>
    </row>
    <row r="363" spans="1:22" ht="24.95" customHeight="1" thickBot="1" x14ac:dyDescent="0.25">
      <c r="B363" s="129"/>
      <c r="C363" s="129"/>
      <c r="D363" s="197"/>
      <c r="E363" s="131"/>
      <c r="F363" s="130"/>
      <c r="G363" s="98"/>
      <c r="H363" s="98"/>
      <c r="I363" s="98"/>
      <c r="J363" s="132"/>
      <c r="K363" s="97"/>
      <c r="L363" s="98"/>
      <c r="M363" s="98"/>
      <c r="N363" s="98"/>
      <c r="O363" s="99"/>
      <c r="P363" s="130"/>
      <c r="Q363" s="98"/>
      <c r="R363" s="98"/>
      <c r="S363" s="98"/>
      <c r="T363" s="99"/>
      <c r="V363" s="1"/>
    </row>
    <row r="364" spans="1:22" ht="18.95" customHeight="1" x14ac:dyDescent="0.2">
      <c r="V364" s="1"/>
    </row>
  </sheetData>
  <sortState xmlns:xlrd2="http://schemas.microsoft.com/office/spreadsheetml/2017/richdata2" ref="C325:D349">
    <sortCondition ref="D325:D349"/>
  </sortState>
  <mergeCells count="89">
    <mergeCell ref="P323:T323"/>
    <mergeCell ref="P277:T277"/>
    <mergeCell ref="B319:C321"/>
    <mergeCell ref="D319:T319"/>
    <mergeCell ref="D320:T320"/>
    <mergeCell ref="D321:T321"/>
    <mergeCell ref="B322:C322"/>
    <mergeCell ref="B323:C323"/>
    <mergeCell ref="D323:D324"/>
    <mergeCell ref="E323:E324"/>
    <mergeCell ref="F323:J323"/>
    <mergeCell ref="K323:O323"/>
    <mergeCell ref="B277:C277"/>
    <mergeCell ref="D277:D278"/>
    <mergeCell ref="E277:E278"/>
    <mergeCell ref="F277:J277"/>
    <mergeCell ref="K277:O277"/>
    <mergeCell ref="B273:C275"/>
    <mergeCell ref="D273:T273"/>
    <mergeCell ref="D274:T274"/>
    <mergeCell ref="D275:T275"/>
    <mergeCell ref="B276:C276"/>
    <mergeCell ref="P231:T231"/>
    <mergeCell ref="B227:C229"/>
    <mergeCell ref="D227:T227"/>
    <mergeCell ref="D228:T228"/>
    <mergeCell ref="D229:T229"/>
    <mergeCell ref="B230:C230"/>
    <mergeCell ref="B231:C231"/>
    <mergeCell ref="D231:D232"/>
    <mergeCell ref="E231:E232"/>
    <mergeCell ref="F231:J231"/>
    <mergeCell ref="K231:O231"/>
    <mergeCell ref="P185:T185"/>
    <mergeCell ref="P141:T141"/>
    <mergeCell ref="B181:C183"/>
    <mergeCell ref="D181:T181"/>
    <mergeCell ref="D182:T182"/>
    <mergeCell ref="D183:T183"/>
    <mergeCell ref="B184:C184"/>
    <mergeCell ref="B185:C185"/>
    <mergeCell ref="D185:D186"/>
    <mergeCell ref="E185:E186"/>
    <mergeCell ref="F185:J185"/>
    <mergeCell ref="K185:O185"/>
    <mergeCell ref="B141:C141"/>
    <mergeCell ref="D141:D142"/>
    <mergeCell ref="E141:E142"/>
    <mergeCell ref="F141:J141"/>
    <mergeCell ref="K141:O141"/>
    <mergeCell ref="B137:C139"/>
    <mergeCell ref="D137:T137"/>
    <mergeCell ref="D138:T138"/>
    <mergeCell ref="D139:T139"/>
    <mergeCell ref="B140:C140"/>
    <mergeCell ref="P95:T95"/>
    <mergeCell ref="B91:C93"/>
    <mergeCell ref="D91:T91"/>
    <mergeCell ref="D92:T92"/>
    <mergeCell ref="D93:T93"/>
    <mergeCell ref="B94:C94"/>
    <mergeCell ref="B95:C95"/>
    <mergeCell ref="D95:D96"/>
    <mergeCell ref="E95:E96"/>
    <mergeCell ref="F95:J95"/>
    <mergeCell ref="K95:O95"/>
    <mergeCell ref="E50:E51"/>
    <mergeCell ref="F50:J50"/>
    <mergeCell ref="K50:O50"/>
    <mergeCell ref="B6:C6"/>
    <mergeCell ref="D6:D7"/>
    <mergeCell ref="E6:E7"/>
    <mergeCell ref="F6:J6"/>
    <mergeCell ref="J184:T184"/>
    <mergeCell ref="K6:O6"/>
    <mergeCell ref="B2:C4"/>
    <mergeCell ref="D2:T2"/>
    <mergeCell ref="D3:T3"/>
    <mergeCell ref="D4:T4"/>
    <mergeCell ref="B5:C5"/>
    <mergeCell ref="P50:T50"/>
    <mergeCell ref="P6:T6"/>
    <mergeCell ref="B46:C48"/>
    <mergeCell ref="D46:T46"/>
    <mergeCell ref="D47:T47"/>
    <mergeCell ref="D48:T48"/>
    <mergeCell ref="B49:C49"/>
    <mergeCell ref="B50:C50"/>
    <mergeCell ref="D50:D51"/>
  </mergeCells>
  <printOptions horizontalCentered="1"/>
  <pageMargins left="0.19685039370078741" right="0.23622047244094491" top="0.47244094488188981" bottom="0.31496062992125984" header="0.51181102362204722" footer="0.51181102362204722"/>
  <pageSetup paperSize="14" scale="73" orientation="portrait" horizontalDpi="360" verticalDpi="360" r:id="rId1"/>
  <headerFooter alignWithMargins="0"/>
  <rowBreaks count="7" manualBreakCount="7">
    <brk id="44" max="16383" man="1"/>
    <brk id="89" min="1" max="19" man="1"/>
    <brk id="135" min="1" max="19" man="1"/>
    <brk id="179" min="1" max="19" man="1"/>
    <brk id="225" min="1" max="19" man="1"/>
    <brk id="271" min="1" max="19" man="1"/>
    <brk id="317" min="1" max="1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06A2-6B07-4B3D-B52B-D7BD2FB547A1}">
  <sheetPr>
    <tabColor indexed="15"/>
  </sheetPr>
  <dimension ref="A1:AK374"/>
  <sheetViews>
    <sheetView view="pageBreakPreview" topLeftCell="A349" zoomScale="59" zoomScaleNormal="100" zoomScaleSheetLayoutView="59" workbookViewId="0">
      <selection activeCell="E9" sqref="E9"/>
    </sheetView>
  </sheetViews>
  <sheetFormatPr defaultRowHeight="16.5" customHeight="1" x14ac:dyDescent="0.2"/>
  <cols>
    <col min="1" max="1" width="3.42578125" style="7" customWidth="1"/>
    <col min="2" max="2" width="5.7109375" style="7" customWidth="1"/>
    <col min="3" max="3" width="9.28515625" style="7" customWidth="1"/>
    <col min="4" max="4" width="37.85546875" style="7" customWidth="1"/>
    <col min="5" max="36" width="6.7109375" style="7" customWidth="1"/>
    <col min="37" max="37" width="3.28515625" style="7" customWidth="1"/>
    <col min="38" max="16384" width="9.140625" style="7"/>
  </cols>
  <sheetData>
    <row r="1" spans="1:37" ht="16.5" customHeight="1" thickBo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 ht="16.5" customHeight="1" x14ac:dyDescent="0.2">
      <c r="A2" s="6"/>
      <c r="B2" s="279"/>
      <c r="C2" s="280"/>
      <c r="D2" s="283" t="s">
        <v>3</v>
      </c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  <c r="AI2" s="284"/>
      <c r="AJ2" s="285"/>
      <c r="AK2" s="107"/>
    </row>
    <row r="3" spans="1:37" ht="16.5" customHeight="1" x14ac:dyDescent="0.2">
      <c r="A3" s="6"/>
      <c r="B3" s="281"/>
      <c r="C3" s="282"/>
      <c r="D3" s="286" t="s">
        <v>4</v>
      </c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8"/>
      <c r="AK3" s="107"/>
    </row>
    <row r="4" spans="1:37" ht="16.5" customHeight="1" x14ac:dyDescent="0.2">
      <c r="A4" s="6"/>
      <c r="B4" s="281"/>
      <c r="C4" s="282"/>
      <c r="D4" s="286" t="s">
        <v>547</v>
      </c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8"/>
      <c r="AK4" s="107"/>
    </row>
    <row r="5" spans="1:37" ht="16.5" customHeight="1" thickBot="1" x14ac:dyDescent="0.25">
      <c r="A5" s="6"/>
      <c r="B5" s="281"/>
      <c r="C5" s="282"/>
      <c r="D5" s="289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290"/>
      <c r="AG5" s="290"/>
      <c r="AH5" s="290"/>
      <c r="AI5" s="290"/>
      <c r="AJ5" s="291"/>
      <c r="AK5" s="107"/>
    </row>
    <row r="6" spans="1:37" ht="16.5" customHeight="1" thickBot="1" x14ac:dyDescent="0.25">
      <c r="A6" s="6"/>
      <c r="B6" s="292"/>
      <c r="C6" s="293"/>
      <c r="D6" s="9" t="s">
        <v>518</v>
      </c>
      <c r="E6" s="10" t="s">
        <v>11</v>
      </c>
      <c r="F6" s="10"/>
      <c r="G6" s="10"/>
      <c r="H6" s="10"/>
      <c r="I6" s="10"/>
      <c r="J6" s="14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5</v>
      </c>
      <c r="AB6" s="10"/>
      <c r="AC6" s="10" t="s">
        <v>520</v>
      </c>
      <c r="AD6" s="10"/>
      <c r="AE6" s="10"/>
      <c r="AF6" s="10"/>
      <c r="AG6" s="10"/>
      <c r="AH6" s="10"/>
      <c r="AI6" s="10"/>
      <c r="AJ6" s="158"/>
      <c r="AK6" s="107"/>
    </row>
    <row r="7" spans="1:37" ht="16.5" customHeight="1" thickBot="1" x14ac:dyDescent="0.25">
      <c r="A7" s="6"/>
      <c r="B7" s="294" t="s">
        <v>6</v>
      </c>
      <c r="C7" s="294"/>
      <c r="D7" s="295" t="s">
        <v>7</v>
      </c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58"/>
      <c r="AK7" s="107"/>
    </row>
    <row r="8" spans="1:37" ht="16.5" customHeight="1" thickBot="1" x14ac:dyDescent="0.25">
      <c r="A8" s="6"/>
      <c r="B8" s="295" t="s">
        <v>8</v>
      </c>
      <c r="C8" s="295" t="s">
        <v>9</v>
      </c>
      <c r="D8" s="296"/>
      <c r="E8" s="292">
        <v>17</v>
      </c>
      <c r="F8" s="298"/>
      <c r="G8" s="292">
        <f>E8+1</f>
        <v>18</v>
      </c>
      <c r="H8" s="298"/>
      <c r="I8" s="292">
        <f t="shared" ref="I8" si="0">G8+1</f>
        <v>19</v>
      </c>
      <c r="J8" s="298"/>
      <c r="K8" s="292">
        <f t="shared" ref="K8" si="1">I8+1</f>
        <v>20</v>
      </c>
      <c r="L8" s="298"/>
      <c r="M8" s="292">
        <f t="shared" ref="M8" si="2">K8+1</f>
        <v>21</v>
      </c>
      <c r="N8" s="298"/>
      <c r="O8" s="292">
        <f t="shared" ref="O8" si="3">M8+1</f>
        <v>22</v>
      </c>
      <c r="P8" s="298"/>
      <c r="Q8" s="292">
        <f t="shared" ref="Q8" si="4">O8+1</f>
        <v>23</v>
      </c>
      <c r="R8" s="298"/>
      <c r="S8" s="292">
        <f t="shared" ref="S8" si="5">Q8+1</f>
        <v>24</v>
      </c>
      <c r="T8" s="298"/>
      <c r="U8" s="292">
        <f t="shared" ref="U8" si="6">S8+1</f>
        <v>25</v>
      </c>
      <c r="V8" s="298"/>
      <c r="W8" s="292">
        <f t="shared" ref="W8" si="7">U8+1</f>
        <v>26</v>
      </c>
      <c r="X8" s="298"/>
      <c r="Y8" s="292">
        <f t="shared" ref="Y8" si="8">W8+1</f>
        <v>27</v>
      </c>
      <c r="Z8" s="298"/>
      <c r="AA8" s="292">
        <f t="shared" ref="AA8" si="9">Y8+1</f>
        <v>28</v>
      </c>
      <c r="AB8" s="298"/>
      <c r="AC8" s="292">
        <f t="shared" ref="AC8" si="10">AA8+1</f>
        <v>29</v>
      </c>
      <c r="AD8" s="298"/>
      <c r="AE8" s="292">
        <f t="shared" ref="AE8" si="11">AC8+1</f>
        <v>30</v>
      </c>
      <c r="AF8" s="298"/>
      <c r="AG8" s="292">
        <f t="shared" ref="AG8" si="12">AE8+1</f>
        <v>31</v>
      </c>
      <c r="AH8" s="298"/>
      <c r="AI8" s="292">
        <f t="shared" ref="AI8" si="13">AG8+1</f>
        <v>32</v>
      </c>
      <c r="AJ8" s="298"/>
      <c r="AK8" s="107"/>
    </row>
    <row r="9" spans="1:37" ht="24.75" customHeight="1" thickBot="1" x14ac:dyDescent="0.25">
      <c r="A9" s="6"/>
      <c r="B9" s="297"/>
      <c r="C9" s="297"/>
      <c r="D9" s="297"/>
      <c r="E9" s="108" t="s">
        <v>13</v>
      </c>
      <c r="F9" s="108" t="s">
        <v>14</v>
      </c>
      <c r="G9" s="108" t="s">
        <v>13</v>
      </c>
      <c r="H9" s="108" t="s">
        <v>14</v>
      </c>
      <c r="I9" s="108" t="s">
        <v>13</v>
      </c>
      <c r="J9" s="108" t="s">
        <v>14</v>
      </c>
      <c r="K9" s="108" t="s">
        <v>13</v>
      </c>
      <c r="L9" s="108" t="s">
        <v>14</v>
      </c>
      <c r="M9" s="108" t="s">
        <v>13</v>
      </c>
      <c r="N9" s="108" t="s">
        <v>14</v>
      </c>
      <c r="O9" s="108" t="s">
        <v>13</v>
      </c>
      <c r="P9" s="108" t="s">
        <v>14</v>
      </c>
      <c r="Q9" s="108" t="s">
        <v>13</v>
      </c>
      <c r="R9" s="108" t="s">
        <v>14</v>
      </c>
      <c r="S9" s="108" t="s">
        <v>13</v>
      </c>
      <c r="T9" s="108" t="s">
        <v>14</v>
      </c>
      <c r="U9" s="108" t="s">
        <v>13</v>
      </c>
      <c r="V9" s="108" t="s">
        <v>14</v>
      </c>
      <c r="W9" s="108" t="s">
        <v>13</v>
      </c>
      <c r="X9" s="108" t="s">
        <v>14</v>
      </c>
      <c r="Y9" s="108" t="s">
        <v>13</v>
      </c>
      <c r="Z9" s="108" t="s">
        <v>14</v>
      </c>
      <c r="AA9" s="108" t="s">
        <v>13</v>
      </c>
      <c r="AB9" s="108" t="s">
        <v>14</v>
      </c>
      <c r="AC9" s="108" t="s">
        <v>13</v>
      </c>
      <c r="AD9" s="108" t="s">
        <v>14</v>
      </c>
      <c r="AE9" s="108" t="s">
        <v>13</v>
      </c>
      <c r="AF9" s="108" t="s">
        <v>14</v>
      </c>
      <c r="AG9" s="108" t="s">
        <v>13</v>
      </c>
      <c r="AH9" s="108" t="s">
        <v>14</v>
      </c>
      <c r="AI9" s="108" t="s">
        <v>13</v>
      </c>
      <c r="AJ9" s="108" t="s">
        <v>14</v>
      </c>
      <c r="AK9" s="107"/>
    </row>
    <row r="10" spans="1:37" ht="16.5" customHeight="1" x14ac:dyDescent="0.2">
      <c r="A10" s="6"/>
      <c r="B10" s="21">
        <v>1</v>
      </c>
      <c r="C10" s="11">
        <f>'Kelas XII'!C8</f>
        <v>15821</v>
      </c>
      <c r="D10" s="133" t="str">
        <f>'Kelas XII'!D8</f>
        <v>ACHMAD RIFQI ATQI FAHMI</v>
      </c>
      <c r="E10" s="12"/>
      <c r="F10" s="13"/>
      <c r="G10" s="12"/>
      <c r="H10" s="13"/>
      <c r="I10" s="12"/>
      <c r="J10" s="13"/>
      <c r="K10" s="12"/>
      <c r="L10" s="13"/>
      <c r="M10" s="12"/>
      <c r="N10" s="13"/>
      <c r="O10" s="12"/>
      <c r="P10" s="13"/>
      <c r="Q10" s="12"/>
      <c r="R10" s="13"/>
      <c r="S10" s="12"/>
      <c r="T10" s="13"/>
      <c r="U10" s="12"/>
      <c r="V10" s="13"/>
      <c r="W10" s="12"/>
      <c r="X10" s="13"/>
      <c r="Y10" s="12"/>
      <c r="Z10" s="13"/>
      <c r="AA10" s="12"/>
      <c r="AB10" s="13"/>
      <c r="AC10" s="12"/>
      <c r="AD10" s="119"/>
      <c r="AE10" s="118"/>
      <c r="AF10" s="136"/>
      <c r="AG10" s="109"/>
      <c r="AH10" s="137"/>
      <c r="AI10" s="118"/>
      <c r="AJ10" s="109"/>
      <c r="AK10" s="107"/>
    </row>
    <row r="11" spans="1:37" ht="16.5" customHeight="1" x14ac:dyDescent="0.2">
      <c r="A11" s="6"/>
      <c r="B11" s="135">
        <f t="shared" ref="B11:B46" si="14">B10+1</f>
        <v>2</v>
      </c>
      <c r="C11" s="11">
        <f>'Kelas XII'!C9</f>
        <v>15927</v>
      </c>
      <c r="D11" s="134" t="str">
        <f>'Kelas XII'!D9</f>
        <v>AHMAD FELANI NAJMI ZAHRON</v>
      </c>
      <c r="E11" s="14"/>
      <c r="F11" s="15"/>
      <c r="G11" s="14"/>
      <c r="H11" s="15"/>
      <c r="I11" s="14"/>
      <c r="J11" s="15"/>
      <c r="K11" s="14"/>
      <c r="L11" s="15"/>
      <c r="M11" s="14"/>
      <c r="N11" s="15"/>
      <c r="O11" s="14"/>
      <c r="P11" s="15"/>
      <c r="Q11" s="14"/>
      <c r="R11" s="15"/>
      <c r="S11" s="14"/>
      <c r="T11" s="15"/>
      <c r="U11" s="14"/>
      <c r="V11" s="15"/>
      <c r="W11" s="14"/>
      <c r="X11" s="15"/>
      <c r="Y11" s="14"/>
      <c r="Z11" s="15"/>
      <c r="AA11" s="14"/>
      <c r="AB11" s="15"/>
      <c r="AC11" s="14"/>
      <c r="AD11" s="120"/>
      <c r="AE11" s="14"/>
      <c r="AF11" s="114"/>
      <c r="AG11" s="110"/>
      <c r="AH11" s="138"/>
      <c r="AI11" s="14"/>
      <c r="AJ11" s="110"/>
      <c r="AK11" s="107"/>
    </row>
    <row r="12" spans="1:37" ht="16.5" customHeight="1" x14ac:dyDescent="0.2">
      <c r="A12" s="6"/>
      <c r="B12" s="135">
        <f t="shared" si="14"/>
        <v>3</v>
      </c>
      <c r="C12" s="11">
        <f>'Kelas XII'!C10</f>
        <v>15892</v>
      </c>
      <c r="D12" s="134" t="str">
        <f>'Kelas XII'!D10</f>
        <v>AKMAL RIDHO HIBATULLOH</v>
      </c>
      <c r="E12" s="14"/>
      <c r="F12" s="15"/>
      <c r="G12" s="14"/>
      <c r="H12" s="15"/>
      <c r="I12" s="14"/>
      <c r="J12" s="15"/>
      <c r="K12" s="14"/>
      <c r="L12" s="15"/>
      <c r="M12" s="14"/>
      <c r="N12" s="15"/>
      <c r="O12" s="14"/>
      <c r="P12" s="15"/>
      <c r="Q12" s="14"/>
      <c r="R12" s="15"/>
      <c r="S12" s="14"/>
      <c r="T12" s="15"/>
      <c r="U12" s="14"/>
      <c r="V12" s="15"/>
      <c r="W12" s="14"/>
      <c r="X12" s="15"/>
      <c r="Y12" s="14"/>
      <c r="Z12" s="15"/>
      <c r="AA12" s="14"/>
      <c r="AB12" s="15"/>
      <c r="AC12" s="14"/>
      <c r="AD12" s="120"/>
      <c r="AE12" s="14"/>
      <c r="AF12" s="114"/>
      <c r="AG12" s="110"/>
      <c r="AH12" s="138"/>
      <c r="AI12" s="14"/>
      <c r="AJ12" s="110"/>
      <c r="AK12" s="107"/>
    </row>
    <row r="13" spans="1:37" ht="16.5" customHeight="1" x14ac:dyDescent="0.2">
      <c r="A13" s="6"/>
      <c r="B13" s="135">
        <f t="shared" si="14"/>
        <v>4</v>
      </c>
      <c r="C13" s="11">
        <f>'Kelas XII'!C11</f>
        <v>15860</v>
      </c>
      <c r="D13" s="134" t="str">
        <f>'Kelas XII'!D11</f>
        <v>AKMALUL HIDAYAT FUADZAM SHAH</v>
      </c>
      <c r="E13" s="14"/>
      <c r="F13" s="15"/>
      <c r="G13" s="14"/>
      <c r="H13" s="15"/>
      <c r="I13" s="14"/>
      <c r="J13" s="15"/>
      <c r="K13" s="14"/>
      <c r="L13" s="15"/>
      <c r="M13" s="14"/>
      <c r="N13" s="15"/>
      <c r="O13" s="14"/>
      <c r="P13" s="15"/>
      <c r="Q13" s="14"/>
      <c r="R13" s="15"/>
      <c r="S13" s="14"/>
      <c r="T13" s="15"/>
      <c r="U13" s="14"/>
      <c r="V13" s="15"/>
      <c r="W13" s="14"/>
      <c r="X13" s="15"/>
      <c r="Y13" s="14"/>
      <c r="Z13" s="15"/>
      <c r="AA13" s="14"/>
      <c r="AB13" s="15"/>
      <c r="AC13" s="14"/>
      <c r="AD13" s="120"/>
      <c r="AE13" s="14"/>
      <c r="AF13" s="114"/>
      <c r="AG13" s="110"/>
      <c r="AH13" s="138"/>
      <c r="AI13" s="14"/>
      <c r="AJ13" s="110"/>
      <c r="AK13" s="107"/>
    </row>
    <row r="14" spans="1:37" ht="16.5" customHeight="1" x14ac:dyDescent="0.2">
      <c r="A14" s="6"/>
      <c r="B14" s="135">
        <f t="shared" si="14"/>
        <v>5</v>
      </c>
      <c r="C14" s="11">
        <f>'Kelas XII'!C12</f>
        <v>15893</v>
      </c>
      <c r="D14" s="134" t="str">
        <f>'Kelas XII'!D12</f>
        <v>ANDIKA SETYA FIRMANSYAH ADINA PUTRA</v>
      </c>
      <c r="E14" s="14"/>
      <c r="F14" s="15"/>
      <c r="G14" s="14"/>
      <c r="H14" s="15"/>
      <c r="I14" s="14"/>
      <c r="J14" s="15"/>
      <c r="K14" s="14"/>
      <c r="L14" s="15"/>
      <c r="M14" s="14"/>
      <c r="N14" s="15"/>
      <c r="O14" s="14"/>
      <c r="P14" s="15"/>
      <c r="Q14" s="14"/>
      <c r="R14" s="15"/>
      <c r="S14" s="14"/>
      <c r="T14" s="15"/>
      <c r="U14" s="14"/>
      <c r="V14" s="15"/>
      <c r="W14" s="14"/>
      <c r="X14" s="15"/>
      <c r="Y14" s="14"/>
      <c r="Z14" s="15"/>
      <c r="AA14" s="14"/>
      <c r="AB14" s="15"/>
      <c r="AC14" s="14"/>
      <c r="AD14" s="120"/>
      <c r="AE14" s="14"/>
      <c r="AF14" s="114"/>
      <c r="AG14" s="110"/>
      <c r="AH14" s="138"/>
      <c r="AI14" s="14"/>
      <c r="AJ14" s="110"/>
      <c r="AK14" s="107"/>
    </row>
    <row r="15" spans="1:37" ht="16.5" customHeight="1" x14ac:dyDescent="0.2">
      <c r="A15" s="6"/>
      <c r="B15" s="135">
        <f t="shared" si="14"/>
        <v>6</v>
      </c>
      <c r="C15" s="11">
        <f>'Kelas XII'!C13</f>
        <v>15862</v>
      </c>
      <c r="D15" s="134" t="str">
        <f>'Kelas XII'!D13</f>
        <v>ATHALLAH FACHRI PRADANA</v>
      </c>
      <c r="E15" s="14"/>
      <c r="F15" s="15"/>
      <c r="G15" s="14"/>
      <c r="H15" s="15"/>
      <c r="I15" s="14"/>
      <c r="J15" s="15"/>
      <c r="K15" s="14"/>
      <c r="L15" s="15"/>
      <c r="M15" s="14"/>
      <c r="N15" s="15"/>
      <c r="O15" s="14"/>
      <c r="P15" s="15"/>
      <c r="Q15" s="14"/>
      <c r="R15" s="15"/>
      <c r="S15" s="14"/>
      <c r="T15" s="15"/>
      <c r="U15" s="14"/>
      <c r="V15" s="15"/>
      <c r="W15" s="14"/>
      <c r="X15" s="15"/>
      <c r="Y15" s="14"/>
      <c r="Z15" s="15"/>
      <c r="AA15" s="14"/>
      <c r="AB15" s="15"/>
      <c r="AC15" s="14"/>
      <c r="AD15" s="120"/>
      <c r="AE15" s="14"/>
      <c r="AF15" s="114"/>
      <c r="AG15" s="110"/>
      <c r="AH15" s="138"/>
      <c r="AI15" s="14"/>
      <c r="AJ15" s="110"/>
      <c r="AK15" s="107"/>
    </row>
    <row r="16" spans="1:37" ht="16.5" customHeight="1" x14ac:dyDescent="0.2">
      <c r="A16" s="6"/>
      <c r="B16" s="135">
        <f t="shared" si="14"/>
        <v>7</v>
      </c>
      <c r="C16" s="11">
        <f>'Kelas XII'!C14</f>
        <v>15828</v>
      </c>
      <c r="D16" s="134" t="str">
        <f>'Kelas XII'!D14</f>
        <v>ATTAR FAWWAZ KAMIL</v>
      </c>
      <c r="E16" s="14"/>
      <c r="F16" s="15"/>
      <c r="G16" s="14"/>
      <c r="H16" s="15"/>
      <c r="I16" s="14"/>
      <c r="J16" s="15"/>
      <c r="K16" s="14"/>
      <c r="L16" s="15"/>
      <c r="M16" s="14"/>
      <c r="N16" s="15"/>
      <c r="O16" s="14"/>
      <c r="P16" s="15"/>
      <c r="Q16" s="14"/>
      <c r="R16" s="15"/>
      <c r="S16" s="14"/>
      <c r="T16" s="15"/>
      <c r="U16" s="14"/>
      <c r="V16" s="15"/>
      <c r="W16" s="14"/>
      <c r="X16" s="15"/>
      <c r="Y16" s="14"/>
      <c r="Z16" s="15"/>
      <c r="AA16" s="14"/>
      <c r="AB16" s="15"/>
      <c r="AC16" s="14"/>
      <c r="AD16" s="120"/>
      <c r="AE16" s="14"/>
      <c r="AF16" s="114"/>
      <c r="AG16" s="110"/>
      <c r="AH16" s="138"/>
      <c r="AI16" s="14"/>
      <c r="AJ16" s="110"/>
      <c r="AK16" s="107"/>
    </row>
    <row r="17" spans="1:37" ht="16.5" customHeight="1" x14ac:dyDescent="0.2">
      <c r="A17" s="6"/>
      <c r="B17" s="135">
        <f t="shared" si="14"/>
        <v>8</v>
      </c>
      <c r="C17" s="11">
        <f>'Kelas XII'!C15</f>
        <v>15896</v>
      </c>
      <c r="D17" s="134" t="str">
        <f>'Kelas XII'!D15</f>
        <v>FACHRY TEGUH RAMADHAN</v>
      </c>
      <c r="E17" s="14"/>
      <c r="F17" s="15"/>
      <c r="G17" s="14"/>
      <c r="H17" s="15"/>
      <c r="I17" s="14"/>
      <c r="J17" s="15"/>
      <c r="K17" s="14"/>
      <c r="L17" s="15"/>
      <c r="M17" s="14"/>
      <c r="N17" s="15"/>
      <c r="O17" s="14"/>
      <c r="P17" s="15"/>
      <c r="Q17" s="14"/>
      <c r="R17" s="15"/>
      <c r="S17" s="14"/>
      <c r="T17" s="15"/>
      <c r="U17" s="14"/>
      <c r="V17" s="15"/>
      <c r="W17" s="14"/>
      <c r="X17" s="15"/>
      <c r="Y17" s="14"/>
      <c r="Z17" s="15"/>
      <c r="AA17" s="14"/>
      <c r="AB17" s="15"/>
      <c r="AC17" s="14"/>
      <c r="AD17" s="120"/>
      <c r="AE17" s="14"/>
      <c r="AF17" s="114"/>
      <c r="AG17" s="110"/>
      <c r="AH17" s="138"/>
      <c r="AI17" s="14"/>
      <c r="AJ17" s="110"/>
      <c r="AK17" s="107"/>
    </row>
    <row r="18" spans="1:37" ht="16.5" customHeight="1" x14ac:dyDescent="0.2">
      <c r="A18" s="6"/>
      <c r="B18" s="135">
        <f t="shared" si="14"/>
        <v>9</v>
      </c>
      <c r="C18" s="11">
        <f>'Kelas XII'!C16</f>
        <v>15832</v>
      </c>
      <c r="D18" s="134" t="str">
        <f>'Kelas XII'!D16</f>
        <v>FADIL MUBAROK</v>
      </c>
      <c r="E18" s="14"/>
      <c r="F18" s="15"/>
      <c r="G18" s="14"/>
      <c r="H18" s="15"/>
      <c r="I18" s="14"/>
      <c r="J18" s="15"/>
      <c r="K18" s="14"/>
      <c r="L18" s="15"/>
      <c r="M18" s="14"/>
      <c r="N18" s="15"/>
      <c r="O18" s="14"/>
      <c r="P18" s="15"/>
      <c r="Q18" s="14"/>
      <c r="R18" s="15"/>
      <c r="S18" s="14"/>
      <c r="T18" s="15"/>
      <c r="U18" s="14"/>
      <c r="V18" s="15"/>
      <c r="W18" s="14"/>
      <c r="X18" s="15"/>
      <c r="Y18" s="14"/>
      <c r="Z18" s="15"/>
      <c r="AA18" s="14"/>
      <c r="AB18" s="15"/>
      <c r="AC18" s="14"/>
      <c r="AD18" s="120"/>
      <c r="AE18" s="14"/>
      <c r="AF18" s="114"/>
      <c r="AG18" s="110"/>
      <c r="AH18" s="138"/>
      <c r="AI18" s="14"/>
      <c r="AJ18" s="110"/>
      <c r="AK18" s="107"/>
    </row>
    <row r="19" spans="1:37" ht="16.5" customHeight="1" x14ac:dyDescent="0.2">
      <c r="A19" s="6"/>
      <c r="B19" s="135">
        <f t="shared" si="14"/>
        <v>10</v>
      </c>
      <c r="C19" s="11">
        <f>'Kelas XII'!C17</f>
        <v>15864</v>
      </c>
      <c r="D19" s="134" t="str">
        <f>'Kelas XII'!D17</f>
        <v>FAQIH AKIF ALMAGHRIBI RAHMAT</v>
      </c>
      <c r="E19" s="14"/>
      <c r="F19" s="15"/>
      <c r="G19" s="14"/>
      <c r="H19" s="15"/>
      <c r="I19" s="14"/>
      <c r="J19" s="15"/>
      <c r="K19" s="14"/>
      <c r="L19" s="15"/>
      <c r="M19" s="14"/>
      <c r="N19" s="15"/>
      <c r="O19" s="14"/>
      <c r="P19" s="15"/>
      <c r="Q19" s="14"/>
      <c r="R19" s="15"/>
      <c r="S19" s="14"/>
      <c r="T19" s="15"/>
      <c r="U19" s="14"/>
      <c r="V19" s="15"/>
      <c r="W19" s="14"/>
      <c r="X19" s="15"/>
      <c r="Y19" s="14"/>
      <c r="Z19" s="15"/>
      <c r="AA19" s="14"/>
      <c r="AB19" s="15"/>
      <c r="AC19" s="14"/>
      <c r="AD19" s="120"/>
      <c r="AE19" s="14"/>
      <c r="AF19" s="114"/>
      <c r="AG19" s="110"/>
      <c r="AH19" s="138"/>
      <c r="AI19" s="14"/>
      <c r="AJ19" s="110"/>
      <c r="AK19" s="107"/>
    </row>
    <row r="20" spans="1:37" ht="16.5" customHeight="1" x14ac:dyDescent="0.2">
      <c r="A20" s="6"/>
      <c r="B20" s="135">
        <f t="shared" si="14"/>
        <v>11</v>
      </c>
      <c r="C20" s="11">
        <f>'Kelas XII'!C18</f>
        <v>15934</v>
      </c>
      <c r="D20" s="134" t="str">
        <f>'Kelas XII'!D18</f>
        <v>FULVIANO CAHYA MAULANA</v>
      </c>
      <c r="E20" s="14"/>
      <c r="F20" s="15"/>
      <c r="G20" s="14"/>
      <c r="H20" s="15"/>
      <c r="I20" s="14"/>
      <c r="J20" s="15"/>
      <c r="K20" s="14"/>
      <c r="L20" s="15"/>
      <c r="M20" s="14"/>
      <c r="N20" s="15"/>
      <c r="O20" s="14"/>
      <c r="P20" s="15"/>
      <c r="Q20" s="14"/>
      <c r="R20" s="15"/>
      <c r="S20" s="14"/>
      <c r="T20" s="15"/>
      <c r="U20" s="14"/>
      <c r="V20" s="15"/>
      <c r="W20" s="14"/>
      <c r="X20" s="15"/>
      <c r="Y20" s="14"/>
      <c r="Z20" s="15"/>
      <c r="AA20" s="14"/>
      <c r="AB20" s="15"/>
      <c r="AC20" s="14"/>
      <c r="AD20" s="120"/>
      <c r="AE20" s="14"/>
      <c r="AF20" s="114"/>
      <c r="AG20" s="110"/>
      <c r="AH20" s="138"/>
      <c r="AI20" s="14"/>
      <c r="AJ20" s="110"/>
      <c r="AK20" s="107"/>
    </row>
    <row r="21" spans="1:37" ht="16.5" customHeight="1" x14ac:dyDescent="0.2">
      <c r="A21" s="6"/>
      <c r="B21" s="135">
        <f t="shared" si="14"/>
        <v>12</v>
      </c>
      <c r="C21" s="11">
        <f>'Kelas XII'!C19</f>
        <v>15868</v>
      </c>
      <c r="D21" s="134" t="str">
        <f>'Kelas XII'!D19</f>
        <v>HAMMAM MUMTAZA</v>
      </c>
      <c r="E21" s="14"/>
      <c r="F21" s="15"/>
      <c r="G21" s="14"/>
      <c r="H21" s="15"/>
      <c r="I21" s="14"/>
      <c r="J21" s="15"/>
      <c r="K21" s="14"/>
      <c r="L21" s="15"/>
      <c r="M21" s="14"/>
      <c r="N21" s="15"/>
      <c r="O21" s="14"/>
      <c r="P21" s="15"/>
      <c r="Q21" s="14"/>
      <c r="R21" s="15"/>
      <c r="S21" s="14"/>
      <c r="T21" s="15"/>
      <c r="U21" s="14"/>
      <c r="V21" s="15"/>
      <c r="W21" s="14"/>
      <c r="X21" s="15"/>
      <c r="Y21" s="14"/>
      <c r="Z21" s="15"/>
      <c r="AA21" s="14"/>
      <c r="AB21" s="15"/>
      <c r="AC21" s="14"/>
      <c r="AD21" s="120"/>
      <c r="AE21" s="14"/>
      <c r="AF21" s="114"/>
      <c r="AG21" s="110"/>
      <c r="AH21" s="138"/>
      <c r="AI21" s="14"/>
      <c r="AJ21" s="110"/>
      <c r="AK21" s="107"/>
    </row>
    <row r="22" spans="1:37" ht="16.5" customHeight="1" x14ac:dyDescent="0.2">
      <c r="A22" s="6"/>
      <c r="B22" s="135">
        <f t="shared" si="14"/>
        <v>13</v>
      </c>
      <c r="C22" s="11">
        <f>'Kelas XII'!C20</f>
        <v>15869</v>
      </c>
      <c r="D22" s="134" t="str">
        <f>'Kelas XII'!D20</f>
        <v>IBRA HAIDAR ALI</v>
      </c>
      <c r="E22" s="14"/>
      <c r="F22" s="15"/>
      <c r="G22" s="14"/>
      <c r="H22" s="15"/>
      <c r="I22" s="14"/>
      <c r="J22" s="15"/>
      <c r="K22" s="14"/>
      <c r="L22" s="15"/>
      <c r="M22" s="14"/>
      <c r="N22" s="15"/>
      <c r="O22" s="14"/>
      <c r="P22" s="15"/>
      <c r="Q22" s="14"/>
      <c r="R22" s="15"/>
      <c r="S22" s="14"/>
      <c r="T22" s="15"/>
      <c r="U22" s="14"/>
      <c r="V22" s="15"/>
      <c r="W22" s="14"/>
      <c r="X22" s="15"/>
      <c r="Y22" s="14"/>
      <c r="Z22" s="15"/>
      <c r="AA22" s="14"/>
      <c r="AB22" s="15"/>
      <c r="AC22" s="14"/>
      <c r="AD22" s="120"/>
      <c r="AE22" s="14"/>
      <c r="AF22" s="114"/>
      <c r="AG22" s="110"/>
      <c r="AH22" s="138"/>
      <c r="AI22" s="14"/>
      <c r="AJ22" s="110"/>
      <c r="AK22" s="107"/>
    </row>
    <row r="23" spans="1:37" ht="16.5" customHeight="1" x14ac:dyDescent="0.2">
      <c r="A23" s="6"/>
      <c r="B23" s="135">
        <f t="shared" si="14"/>
        <v>14</v>
      </c>
      <c r="C23" s="11">
        <f>'Kelas XII'!C21</f>
        <v>15935</v>
      </c>
      <c r="D23" s="134" t="str">
        <f>'Kelas XII'!D21</f>
        <v>IFTIKHAR AMMAR FAIZ</v>
      </c>
      <c r="E23" s="14"/>
      <c r="F23" s="15"/>
      <c r="G23" s="14"/>
      <c r="H23" s="15"/>
      <c r="I23" s="14"/>
      <c r="J23" s="15"/>
      <c r="K23" s="14"/>
      <c r="L23" s="15"/>
      <c r="M23" s="14"/>
      <c r="N23" s="15"/>
      <c r="O23" s="14"/>
      <c r="P23" s="15"/>
      <c r="Q23" s="14"/>
      <c r="R23" s="15"/>
      <c r="S23" s="14"/>
      <c r="T23" s="15"/>
      <c r="U23" s="14"/>
      <c r="V23" s="15"/>
      <c r="W23" s="14"/>
      <c r="X23" s="15"/>
      <c r="Y23" s="14"/>
      <c r="Z23" s="15"/>
      <c r="AA23" s="14"/>
      <c r="AB23" s="15"/>
      <c r="AC23" s="14"/>
      <c r="AD23" s="120"/>
      <c r="AE23" s="14"/>
      <c r="AF23" s="114"/>
      <c r="AG23" s="110"/>
      <c r="AH23" s="138"/>
      <c r="AI23" s="14"/>
      <c r="AJ23" s="110"/>
      <c r="AK23" s="107"/>
    </row>
    <row r="24" spans="1:37" ht="16.5" customHeight="1" x14ac:dyDescent="0.2">
      <c r="A24" s="6"/>
      <c r="B24" s="135">
        <f t="shared" si="14"/>
        <v>15</v>
      </c>
      <c r="C24" s="11">
        <f>'Kelas XII'!C22</f>
        <v>15936</v>
      </c>
      <c r="D24" s="134" t="str">
        <f>'Kelas XII'!D22</f>
        <v>ISNAN ARI NUGROHO</v>
      </c>
      <c r="E24" s="14"/>
      <c r="F24" s="15"/>
      <c r="G24" s="14"/>
      <c r="H24" s="15"/>
      <c r="I24" s="14"/>
      <c r="J24" s="15"/>
      <c r="K24" s="14"/>
      <c r="L24" s="15"/>
      <c r="M24" s="14"/>
      <c r="N24" s="15"/>
      <c r="O24" s="14"/>
      <c r="P24" s="15"/>
      <c r="Q24" s="14"/>
      <c r="R24" s="15"/>
      <c r="S24" s="14"/>
      <c r="T24" s="15"/>
      <c r="U24" s="14"/>
      <c r="V24" s="15"/>
      <c r="W24" s="14"/>
      <c r="X24" s="15"/>
      <c r="Y24" s="14"/>
      <c r="Z24" s="15"/>
      <c r="AA24" s="14"/>
      <c r="AB24" s="15"/>
      <c r="AC24" s="14"/>
      <c r="AD24" s="120"/>
      <c r="AE24" s="14"/>
      <c r="AF24" s="114"/>
      <c r="AG24" s="110"/>
      <c r="AH24" s="138"/>
      <c r="AI24" s="14"/>
      <c r="AJ24" s="110"/>
      <c r="AK24" s="107"/>
    </row>
    <row r="25" spans="1:37" ht="16.5" customHeight="1" x14ac:dyDescent="0.2">
      <c r="A25" s="6"/>
      <c r="B25" s="135">
        <f t="shared" si="14"/>
        <v>16</v>
      </c>
      <c r="C25" s="11">
        <f>'Kelas XII'!C23</f>
        <v>15837</v>
      </c>
      <c r="D25" s="134" t="str">
        <f>'Kelas XII'!D23</f>
        <v>M. ARDHANI AL KATTANY</v>
      </c>
      <c r="E25" s="14"/>
      <c r="F25" s="15"/>
      <c r="G25" s="14"/>
      <c r="H25" s="15"/>
      <c r="I25" s="14"/>
      <c r="J25" s="15"/>
      <c r="K25" s="14"/>
      <c r="L25" s="15"/>
      <c r="M25" s="14"/>
      <c r="N25" s="15"/>
      <c r="O25" s="14"/>
      <c r="P25" s="15"/>
      <c r="Q25" s="14"/>
      <c r="R25" s="15"/>
      <c r="S25" s="14"/>
      <c r="T25" s="15"/>
      <c r="U25" s="14"/>
      <c r="V25" s="15"/>
      <c r="W25" s="14"/>
      <c r="X25" s="15"/>
      <c r="Y25" s="14"/>
      <c r="Z25" s="15"/>
      <c r="AA25" s="14"/>
      <c r="AB25" s="15"/>
      <c r="AC25" s="14"/>
      <c r="AD25" s="120"/>
      <c r="AE25" s="14"/>
      <c r="AF25" s="114"/>
      <c r="AG25" s="110"/>
      <c r="AH25" s="138"/>
      <c r="AI25" s="14"/>
      <c r="AJ25" s="110"/>
      <c r="AK25" s="107"/>
    </row>
    <row r="26" spans="1:37" ht="16.5" customHeight="1" x14ac:dyDescent="0.2">
      <c r="A26" s="6"/>
      <c r="B26" s="135">
        <f t="shared" si="14"/>
        <v>17</v>
      </c>
      <c r="C26" s="11">
        <f>'Kelas XII'!C24</f>
        <v>15904</v>
      </c>
      <c r="D26" s="134" t="str">
        <f>'Kelas XII'!D24</f>
        <v>MAULALHAQ ALFATIH</v>
      </c>
      <c r="E26" s="14"/>
      <c r="F26" s="15"/>
      <c r="G26" s="14"/>
      <c r="H26" s="15"/>
      <c r="I26" s="14"/>
      <c r="J26" s="15"/>
      <c r="K26" s="14"/>
      <c r="L26" s="15"/>
      <c r="M26" s="14"/>
      <c r="N26" s="15"/>
      <c r="O26" s="14"/>
      <c r="P26" s="15"/>
      <c r="Q26" s="14"/>
      <c r="R26" s="15"/>
      <c r="S26" s="14"/>
      <c r="T26" s="15"/>
      <c r="U26" s="14"/>
      <c r="V26" s="15"/>
      <c r="W26" s="14"/>
      <c r="X26" s="15"/>
      <c r="Y26" s="14"/>
      <c r="Z26" s="15"/>
      <c r="AA26" s="14"/>
      <c r="AB26" s="15"/>
      <c r="AC26" s="14"/>
      <c r="AD26" s="120"/>
      <c r="AE26" s="14"/>
      <c r="AF26" s="114"/>
      <c r="AG26" s="110"/>
      <c r="AH26" s="138"/>
      <c r="AI26" s="14"/>
      <c r="AJ26" s="110"/>
      <c r="AK26" s="107"/>
    </row>
    <row r="27" spans="1:37" ht="16.5" customHeight="1" x14ac:dyDescent="0.2">
      <c r="A27" s="6"/>
      <c r="B27" s="135">
        <f t="shared" si="14"/>
        <v>18</v>
      </c>
      <c r="C27" s="11">
        <f>'Kelas XII'!C25</f>
        <v>15873</v>
      </c>
      <c r="D27" s="134" t="str">
        <f>'Kelas XII'!D25</f>
        <v>MAULANA RAFI AZIZ</v>
      </c>
      <c r="E27" s="14"/>
      <c r="F27" s="15"/>
      <c r="G27" s="14"/>
      <c r="H27" s="15"/>
      <c r="I27" s="14"/>
      <c r="J27" s="15"/>
      <c r="K27" s="14"/>
      <c r="L27" s="15"/>
      <c r="M27" s="14"/>
      <c r="N27" s="15"/>
      <c r="O27" s="14"/>
      <c r="P27" s="15"/>
      <c r="Q27" s="14"/>
      <c r="R27" s="15"/>
      <c r="S27" s="14"/>
      <c r="T27" s="15"/>
      <c r="U27" s="14"/>
      <c r="V27" s="15"/>
      <c r="W27" s="14"/>
      <c r="X27" s="15"/>
      <c r="Y27" s="14"/>
      <c r="Z27" s="15"/>
      <c r="AA27" s="14"/>
      <c r="AB27" s="15"/>
      <c r="AC27" s="14"/>
      <c r="AD27" s="120"/>
      <c r="AE27" s="14"/>
      <c r="AF27" s="114"/>
      <c r="AG27" s="110"/>
      <c r="AH27" s="138"/>
      <c r="AI27" s="14"/>
      <c r="AJ27" s="110"/>
      <c r="AK27" s="107"/>
    </row>
    <row r="28" spans="1:37" ht="16.5" customHeight="1" x14ac:dyDescent="0.2">
      <c r="A28" s="6"/>
      <c r="B28" s="135">
        <f t="shared" si="14"/>
        <v>19</v>
      </c>
      <c r="C28" s="11">
        <f>'Kelas XII'!C26</f>
        <v>15907</v>
      </c>
      <c r="D28" s="134" t="str">
        <f>'Kelas XII'!D26</f>
        <v>MOCH. HABIBURROHMAN AL ASAD</v>
      </c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14"/>
      <c r="AB28" s="15"/>
      <c r="AC28" s="14"/>
      <c r="AD28" s="120"/>
      <c r="AE28" s="14"/>
      <c r="AF28" s="114"/>
      <c r="AG28" s="110"/>
      <c r="AH28" s="138"/>
      <c r="AI28" s="14"/>
      <c r="AJ28" s="110"/>
      <c r="AK28" s="107"/>
    </row>
    <row r="29" spans="1:37" ht="16.5" customHeight="1" x14ac:dyDescent="0.2">
      <c r="A29" s="6"/>
      <c r="B29" s="135">
        <f t="shared" si="14"/>
        <v>20</v>
      </c>
      <c r="C29" s="11">
        <f>'Kelas XII'!C27</f>
        <v>15910</v>
      </c>
      <c r="D29" s="134" t="str">
        <f>'Kelas XII'!D27</f>
        <v>MUHAMMAD AL-AKBAR KANZUL KAHFI</v>
      </c>
      <c r="E29" s="14"/>
      <c r="F29" s="15"/>
      <c r="G29" s="14"/>
      <c r="H29" s="15"/>
      <c r="I29" s="14"/>
      <c r="J29" s="15"/>
      <c r="K29" s="14"/>
      <c r="L29" s="15"/>
      <c r="M29" s="14"/>
      <c r="N29" s="15"/>
      <c r="O29" s="14"/>
      <c r="P29" s="15"/>
      <c r="Q29" s="14"/>
      <c r="R29" s="15"/>
      <c r="S29" s="14"/>
      <c r="T29" s="15"/>
      <c r="U29" s="14"/>
      <c r="V29" s="15"/>
      <c r="W29" s="14"/>
      <c r="X29" s="15"/>
      <c r="Y29" s="14"/>
      <c r="Z29" s="15"/>
      <c r="AA29" s="14"/>
      <c r="AB29" s="15"/>
      <c r="AC29" s="14"/>
      <c r="AD29" s="120"/>
      <c r="AE29" s="14"/>
      <c r="AF29" s="114"/>
      <c r="AG29" s="110"/>
      <c r="AH29" s="138"/>
      <c r="AI29" s="14"/>
      <c r="AJ29" s="110"/>
      <c r="AK29" s="107"/>
    </row>
    <row r="30" spans="1:37" ht="16.5" customHeight="1" x14ac:dyDescent="0.2">
      <c r="A30" s="6"/>
      <c r="B30" s="135">
        <f t="shared" si="14"/>
        <v>21</v>
      </c>
      <c r="C30" s="11">
        <f>'Kelas XII'!C28</f>
        <v>15844</v>
      </c>
      <c r="D30" s="134" t="str">
        <f>'Kelas XII'!D28</f>
        <v>MUHAMMAD ASYROF RAHMAN</v>
      </c>
      <c r="E30" s="14"/>
      <c r="F30" s="15"/>
      <c r="G30" s="14"/>
      <c r="H30" s="15"/>
      <c r="I30" s="14"/>
      <c r="J30" s="15"/>
      <c r="K30" s="14"/>
      <c r="L30" s="15"/>
      <c r="M30" s="14"/>
      <c r="N30" s="15"/>
      <c r="O30" s="14"/>
      <c r="P30" s="15"/>
      <c r="Q30" s="14"/>
      <c r="R30" s="15"/>
      <c r="S30" s="14"/>
      <c r="T30" s="15"/>
      <c r="U30" s="14"/>
      <c r="V30" s="15"/>
      <c r="W30" s="14"/>
      <c r="X30" s="15"/>
      <c r="Y30" s="14"/>
      <c r="Z30" s="15"/>
      <c r="AA30" s="14"/>
      <c r="AB30" s="15"/>
      <c r="AC30" s="14"/>
      <c r="AD30" s="120"/>
      <c r="AE30" s="14"/>
      <c r="AF30" s="114"/>
      <c r="AG30" s="110"/>
      <c r="AH30" s="138"/>
      <c r="AI30" s="14"/>
      <c r="AJ30" s="110"/>
      <c r="AK30" s="107"/>
    </row>
    <row r="31" spans="1:37" ht="16.5" customHeight="1" x14ac:dyDescent="0.2">
      <c r="A31" s="6"/>
      <c r="B31" s="135">
        <f t="shared" si="14"/>
        <v>22</v>
      </c>
      <c r="C31" s="11">
        <f>'Kelas XII'!C29</f>
        <v>15914</v>
      </c>
      <c r="D31" s="134" t="str">
        <f>'Kelas XII'!D29</f>
        <v>MUHAMMAD FAHRUL AMIRUL JABBAR</v>
      </c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20"/>
      <c r="AE31" s="14"/>
      <c r="AF31" s="114"/>
      <c r="AG31" s="110"/>
      <c r="AH31" s="138"/>
      <c r="AI31" s="14"/>
      <c r="AJ31" s="110"/>
      <c r="AK31" s="107"/>
    </row>
    <row r="32" spans="1:37" ht="16.5" customHeight="1" x14ac:dyDescent="0.2">
      <c r="A32" s="6"/>
      <c r="B32" s="135">
        <f t="shared" si="14"/>
        <v>23</v>
      </c>
      <c r="C32" s="11">
        <f>'Kelas XII'!C30</f>
        <v>16076</v>
      </c>
      <c r="D32" s="134" t="str">
        <f>'Kelas XII'!D30</f>
        <v>MUHAMMAD FAIZ KHATAMI BALLETI</v>
      </c>
      <c r="E32" s="14"/>
      <c r="F32" s="15"/>
      <c r="G32" s="14"/>
      <c r="H32" s="15"/>
      <c r="I32" s="14"/>
      <c r="J32" s="15"/>
      <c r="K32" s="14"/>
      <c r="L32" s="15"/>
      <c r="M32" s="14"/>
      <c r="N32" s="15"/>
      <c r="O32" s="14"/>
      <c r="P32" s="15"/>
      <c r="Q32" s="14"/>
      <c r="R32" s="15"/>
      <c r="S32" s="14"/>
      <c r="T32" s="15"/>
      <c r="U32" s="14"/>
      <c r="V32" s="15"/>
      <c r="W32" s="14"/>
      <c r="X32" s="15"/>
      <c r="Y32" s="14"/>
      <c r="Z32" s="15"/>
      <c r="AA32" s="14"/>
      <c r="AB32" s="15"/>
      <c r="AC32" s="14"/>
      <c r="AD32" s="120"/>
      <c r="AE32" s="14"/>
      <c r="AF32" s="114"/>
      <c r="AG32" s="110"/>
      <c r="AH32" s="138"/>
      <c r="AI32" s="14"/>
      <c r="AJ32" s="110"/>
      <c r="AK32" s="107"/>
    </row>
    <row r="33" spans="1:37" ht="16.5" customHeight="1" x14ac:dyDescent="0.2">
      <c r="A33" s="6"/>
      <c r="B33" s="135">
        <f t="shared" si="14"/>
        <v>24</v>
      </c>
      <c r="C33" s="11">
        <f>'Kelas XII'!C31</f>
        <v>15877</v>
      </c>
      <c r="D33" s="134" t="str">
        <f>'Kelas XII'!D31</f>
        <v>MUHAMMAD FATHAN WIRAGUNA</v>
      </c>
      <c r="E33" s="14"/>
      <c r="F33" s="15"/>
      <c r="G33" s="14"/>
      <c r="H33" s="15"/>
      <c r="I33" s="14"/>
      <c r="J33" s="15"/>
      <c r="K33" s="14"/>
      <c r="L33" s="15"/>
      <c r="M33" s="14"/>
      <c r="N33" s="15"/>
      <c r="O33" s="14"/>
      <c r="P33" s="15"/>
      <c r="Q33" s="14"/>
      <c r="R33" s="15"/>
      <c r="S33" s="14"/>
      <c r="T33" s="15"/>
      <c r="U33" s="14"/>
      <c r="V33" s="15"/>
      <c r="W33" s="14"/>
      <c r="X33" s="15"/>
      <c r="Y33" s="14"/>
      <c r="Z33" s="15"/>
      <c r="AA33" s="14"/>
      <c r="AB33" s="15"/>
      <c r="AC33" s="14"/>
      <c r="AD33" s="120"/>
      <c r="AE33" s="14"/>
      <c r="AF33" s="114"/>
      <c r="AG33" s="110"/>
      <c r="AH33" s="138"/>
      <c r="AI33" s="14"/>
      <c r="AJ33" s="110"/>
      <c r="AK33" s="107"/>
    </row>
    <row r="34" spans="1:37" ht="16.5" customHeight="1" x14ac:dyDescent="0.2">
      <c r="A34" s="6"/>
      <c r="B34" s="135">
        <f t="shared" si="14"/>
        <v>25</v>
      </c>
      <c r="C34" s="11">
        <f>'Kelas XII'!C32</f>
        <v>15945</v>
      </c>
      <c r="D34" s="134" t="str">
        <f>'Kelas XII'!D32</f>
        <v>MUHAMMAD KEVIN HIDAYATULLAH</v>
      </c>
      <c r="E34" s="14"/>
      <c r="F34" s="15"/>
      <c r="G34" s="14"/>
      <c r="H34" s="15"/>
      <c r="I34" s="14"/>
      <c r="J34" s="15"/>
      <c r="K34" s="14"/>
      <c r="L34" s="15"/>
      <c r="M34" s="14"/>
      <c r="N34" s="15"/>
      <c r="O34" s="14"/>
      <c r="P34" s="15"/>
      <c r="Q34" s="14"/>
      <c r="R34" s="15"/>
      <c r="S34" s="14"/>
      <c r="T34" s="15"/>
      <c r="U34" s="14"/>
      <c r="V34" s="15"/>
      <c r="W34" s="14"/>
      <c r="X34" s="15"/>
      <c r="Y34" s="14"/>
      <c r="Z34" s="15"/>
      <c r="AA34" s="14"/>
      <c r="AB34" s="15"/>
      <c r="AC34" s="14"/>
      <c r="AD34" s="120"/>
      <c r="AE34" s="14"/>
      <c r="AF34" s="114"/>
      <c r="AG34" s="110"/>
      <c r="AH34" s="138"/>
      <c r="AI34" s="14"/>
      <c r="AJ34" s="110"/>
      <c r="AK34" s="107"/>
    </row>
    <row r="35" spans="1:37" ht="16.5" customHeight="1" x14ac:dyDescent="0.2">
      <c r="A35" s="6"/>
      <c r="B35" s="135">
        <f t="shared" si="14"/>
        <v>26</v>
      </c>
      <c r="C35" s="11">
        <f>'Kelas XII'!C33</f>
        <v>15948</v>
      </c>
      <c r="D35" s="134" t="str">
        <f>'Kelas XII'!D33</f>
        <v>MUHAMMAD RAFIIF ARABIYYU MU'ANNAS</v>
      </c>
      <c r="E35" s="14"/>
      <c r="F35" s="15"/>
      <c r="G35" s="14"/>
      <c r="H35" s="15"/>
      <c r="I35" s="14"/>
      <c r="J35" s="15"/>
      <c r="K35" s="14"/>
      <c r="L35" s="15"/>
      <c r="M35" s="14"/>
      <c r="N35" s="15"/>
      <c r="O35" s="14"/>
      <c r="P35" s="15"/>
      <c r="Q35" s="14"/>
      <c r="R35" s="15"/>
      <c r="S35" s="14"/>
      <c r="T35" s="15"/>
      <c r="U35" s="14"/>
      <c r="V35" s="15"/>
      <c r="W35" s="14"/>
      <c r="X35" s="15"/>
      <c r="Y35" s="14"/>
      <c r="Z35" s="15"/>
      <c r="AA35" s="14"/>
      <c r="AB35" s="15"/>
      <c r="AC35" s="14"/>
      <c r="AD35" s="120"/>
      <c r="AE35" s="14"/>
      <c r="AF35" s="114"/>
      <c r="AG35" s="110"/>
      <c r="AH35" s="138"/>
      <c r="AI35" s="14"/>
      <c r="AJ35" s="110"/>
      <c r="AK35" s="107"/>
    </row>
    <row r="36" spans="1:37" ht="16.5" customHeight="1" x14ac:dyDescent="0.2">
      <c r="A36" s="6"/>
      <c r="B36" s="135">
        <f t="shared" si="14"/>
        <v>27</v>
      </c>
      <c r="C36" s="11">
        <f>'Kelas XII'!C34</f>
        <v>15915</v>
      </c>
      <c r="D36" s="134" t="str">
        <f>'Kelas XII'!D34</f>
        <v>MUHAMMAD RAYHAN HIDAYATULLOH</v>
      </c>
      <c r="E36" s="14"/>
      <c r="F36" s="15"/>
      <c r="G36" s="14"/>
      <c r="H36" s="15"/>
      <c r="I36" s="14"/>
      <c r="J36" s="15"/>
      <c r="K36" s="14"/>
      <c r="L36" s="15"/>
      <c r="M36" s="14"/>
      <c r="N36" s="15"/>
      <c r="O36" s="14"/>
      <c r="P36" s="15"/>
      <c r="Q36" s="14"/>
      <c r="R36" s="15"/>
      <c r="S36" s="14"/>
      <c r="T36" s="15"/>
      <c r="U36" s="14"/>
      <c r="V36" s="15"/>
      <c r="W36" s="14"/>
      <c r="X36" s="15"/>
      <c r="Y36" s="14"/>
      <c r="Z36" s="15"/>
      <c r="AA36" s="14"/>
      <c r="AB36" s="15"/>
      <c r="AC36" s="14"/>
      <c r="AD36" s="120"/>
      <c r="AE36" s="14"/>
      <c r="AF36" s="114"/>
      <c r="AG36" s="110"/>
      <c r="AH36" s="138"/>
      <c r="AI36" s="14"/>
      <c r="AJ36" s="110"/>
      <c r="AK36" s="107"/>
    </row>
    <row r="37" spans="1:37" ht="16.5" customHeight="1" x14ac:dyDescent="0.2">
      <c r="A37" s="6"/>
      <c r="B37" s="135">
        <f t="shared" si="14"/>
        <v>28</v>
      </c>
      <c r="C37" s="11">
        <f>'Kelas XII'!C35</f>
        <v>15918</v>
      </c>
      <c r="D37" s="134" t="str">
        <f>'Kelas XII'!D35</f>
        <v>MUHAMMAD ZAHID HIBATULLOH</v>
      </c>
      <c r="E37" s="14"/>
      <c r="F37" s="15"/>
      <c r="G37" s="14"/>
      <c r="H37" s="15"/>
      <c r="I37" s="14"/>
      <c r="J37" s="15"/>
      <c r="K37" s="14"/>
      <c r="L37" s="15"/>
      <c r="M37" s="14"/>
      <c r="N37" s="15"/>
      <c r="O37" s="14"/>
      <c r="P37" s="15"/>
      <c r="Q37" s="14"/>
      <c r="R37" s="15"/>
      <c r="S37" s="14"/>
      <c r="T37" s="15"/>
      <c r="U37" s="14"/>
      <c r="V37" s="15"/>
      <c r="W37" s="14"/>
      <c r="X37" s="15"/>
      <c r="Y37" s="14"/>
      <c r="Z37" s="15"/>
      <c r="AA37" s="14"/>
      <c r="AB37" s="15"/>
      <c r="AC37" s="14"/>
      <c r="AD37" s="120"/>
      <c r="AE37" s="14"/>
      <c r="AF37" s="114"/>
      <c r="AG37" s="110"/>
      <c r="AH37" s="138"/>
      <c r="AI37" s="14"/>
      <c r="AJ37" s="110"/>
      <c r="AK37" s="107"/>
    </row>
    <row r="38" spans="1:37" ht="16.5" customHeight="1" x14ac:dyDescent="0.2">
      <c r="A38" s="6"/>
      <c r="B38" s="135">
        <f t="shared" si="14"/>
        <v>29</v>
      </c>
      <c r="C38" s="11">
        <f>'Kelas XII'!C36</f>
        <v>15919</v>
      </c>
      <c r="D38" s="134" t="str">
        <f>'Kelas XII'!D36</f>
        <v>NABIL MUHAMMAD</v>
      </c>
      <c r="E38" s="16"/>
      <c r="F38" s="17"/>
      <c r="G38" s="16"/>
      <c r="H38" s="17"/>
      <c r="I38" s="16"/>
      <c r="J38" s="17"/>
      <c r="K38" s="16"/>
      <c r="L38" s="17"/>
      <c r="M38" s="16"/>
      <c r="N38" s="17"/>
      <c r="O38" s="16"/>
      <c r="P38" s="17"/>
      <c r="Q38" s="16"/>
      <c r="R38" s="17"/>
      <c r="S38" s="16"/>
      <c r="T38" s="17"/>
      <c r="U38" s="16"/>
      <c r="V38" s="17"/>
      <c r="W38" s="16"/>
      <c r="X38" s="17"/>
      <c r="Y38" s="16"/>
      <c r="Z38" s="17"/>
      <c r="AA38" s="16"/>
      <c r="AB38" s="17"/>
      <c r="AC38" s="16"/>
      <c r="AD38" s="121"/>
      <c r="AE38" s="16"/>
      <c r="AF38" s="115"/>
      <c r="AG38" s="111"/>
      <c r="AH38" s="139"/>
      <c r="AI38" s="16"/>
      <c r="AJ38" s="111"/>
      <c r="AK38" s="107"/>
    </row>
    <row r="39" spans="1:37" ht="16.5" customHeight="1" x14ac:dyDescent="0.2">
      <c r="A39" s="6"/>
      <c r="B39" s="135">
        <f t="shared" si="14"/>
        <v>30</v>
      </c>
      <c r="C39" s="11">
        <f>'Kelas XII'!C37</f>
        <v>15920</v>
      </c>
      <c r="D39" s="134" t="str">
        <f>'Kelas XII'!D37</f>
        <v>NAJIB ALI AHNAF</v>
      </c>
      <c r="E39" s="16"/>
      <c r="F39" s="17"/>
      <c r="G39" s="16"/>
      <c r="H39" s="17"/>
      <c r="I39" s="16"/>
      <c r="J39" s="17"/>
      <c r="K39" s="16"/>
      <c r="L39" s="17"/>
      <c r="M39" s="16"/>
      <c r="N39" s="17"/>
      <c r="O39" s="16"/>
      <c r="P39" s="17"/>
      <c r="Q39" s="16"/>
      <c r="R39" s="17"/>
      <c r="S39" s="16"/>
      <c r="T39" s="17"/>
      <c r="U39" s="16"/>
      <c r="V39" s="17"/>
      <c r="W39" s="16"/>
      <c r="X39" s="17"/>
      <c r="Y39" s="16"/>
      <c r="Z39" s="17"/>
      <c r="AA39" s="16"/>
      <c r="AB39" s="17"/>
      <c r="AC39" s="16"/>
      <c r="AD39" s="121"/>
      <c r="AE39" s="16"/>
      <c r="AF39" s="115"/>
      <c r="AG39" s="111"/>
      <c r="AH39" s="139"/>
      <c r="AI39" s="16"/>
      <c r="AJ39" s="111"/>
      <c r="AK39" s="107"/>
    </row>
    <row r="40" spans="1:37" ht="16.5" customHeight="1" x14ac:dyDescent="0.2">
      <c r="A40" s="6"/>
      <c r="B40" s="135">
        <f t="shared" si="14"/>
        <v>31</v>
      </c>
      <c r="C40" s="11">
        <f>'Kelas XII'!C38</f>
        <v>15953</v>
      </c>
      <c r="D40" s="134" t="str">
        <f>'Kelas XII'!D38</f>
        <v>NAUFAL PUTRA SAMUDRA</v>
      </c>
      <c r="E40" s="16"/>
      <c r="F40" s="17"/>
      <c r="G40" s="16"/>
      <c r="H40" s="17"/>
      <c r="I40" s="16"/>
      <c r="J40" s="17"/>
      <c r="K40" s="16"/>
      <c r="L40" s="17"/>
      <c r="M40" s="16"/>
      <c r="N40" s="17"/>
      <c r="O40" s="16"/>
      <c r="P40" s="17"/>
      <c r="Q40" s="16"/>
      <c r="R40" s="17"/>
      <c r="S40" s="16"/>
      <c r="T40" s="17"/>
      <c r="U40" s="16"/>
      <c r="V40" s="17"/>
      <c r="W40" s="16"/>
      <c r="X40" s="17"/>
      <c r="Y40" s="16"/>
      <c r="Z40" s="17"/>
      <c r="AA40" s="16"/>
      <c r="AB40" s="17"/>
      <c r="AC40" s="16"/>
      <c r="AD40" s="121"/>
      <c r="AE40" s="16"/>
      <c r="AF40" s="115"/>
      <c r="AG40" s="111"/>
      <c r="AH40" s="139"/>
      <c r="AI40" s="16"/>
      <c r="AJ40" s="111"/>
      <c r="AK40" s="107"/>
    </row>
    <row r="41" spans="1:37" ht="16.5" customHeight="1" x14ac:dyDescent="0.2">
      <c r="A41" s="6"/>
      <c r="B41" s="135">
        <f t="shared" si="14"/>
        <v>32</v>
      </c>
      <c r="C41" s="11">
        <f>'Kelas XII'!C39</f>
        <v>15848</v>
      </c>
      <c r="D41" s="134" t="str">
        <f>'Kelas XII'!D39</f>
        <v>NAUFALELSA MA'ARIF</v>
      </c>
      <c r="E41" s="16"/>
      <c r="F41" s="17"/>
      <c r="G41" s="16"/>
      <c r="H41" s="17"/>
      <c r="I41" s="16"/>
      <c r="J41" s="17"/>
      <c r="K41" s="16"/>
      <c r="L41" s="17"/>
      <c r="M41" s="16"/>
      <c r="N41" s="17"/>
      <c r="O41" s="16"/>
      <c r="P41" s="17"/>
      <c r="Q41" s="16"/>
      <c r="R41" s="17"/>
      <c r="S41" s="16"/>
      <c r="T41" s="17"/>
      <c r="U41" s="16"/>
      <c r="V41" s="17"/>
      <c r="W41" s="16"/>
      <c r="X41" s="17"/>
      <c r="Y41" s="16"/>
      <c r="Z41" s="17"/>
      <c r="AA41" s="16"/>
      <c r="AB41" s="17"/>
      <c r="AC41" s="16"/>
      <c r="AD41" s="121"/>
      <c r="AE41" s="16"/>
      <c r="AF41" s="115"/>
      <c r="AG41" s="111"/>
      <c r="AH41" s="139"/>
      <c r="AI41" s="16"/>
      <c r="AJ41" s="111"/>
      <c r="AK41" s="107"/>
    </row>
    <row r="42" spans="1:37" ht="16.5" customHeight="1" x14ac:dyDescent="0.2">
      <c r="A42" s="6"/>
      <c r="B42" s="135">
        <f t="shared" si="14"/>
        <v>33</v>
      </c>
      <c r="C42" s="11">
        <f>'Kelas XII'!C40</f>
        <v>15882</v>
      </c>
      <c r="D42" s="134" t="str">
        <f>'Kelas XII'!D40</f>
        <v>RADEN ATHYLA PASHA AL HADI</v>
      </c>
      <c r="E42" s="16"/>
      <c r="F42" s="17"/>
      <c r="G42" s="16"/>
      <c r="H42" s="17"/>
      <c r="I42" s="16"/>
      <c r="J42" s="17"/>
      <c r="K42" s="16"/>
      <c r="L42" s="17"/>
      <c r="M42" s="16"/>
      <c r="N42" s="17"/>
      <c r="O42" s="16"/>
      <c r="P42" s="17"/>
      <c r="Q42" s="16"/>
      <c r="R42" s="17"/>
      <c r="S42" s="16"/>
      <c r="T42" s="17"/>
      <c r="U42" s="16"/>
      <c r="V42" s="17"/>
      <c r="W42" s="16"/>
      <c r="X42" s="17"/>
      <c r="Y42" s="16"/>
      <c r="Z42" s="17"/>
      <c r="AA42" s="16"/>
      <c r="AB42" s="17"/>
      <c r="AC42" s="16"/>
      <c r="AD42" s="121"/>
      <c r="AE42" s="16"/>
      <c r="AF42" s="115"/>
      <c r="AG42" s="111"/>
      <c r="AH42" s="139"/>
      <c r="AI42" s="16"/>
      <c r="AJ42" s="111"/>
      <c r="AK42" s="107"/>
    </row>
    <row r="43" spans="1:37" ht="16.5" customHeight="1" x14ac:dyDescent="0.2">
      <c r="A43" s="6"/>
      <c r="B43" s="135">
        <f t="shared" si="14"/>
        <v>34</v>
      </c>
      <c r="C43" s="11">
        <f>'Kelas XII'!C41</f>
        <v>15851</v>
      </c>
      <c r="D43" s="134" t="str">
        <f>'Kelas XII'!D41</f>
        <v>RASYA AUFA NARA HAMIDI</v>
      </c>
      <c r="E43" s="16"/>
      <c r="F43" s="17"/>
      <c r="G43" s="16"/>
      <c r="H43" s="17"/>
      <c r="I43" s="16"/>
      <c r="J43" s="17"/>
      <c r="K43" s="16"/>
      <c r="L43" s="17"/>
      <c r="M43" s="16"/>
      <c r="N43" s="17"/>
      <c r="O43" s="16"/>
      <c r="P43" s="17"/>
      <c r="Q43" s="16"/>
      <c r="R43" s="17"/>
      <c r="S43" s="16"/>
      <c r="T43" s="17"/>
      <c r="U43" s="16"/>
      <c r="V43" s="17"/>
      <c r="W43" s="16"/>
      <c r="X43" s="17"/>
      <c r="Y43" s="16"/>
      <c r="Z43" s="17"/>
      <c r="AA43" s="16"/>
      <c r="AB43" s="17"/>
      <c r="AC43" s="16"/>
      <c r="AD43" s="121"/>
      <c r="AE43" s="16"/>
      <c r="AF43" s="115"/>
      <c r="AG43" s="111"/>
      <c r="AH43" s="139"/>
      <c r="AI43" s="16"/>
      <c r="AJ43" s="111"/>
      <c r="AK43" s="107"/>
    </row>
    <row r="44" spans="1:37" ht="16.5" customHeight="1" x14ac:dyDescent="0.2">
      <c r="A44" s="6"/>
      <c r="B44" s="135">
        <f t="shared" si="14"/>
        <v>35</v>
      </c>
      <c r="C44" s="11">
        <f>'Kelas XII'!C42</f>
        <v>0</v>
      </c>
      <c r="D44" s="134">
        <f>'Kelas XII'!D42</f>
        <v>0</v>
      </c>
      <c r="E44" s="16"/>
      <c r="F44" s="17"/>
      <c r="G44" s="16"/>
      <c r="H44" s="17"/>
      <c r="I44" s="16"/>
      <c r="J44" s="17"/>
      <c r="K44" s="16"/>
      <c r="L44" s="17"/>
      <c r="M44" s="16"/>
      <c r="N44" s="17"/>
      <c r="O44" s="16"/>
      <c r="P44" s="17"/>
      <c r="Q44" s="16"/>
      <c r="R44" s="17"/>
      <c r="S44" s="16"/>
      <c r="T44" s="17"/>
      <c r="U44" s="16"/>
      <c r="V44" s="17"/>
      <c r="W44" s="16"/>
      <c r="X44" s="17"/>
      <c r="Y44" s="16"/>
      <c r="Z44" s="17"/>
      <c r="AA44" s="16"/>
      <c r="AB44" s="17"/>
      <c r="AC44" s="16"/>
      <c r="AD44" s="121"/>
      <c r="AE44" s="16"/>
      <c r="AF44" s="115"/>
      <c r="AG44" s="111"/>
      <c r="AH44" s="139"/>
      <c r="AI44" s="16"/>
      <c r="AJ44" s="111"/>
      <c r="AK44" s="107"/>
    </row>
    <row r="45" spans="1:37" ht="16.5" customHeight="1" x14ac:dyDescent="0.2">
      <c r="A45" s="6"/>
      <c r="B45" s="135">
        <f t="shared" si="14"/>
        <v>36</v>
      </c>
      <c r="C45" s="11">
        <f>'Kelas XII'!C43</f>
        <v>0</v>
      </c>
      <c r="D45" s="134">
        <f>'Kelas XII'!D43</f>
        <v>0</v>
      </c>
      <c r="E45" s="16"/>
      <c r="F45" s="17"/>
      <c r="G45" s="16"/>
      <c r="H45" s="17"/>
      <c r="I45" s="16"/>
      <c r="J45" s="17"/>
      <c r="K45" s="16"/>
      <c r="L45" s="17"/>
      <c r="M45" s="16"/>
      <c r="N45" s="17"/>
      <c r="O45" s="16"/>
      <c r="P45" s="17"/>
      <c r="Q45" s="16"/>
      <c r="R45" s="17"/>
      <c r="S45" s="16"/>
      <c r="T45" s="17"/>
      <c r="U45" s="16"/>
      <c r="V45" s="17"/>
      <c r="W45" s="16"/>
      <c r="X45" s="17"/>
      <c r="Y45" s="16"/>
      <c r="Z45" s="17"/>
      <c r="AA45" s="16"/>
      <c r="AB45" s="17"/>
      <c r="AC45" s="16"/>
      <c r="AD45" s="121"/>
      <c r="AE45" s="16"/>
      <c r="AF45" s="115"/>
      <c r="AG45" s="111"/>
      <c r="AH45" s="139"/>
      <c r="AI45" s="16"/>
      <c r="AJ45" s="111"/>
      <c r="AK45" s="107"/>
    </row>
    <row r="46" spans="1:37" ht="16.5" customHeight="1" thickBot="1" x14ac:dyDescent="0.25">
      <c r="A46" s="6"/>
      <c r="B46" s="143">
        <f t="shared" si="14"/>
        <v>37</v>
      </c>
      <c r="C46" s="48">
        <f>'Kelas XII'!C44</f>
        <v>0</v>
      </c>
      <c r="D46" s="198">
        <f>'Kelas XII'!D44</f>
        <v>0</v>
      </c>
      <c r="E46" s="18"/>
      <c r="F46" s="19"/>
      <c r="G46" s="18"/>
      <c r="H46" s="19"/>
      <c r="I46" s="18"/>
      <c r="J46" s="19"/>
      <c r="K46" s="18"/>
      <c r="L46" s="19"/>
      <c r="M46" s="18"/>
      <c r="N46" s="19"/>
      <c r="O46" s="18"/>
      <c r="P46" s="19"/>
      <c r="Q46" s="18"/>
      <c r="R46" s="19"/>
      <c r="S46" s="18"/>
      <c r="T46" s="19"/>
      <c r="U46" s="18"/>
      <c r="V46" s="19"/>
      <c r="W46" s="18"/>
      <c r="X46" s="19"/>
      <c r="Y46" s="18"/>
      <c r="Z46" s="19"/>
      <c r="AA46" s="18"/>
      <c r="AB46" s="19"/>
      <c r="AC46" s="18"/>
      <c r="AD46" s="122"/>
      <c r="AE46" s="18"/>
      <c r="AF46" s="116"/>
      <c r="AG46" s="112"/>
      <c r="AH46" s="140"/>
      <c r="AI46" s="18"/>
      <c r="AJ46" s="112"/>
      <c r="AK46" s="107"/>
    </row>
    <row r="47" spans="1:37" ht="16.5" customHeight="1" x14ac:dyDescent="0.2">
      <c r="A47" s="6"/>
      <c r="B47" s="8"/>
      <c r="C47" s="20"/>
      <c r="D47" s="33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149"/>
      <c r="AK47" s="6"/>
    </row>
    <row r="48" spans="1:37" ht="16.5" customHeight="1" thickBot="1" x14ac:dyDescent="0.25">
      <c r="A48" s="6"/>
      <c r="B48" s="8"/>
      <c r="C48" s="20"/>
      <c r="D48" s="33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150"/>
      <c r="AK48" s="6"/>
    </row>
    <row r="49" spans="1:37" ht="16.5" customHeight="1" x14ac:dyDescent="0.2">
      <c r="A49" s="6"/>
      <c r="B49" s="279"/>
      <c r="C49" s="280"/>
      <c r="D49" s="283" t="s">
        <v>3</v>
      </c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  <c r="AA49" s="284"/>
      <c r="AB49" s="284"/>
      <c r="AC49" s="284"/>
      <c r="AD49" s="284"/>
      <c r="AE49" s="284"/>
      <c r="AF49" s="284"/>
      <c r="AG49" s="284"/>
      <c r="AH49" s="284"/>
      <c r="AI49" s="284"/>
      <c r="AJ49" s="285"/>
      <c r="AK49" s="107"/>
    </row>
    <row r="50" spans="1:37" ht="16.5" customHeight="1" x14ac:dyDescent="0.2">
      <c r="A50" s="6"/>
      <c r="B50" s="281"/>
      <c r="C50" s="282"/>
      <c r="D50" s="286" t="s">
        <v>4</v>
      </c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287"/>
      <c r="AG50" s="287"/>
      <c r="AH50" s="287"/>
      <c r="AI50" s="287"/>
      <c r="AJ50" s="288"/>
      <c r="AK50" s="107"/>
    </row>
    <row r="51" spans="1:37" ht="16.5" customHeight="1" x14ac:dyDescent="0.2">
      <c r="A51" s="6"/>
      <c r="B51" s="281"/>
      <c r="C51" s="282"/>
      <c r="D51" s="286" t="s">
        <v>547</v>
      </c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87"/>
      <c r="AB51" s="287"/>
      <c r="AC51" s="287"/>
      <c r="AD51" s="287"/>
      <c r="AE51" s="287"/>
      <c r="AF51" s="287"/>
      <c r="AG51" s="287"/>
      <c r="AH51" s="287"/>
      <c r="AI51" s="287"/>
      <c r="AJ51" s="288"/>
      <c r="AK51" s="107"/>
    </row>
    <row r="52" spans="1:37" ht="16.5" customHeight="1" thickBot="1" x14ac:dyDescent="0.25">
      <c r="A52" s="6"/>
      <c r="B52" s="281"/>
      <c r="C52" s="282"/>
      <c r="D52" s="289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90"/>
      <c r="AB52" s="290"/>
      <c r="AC52" s="290"/>
      <c r="AD52" s="290"/>
      <c r="AE52" s="290"/>
      <c r="AF52" s="290"/>
      <c r="AG52" s="290"/>
      <c r="AH52" s="290"/>
      <c r="AI52" s="290"/>
      <c r="AJ52" s="291"/>
      <c r="AK52" s="107"/>
    </row>
    <row r="53" spans="1:37" ht="16.5" customHeight="1" thickBot="1" x14ac:dyDescent="0.25">
      <c r="A53" s="6"/>
      <c r="B53" s="283"/>
      <c r="C53" s="285"/>
      <c r="D53" s="24" t="s">
        <v>517</v>
      </c>
      <c r="E53" s="10" t="s">
        <v>11</v>
      </c>
      <c r="F53" s="10"/>
      <c r="G53" s="10"/>
      <c r="H53" s="10"/>
      <c r="I53" s="10"/>
      <c r="J53" s="14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 t="s">
        <v>5</v>
      </c>
      <c r="AB53" s="10"/>
      <c r="AC53" s="10" t="s">
        <v>819</v>
      </c>
      <c r="AD53" s="10"/>
      <c r="AE53" s="10"/>
      <c r="AF53" s="10"/>
      <c r="AG53" s="10"/>
      <c r="AH53" s="10"/>
      <c r="AI53" s="10"/>
      <c r="AJ53" s="158"/>
      <c r="AK53" s="6"/>
    </row>
    <row r="54" spans="1:37" ht="16.5" customHeight="1" thickBot="1" x14ac:dyDescent="0.25">
      <c r="A54" s="6"/>
      <c r="B54" s="294" t="s">
        <v>6</v>
      </c>
      <c r="C54" s="294"/>
      <c r="D54" s="295" t="s">
        <v>7</v>
      </c>
      <c r="E54" s="292"/>
      <c r="F54" s="298"/>
      <c r="G54" s="298"/>
      <c r="H54" s="298"/>
      <c r="I54" s="298"/>
      <c r="J54" s="298"/>
      <c r="K54" s="298"/>
      <c r="L54" s="298"/>
      <c r="M54" s="298"/>
      <c r="N54" s="298"/>
      <c r="O54" s="298"/>
      <c r="P54" s="298"/>
      <c r="Q54" s="298"/>
      <c r="R54" s="298"/>
      <c r="S54" s="298"/>
      <c r="T54" s="298"/>
      <c r="U54" s="298"/>
      <c r="V54" s="298"/>
      <c r="W54" s="298"/>
      <c r="X54" s="298"/>
      <c r="Y54" s="298"/>
      <c r="Z54" s="298"/>
      <c r="AA54" s="298"/>
      <c r="AB54" s="298"/>
      <c r="AC54" s="298"/>
      <c r="AD54" s="298"/>
      <c r="AE54" s="298"/>
      <c r="AF54" s="298"/>
      <c r="AG54" s="298"/>
      <c r="AH54" s="298"/>
      <c r="AI54" s="298"/>
      <c r="AJ54" s="293"/>
    </row>
    <row r="55" spans="1:37" ht="16.5" customHeight="1" thickBot="1" x14ac:dyDescent="0.25">
      <c r="A55" s="6"/>
      <c r="B55" s="295" t="s">
        <v>8</v>
      </c>
      <c r="C55" s="295" t="s">
        <v>9</v>
      </c>
      <c r="D55" s="296"/>
      <c r="E55" s="292">
        <f>E8</f>
        <v>17</v>
      </c>
      <c r="F55" s="298"/>
      <c r="G55" s="292">
        <f>E55+1</f>
        <v>18</v>
      </c>
      <c r="H55" s="298"/>
      <c r="I55" s="292">
        <f t="shared" ref="I55" si="15">G55+1</f>
        <v>19</v>
      </c>
      <c r="J55" s="298"/>
      <c r="K55" s="292">
        <f t="shared" ref="K55" si="16">I55+1</f>
        <v>20</v>
      </c>
      <c r="L55" s="298"/>
      <c r="M55" s="292">
        <f t="shared" ref="M55" si="17">K55+1</f>
        <v>21</v>
      </c>
      <c r="N55" s="298"/>
      <c r="O55" s="292">
        <f t="shared" ref="O55" si="18">M55+1</f>
        <v>22</v>
      </c>
      <c r="P55" s="298"/>
      <c r="Q55" s="292">
        <f t="shared" ref="Q55" si="19">O55+1</f>
        <v>23</v>
      </c>
      <c r="R55" s="298"/>
      <c r="S55" s="292">
        <f t="shared" ref="S55" si="20">Q55+1</f>
        <v>24</v>
      </c>
      <c r="T55" s="298"/>
      <c r="U55" s="292">
        <f t="shared" ref="U55" si="21">S55+1</f>
        <v>25</v>
      </c>
      <c r="V55" s="298"/>
      <c r="W55" s="292">
        <f t="shared" ref="W55" si="22">U55+1</f>
        <v>26</v>
      </c>
      <c r="X55" s="298"/>
      <c r="Y55" s="292">
        <f t="shared" ref="Y55" si="23">W55+1</f>
        <v>27</v>
      </c>
      <c r="Z55" s="298"/>
      <c r="AA55" s="292">
        <f t="shared" ref="AA55" si="24">Y55+1</f>
        <v>28</v>
      </c>
      <c r="AB55" s="298"/>
      <c r="AC55" s="292">
        <f t="shared" ref="AC55" si="25">AA55+1</f>
        <v>29</v>
      </c>
      <c r="AD55" s="298"/>
      <c r="AE55" s="292">
        <f t="shared" ref="AE55" si="26">AC55+1</f>
        <v>30</v>
      </c>
      <c r="AF55" s="298"/>
      <c r="AG55" s="292">
        <f t="shared" ref="AG55" si="27">AE55+1</f>
        <v>31</v>
      </c>
      <c r="AH55" s="298"/>
      <c r="AI55" s="292">
        <f t="shared" ref="AI55" si="28">AG55+1</f>
        <v>32</v>
      </c>
      <c r="AJ55" s="298"/>
      <c r="AK55" s="6"/>
    </row>
    <row r="56" spans="1:37" ht="22.5" customHeight="1" thickBot="1" x14ac:dyDescent="0.25">
      <c r="A56" s="6"/>
      <c r="B56" s="297"/>
      <c r="C56" s="297"/>
      <c r="D56" s="297"/>
      <c r="E56" s="108" t="s">
        <v>13</v>
      </c>
      <c r="F56" s="108" t="s">
        <v>14</v>
      </c>
      <c r="G56" s="108" t="s">
        <v>13</v>
      </c>
      <c r="H56" s="108" t="s">
        <v>14</v>
      </c>
      <c r="I56" s="108" t="s">
        <v>13</v>
      </c>
      <c r="J56" s="108" t="s">
        <v>14</v>
      </c>
      <c r="K56" s="108" t="s">
        <v>13</v>
      </c>
      <c r="L56" s="108" t="s">
        <v>14</v>
      </c>
      <c r="M56" s="108" t="s">
        <v>13</v>
      </c>
      <c r="N56" s="108" t="s">
        <v>14</v>
      </c>
      <c r="O56" s="108" t="s">
        <v>13</v>
      </c>
      <c r="P56" s="108" t="s">
        <v>14</v>
      </c>
      <c r="Q56" s="108" t="s">
        <v>13</v>
      </c>
      <c r="R56" s="108" t="s">
        <v>14</v>
      </c>
      <c r="S56" s="108" t="s">
        <v>13</v>
      </c>
      <c r="T56" s="108" t="s">
        <v>14</v>
      </c>
      <c r="U56" s="108" t="s">
        <v>13</v>
      </c>
      <c r="V56" s="108" t="s">
        <v>14</v>
      </c>
      <c r="W56" s="108" t="s">
        <v>13</v>
      </c>
      <c r="X56" s="108" t="s">
        <v>14</v>
      </c>
      <c r="Y56" s="108" t="s">
        <v>13</v>
      </c>
      <c r="Z56" s="108" t="s">
        <v>14</v>
      </c>
      <c r="AA56" s="108" t="s">
        <v>13</v>
      </c>
      <c r="AB56" s="108" t="s">
        <v>14</v>
      </c>
      <c r="AC56" s="108" t="s">
        <v>13</v>
      </c>
      <c r="AD56" s="108" t="s">
        <v>14</v>
      </c>
      <c r="AE56" s="108" t="s">
        <v>13</v>
      </c>
      <c r="AF56" s="108" t="s">
        <v>14</v>
      </c>
      <c r="AG56" s="108" t="s">
        <v>13</v>
      </c>
      <c r="AH56" s="108" t="s">
        <v>14</v>
      </c>
      <c r="AI56" s="108" t="s">
        <v>13</v>
      </c>
      <c r="AJ56" s="108" t="s">
        <v>14</v>
      </c>
      <c r="AK56" s="6"/>
    </row>
    <row r="57" spans="1:37" ht="16.5" customHeight="1" x14ac:dyDescent="0.2">
      <c r="A57" s="6"/>
      <c r="B57" s="22">
        <v>1</v>
      </c>
      <c r="C57" s="21">
        <f>'Kelas XII'!C52</f>
        <v>15822</v>
      </c>
      <c r="D57" s="133" t="str">
        <f>'Kelas XII'!D52</f>
        <v>ACHMAD TANGSI PUSIRAJA</v>
      </c>
      <c r="E57" s="110"/>
      <c r="F57" s="120"/>
      <c r="G57" s="118"/>
      <c r="H57" s="141"/>
      <c r="I57" s="118"/>
      <c r="J57" s="141"/>
      <c r="K57" s="118"/>
      <c r="L57" s="141"/>
      <c r="M57" s="118"/>
      <c r="N57" s="141"/>
      <c r="O57" s="118"/>
      <c r="P57" s="141"/>
      <c r="Q57" s="118"/>
      <c r="R57" s="141"/>
      <c r="S57" s="118"/>
      <c r="T57" s="141"/>
      <c r="U57" s="118"/>
      <c r="V57" s="141"/>
      <c r="W57" s="118"/>
      <c r="X57" s="141"/>
      <c r="Y57" s="110"/>
      <c r="Z57" s="120"/>
      <c r="AA57" s="118"/>
      <c r="AB57" s="141"/>
      <c r="AC57" s="110"/>
      <c r="AD57" s="120"/>
      <c r="AE57" s="118"/>
      <c r="AF57" s="141"/>
      <c r="AG57" s="110"/>
      <c r="AH57" s="120"/>
      <c r="AI57" s="118"/>
      <c r="AJ57" s="15"/>
      <c r="AK57" s="107"/>
    </row>
    <row r="58" spans="1:37" ht="16.5" customHeight="1" x14ac:dyDescent="0.2">
      <c r="A58" s="6"/>
      <c r="B58" s="135">
        <f t="shared" ref="B58:B93" si="29">B57+1</f>
        <v>2</v>
      </c>
      <c r="C58" s="21">
        <f>'Kelas XII'!C53</f>
        <v>15823</v>
      </c>
      <c r="D58" s="159" t="str">
        <f>'Kelas XII'!D53</f>
        <v>AHMAD FARHAN AL FATIH MASYHURI</v>
      </c>
      <c r="E58" s="110"/>
      <c r="F58" s="120"/>
      <c r="G58" s="14"/>
      <c r="H58" s="142"/>
      <c r="I58" s="14"/>
      <c r="J58" s="142"/>
      <c r="K58" s="14"/>
      <c r="L58" s="142"/>
      <c r="M58" s="14"/>
      <c r="N58" s="142"/>
      <c r="O58" s="14"/>
      <c r="P58" s="142"/>
      <c r="Q58" s="14"/>
      <c r="R58" s="142"/>
      <c r="S58" s="14"/>
      <c r="T58" s="142"/>
      <c r="U58" s="14"/>
      <c r="V58" s="142"/>
      <c r="W58" s="14"/>
      <c r="X58" s="142"/>
      <c r="Y58" s="110"/>
      <c r="Z58" s="120"/>
      <c r="AA58" s="14"/>
      <c r="AB58" s="142"/>
      <c r="AC58" s="110"/>
      <c r="AD58" s="120"/>
      <c r="AE58" s="14"/>
      <c r="AF58" s="142"/>
      <c r="AG58" s="110"/>
      <c r="AH58" s="120"/>
      <c r="AI58" s="14"/>
      <c r="AJ58" s="15"/>
      <c r="AK58" s="107"/>
    </row>
    <row r="59" spans="1:37" ht="16.5" customHeight="1" x14ac:dyDescent="0.2">
      <c r="A59" s="6"/>
      <c r="B59" s="135">
        <f t="shared" si="29"/>
        <v>3</v>
      </c>
      <c r="C59" s="21">
        <f>'Kelas XII'!C54</f>
        <v>15857</v>
      </c>
      <c r="D59" s="159" t="str">
        <f>'Kelas XII'!D54</f>
        <v>AHMAD HILMAN WIBAWA PUTRA HIDAYAT</v>
      </c>
      <c r="E59" s="110"/>
      <c r="F59" s="120"/>
      <c r="G59" s="14"/>
      <c r="H59" s="142"/>
      <c r="I59" s="14"/>
      <c r="J59" s="142"/>
      <c r="K59" s="14"/>
      <c r="L59" s="142"/>
      <c r="M59" s="14"/>
      <c r="N59" s="142"/>
      <c r="O59" s="14"/>
      <c r="P59" s="142"/>
      <c r="Q59" s="14"/>
      <c r="R59" s="142"/>
      <c r="S59" s="14"/>
      <c r="T59" s="142"/>
      <c r="U59" s="14"/>
      <c r="V59" s="142"/>
      <c r="W59" s="14"/>
      <c r="X59" s="142"/>
      <c r="Y59" s="110"/>
      <c r="Z59" s="120"/>
      <c r="AA59" s="14"/>
      <c r="AB59" s="142"/>
      <c r="AC59" s="110"/>
      <c r="AD59" s="120"/>
      <c r="AE59" s="14"/>
      <c r="AF59" s="142"/>
      <c r="AG59" s="110"/>
      <c r="AH59" s="120"/>
      <c r="AI59" s="14"/>
      <c r="AJ59" s="15"/>
      <c r="AK59" s="107"/>
    </row>
    <row r="60" spans="1:37" ht="16.5" customHeight="1" x14ac:dyDescent="0.2">
      <c r="B60" s="135">
        <f t="shared" si="29"/>
        <v>4</v>
      </c>
      <c r="C60" s="21">
        <f>'Kelas XII'!C55</f>
        <v>15929</v>
      </c>
      <c r="D60" s="159" t="str">
        <f>'Kelas XII'!D55</f>
        <v>AHMAD RAJABI</v>
      </c>
      <c r="E60" s="110"/>
      <c r="F60" s="120"/>
      <c r="G60" s="14"/>
      <c r="H60" s="142"/>
      <c r="I60" s="14"/>
      <c r="J60" s="142"/>
      <c r="K60" s="14"/>
      <c r="L60" s="142"/>
      <c r="M60" s="14"/>
      <c r="N60" s="142"/>
      <c r="O60" s="14"/>
      <c r="P60" s="142"/>
      <c r="Q60" s="14"/>
      <c r="R60" s="142"/>
      <c r="S60" s="14"/>
      <c r="T60" s="142"/>
      <c r="U60" s="14"/>
      <c r="V60" s="142"/>
      <c r="W60" s="14"/>
      <c r="X60" s="142"/>
      <c r="Y60" s="110"/>
      <c r="Z60" s="120"/>
      <c r="AA60" s="14"/>
      <c r="AB60" s="142"/>
      <c r="AC60" s="110"/>
      <c r="AD60" s="120"/>
      <c r="AE60" s="14"/>
      <c r="AF60" s="142"/>
      <c r="AG60" s="110"/>
      <c r="AH60" s="120"/>
      <c r="AI60" s="14"/>
      <c r="AJ60" s="15"/>
      <c r="AK60" s="107"/>
    </row>
    <row r="61" spans="1:37" ht="16.5" customHeight="1" x14ac:dyDescent="0.2">
      <c r="A61" s="6"/>
      <c r="B61" s="135">
        <f t="shared" si="29"/>
        <v>5</v>
      </c>
      <c r="C61" s="21">
        <f>'Kelas XII'!C56</f>
        <v>15931</v>
      </c>
      <c r="D61" s="159" t="str">
        <f>'Kelas XII'!D56</f>
        <v>DEFTIAN RIKO PRADITA</v>
      </c>
      <c r="E61" s="110"/>
      <c r="F61" s="120"/>
      <c r="G61" s="14"/>
      <c r="H61" s="142"/>
      <c r="I61" s="14"/>
      <c r="J61" s="142"/>
      <c r="K61" s="14"/>
      <c r="L61" s="142"/>
      <c r="M61" s="14"/>
      <c r="N61" s="142"/>
      <c r="O61" s="14"/>
      <c r="P61" s="142"/>
      <c r="Q61" s="14"/>
      <c r="R61" s="142"/>
      <c r="S61" s="14"/>
      <c r="T61" s="142"/>
      <c r="U61" s="14"/>
      <c r="V61" s="142"/>
      <c r="W61" s="14"/>
      <c r="X61" s="142"/>
      <c r="Y61" s="110"/>
      <c r="Z61" s="120"/>
      <c r="AA61" s="14"/>
      <c r="AB61" s="142"/>
      <c r="AC61" s="110"/>
      <c r="AD61" s="120"/>
      <c r="AE61" s="14"/>
      <c r="AF61" s="142"/>
      <c r="AG61" s="110"/>
      <c r="AH61" s="120"/>
      <c r="AI61" s="14"/>
      <c r="AJ61" s="15"/>
      <c r="AK61" s="107"/>
    </row>
    <row r="62" spans="1:37" ht="16.5" customHeight="1" x14ac:dyDescent="0.2">
      <c r="A62" s="6"/>
      <c r="B62" s="135">
        <f t="shared" si="29"/>
        <v>6</v>
      </c>
      <c r="C62" s="21">
        <f>'Kelas XII'!C57</f>
        <v>15932</v>
      </c>
      <c r="D62" s="159" t="str">
        <f>'Kelas XII'!D57</f>
        <v>FAJRUL AKBAR</v>
      </c>
      <c r="E62" s="110"/>
      <c r="F62" s="120"/>
      <c r="G62" s="14"/>
      <c r="H62" s="142"/>
      <c r="I62" s="14"/>
      <c r="J62" s="142"/>
      <c r="K62" s="14"/>
      <c r="L62" s="142"/>
      <c r="M62" s="14"/>
      <c r="N62" s="142"/>
      <c r="O62" s="14"/>
      <c r="P62" s="142"/>
      <c r="Q62" s="14"/>
      <c r="R62" s="142"/>
      <c r="S62" s="14"/>
      <c r="T62" s="142"/>
      <c r="U62" s="14"/>
      <c r="V62" s="142"/>
      <c r="W62" s="14"/>
      <c r="X62" s="142"/>
      <c r="Y62" s="110"/>
      <c r="Z62" s="120"/>
      <c r="AA62" s="14"/>
      <c r="AB62" s="142"/>
      <c r="AC62" s="110"/>
      <c r="AD62" s="120"/>
      <c r="AE62" s="14"/>
      <c r="AF62" s="142"/>
      <c r="AG62" s="110"/>
      <c r="AH62" s="120"/>
      <c r="AI62" s="14"/>
      <c r="AJ62" s="15"/>
      <c r="AK62" s="107"/>
    </row>
    <row r="63" spans="1:37" ht="16.5" customHeight="1" x14ac:dyDescent="0.2">
      <c r="A63" s="6"/>
      <c r="B63" s="135">
        <f t="shared" si="29"/>
        <v>7</v>
      </c>
      <c r="C63" s="21">
        <f>'Kelas XII'!C58</f>
        <v>15933</v>
      </c>
      <c r="D63" s="159" t="str">
        <f>'Kelas XII'!D58</f>
        <v>FAUZI MIFTAH PURNASATRIA</v>
      </c>
      <c r="E63" s="110"/>
      <c r="F63" s="120"/>
      <c r="G63" s="14"/>
      <c r="H63" s="142"/>
      <c r="I63" s="14"/>
      <c r="J63" s="142"/>
      <c r="K63" s="14"/>
      <c r="L63" s="142"/>
      <c r="M63" s="14"/>
      <c r="N63" s="142"/>
      <c r="O63" s="14"/>
      <c r="P63" s="142"/>
      <c r="Q63" s="14"/>
      <c r="R63" s="142"/>
      <c r="S63" s="14"/>
      <c r="T63" s="142"/>
      <c r="U63" s="14"/>
      <c r="V63" s="142"/>
      <c r="W63" s="14"/>
      <c r="X63" s="142"/>
      <c r="Y63" s="110"/>
      <c r="Z63" s="120"/>
      <c r="AA63" s="14"/>
      <c r="AB63" s="142"/>
      <c r="AC63" s="110"/>
      <c r="AD63" s="120"/>
      <c r="AE63" s="14"/>
      <c r="AF63" s="142"/>
      <c r="AG63" s="110"/>
      <c r="AH63" s="120"/>
      <c r="AI63" s="14"/>
      <c r="AJ63" s="15"/>
      <c r="AK63" s="107"/>
    </row>
    <row r="64" spans="1:37" ht="16.5" customHeight="1" x14ac:dyDescent="0.2">
      <c r="A64" s="6"/>
      <c r="B64" s="135">
        <f t="shared" si="29"/>
        <v>8</v>
      </c>
      <c r="C64" s="21">
        <f>'Kelas XII'!C59</f>
        <v>15867</v>
      </c>
      <c r="D64" s="159" t="str">
        <f>'Kelas XII'!D59</f>
        <v>HAIDAR ALI ZAMANI</v>
      </c>
      <c r="E64" s="110"/>
      <c r="F64" s="120"/>
      <c r="G64" s="14"/>
      <c r="H64" s="142"/>
      <c r="I64" s="14"/>
      <c r="J64" s="142"/>
      <c r="K64" s="14"/>
      <c r="L64" s="142"/>
      <c r="M64" s="14"/>
      <c r="N64" s="142"/>
      <c r="O64" s="14"/>
      <c r="P64" s="142"/>
      <c r="Q64" s="14"/>
      <c r="R64" s="142"/>
      <c r="S64" s="14"/>
      <c r="T64" s="142"/>
      <c r="U64" s="14"/>
      <c r="V64" s="142"/>
      <c r="W64" s="14"/>
      <c r="X64" s="142"/>
      <c r="Y64" s="110"/>
      <c r="Z64" s="120"/>
      <c r="AA64" s="14"/>
      <c r="AB64" s="142"/>
      <c r="AC64" s="110"/>
      <c r="AD64" s="120"/>
      <c r="AE64" s="14"/>
      <c r="AF64" s="142"/>
      <c r="AG64" s="110"/>
      <c r="AH64" s="120"/>
      <c r="AI64" s="14"/>
      <c r="AJ64" s="15"/>
      <c r="AK64" s="107"/>
    </row>
    <row r="65" spans="1:37" ht="16.5" customHeight="1" x14ac:dyDescent="0.2">
      <c r="A65" s="6"/>
      <c r="B65" s="135">
        <f t="shared" si="29"/>
        <v>9</v>
      </c>
      <c r="C65" s="21">
        <f>'Kelas XII'!C60</f>
        <v>15834</v>
      </c>
      <c r="D65" s="159" t="str">
        <f>'Kelas XII'!D60</f>
        <v>IQBAL FIRDAUS AL HAMID</v>
      </c>
      <c r="E65" s="110"/>
      <c r="F65" s="120"/>
      <c r="G65" s="14"/>
      <c r="H65" s="142"/>
      <c r="I65" s="14"/>
      <c r="J65" s="142"/>
      <c r="K65" s="14"/>
      <c r="L65" s="142"/>
      <c r="M65" s="14"/>
      <c r="N65" s="142"/>
      <c r="O65" s="14"/>
      <c r="P65" s="142"/>
      <c r="Q65" s="14"/>
      <c r="R65" s="142"/>
      <c r="S65" s="14"/>
      <c r="T65" s="142"/>
      <c r="U65" s="14"/>
      <c r="V65" s="142"/>
      <c r="W65" s="14"/>
      <c r="X65" s="142"/>
      <c r="Y65" s="110"/>
      <c r="Z65" s="120"/>
      <c r="AA65" s="14"/>
      <c r="AB65" s="142"/>
      <c r="AC65" s="110"/>
      <c r="AD65" s="120"/>
      <c r="AE65" s="14"/>
      <c r="AF65" s="142"/>
      <c r="AG65" s="110"/>
      <c r="AH65" s="120"/>
      <c r="AI65" s="14"/>
      <c r="AJ65" s="15"/>
      <c r="AK65" s="107"/>
    </row>
    <row r="66" spans="1:37" ht="16.5" customHeight="1" x14ac:dyDescent="0.2">
      <c r="A66" s="6"/>
      <c r="B66" s="135">
        <f t="shared" si="29"/>
        <v>10</v>
      </c>
      <c r="C66" s="21">
        <f>'Kelas XII'!C61</f>
        <v>15835</v>
      </c>
      <c r="D66" s="159" t="str">
        <f>'Kelas XII'!D61</f>
        <v>KENNARD FALAHSYAH</v>
      </c>
      <c r="E66" s="110"/>
      <c r="F66" s="120"/>
      <c r="G66" s="14"/>
      <c r="H66" s="142"/>
      <c r="I66" s="14"/>
      <c r="J66" s="142"/>
      <c r="K66" s="14"/>
      <c r="L66" s="142"/>
      <c r="M66" s="14"/>
      <c r="N66" s="142"/>
      <c r="O66" s="14"/>
      <c r="P66" s="142"/>
      <c r="Q66" s="14"/>
      <c r="R66" s="142"/>
      <c r="S66" s="14"/>
      <c r="T66" s="142"/>
      <c r="U66" s="14"/>
      <c r="V66" s="142"/>
      <c r="W66" s="14"/>
      <c r="X66" s="142"/>
      <c r="Y66" s="110"/>
      <c r="Z66" s="120"/>
      <c r="AA66" s="14"/>
      <c r="AB66" s="142"/>
      <c r="AC66" s="110"/>
      <c r="AD66" s="120"/>
      <c r="AE66" s="14"/>
      <c r="AF66" s="142"/>
      <c r="AG66" s="110"/>
      <c r="AH66" s="120"/>
      <c r="AI66" s="14"/>
      <c r="AJ66" s="15"/>
      <c r="AK66" s="107"/>
    </row>
    <row r="67" spans="1:37" ht="16.5" customHeight="1" x14ac:dyDescent="0.2">
      <c r="A67" s="6"/>
      <c r="B67" s="135">
        <f t="shared" si="29"/>
        <v>11</v>
      </c>
      <c r="C67" s="21">
        <f>'Kelas XII'!C62</f>
        <v>15870</v>
      </c>
      <c r="D67" s="159" t="str">
        <f>'Kelas XII'!D62</f>
        <v>KUKUH WICAKSONO</v>
      </c>
      <c r="E67" s="110"/>
      <c r="F67" s="120"/>
      <c r="G67" s="14"/>
      <c r="H67" s="142"/>
      <c r="I67" s="14"/>
      <c r="J67" s="142"/>
      <c r="K67" s="14"/>
      <c r="L67" s="142"/>
      <c r="M67" s="14"/>
      <c r="N67" s="142"/>
      <c r="O67" s="14"/>
      <c r="P67" s="142"/>
      <c r="Q67" s="14"/>
      <c r="R67" s="142"/>
      <c r="S67" s="14"/>
      <c r="T67" s="142"/>
      <c r="U67" s="14"/>
      <c r="V67" s="142"/>
      <c r="W67" s="14"/>
      <c r="X67" s="142"/>
      <c r="Y67" s="110"/>
      <c r="Z67" s="120"/>
      <c r="AA67" s="14"/>
      <c r="AB67" s="142"/>
      <c r="AC67" s="110"/>
      <c r="AD67" s="120"/>
      <c r="AE67" s="14"/>
      <c r="AF67" s="142"/>
      <c r="AG67" s="110"/>
      <c r="AH67" s="120"/>
      <c r="AI67" s="14"/>
      <c r="AJ67" s="15"/>
      <c r="AK67" s="107"/>
    </row>
    <row r="68" spans="1:37" ht="16.5" customHeight="1" x14ac:dyDescent="0.2">
      <c r="A68" s="6"/>
      <c r="B68" s="135">
        <f t="shared" si="29"/>
        <v>12</v>
      </c>
      <c r="C68" s="21">
        <f>'Kelas XII'!C63</f>
        <v>15871</v>
      </c>
      <c r="D68" s="159" t="str">
        <f>'Kelas XII'!D63</f>
        <v>LINTANG CAHYA PUTRA</v>
      </c>
      <c r="E68" s="110"/>
      <c r="F68" s="120"/>
      <c r="G68" s="14"/>
      <c r="H68" s="142"/>
      <c r="I68" s="14"/>
      <c r="J68" s="142"/>
      <c r="K68" s="14"/>
      <c r="L68" s="142"/>
      <c r="M68" s="14"/>
      <c r="N68" s="142"/>
      <c r="O68" s="14"/>
      <c r="P68" s="142"/>
      <c r="Q68" s="14"/>
      <c r="R68" s="142"/>
      <c r="S68" s="14"/>
      <c r="T68" s="142"/>
      <c r="U68" s="14"/>
      <c r="V68" s="142"/>
      <c r="W68" s="14"/>
      <c r="X68" s="142"/>
      <c r="Y68" s="110"/>
      <c r="Z68" s="120"/>
      <c r="AA68" s="14"/>
      <c r="AB68" s="142"/>
      <c r="AC68" s="110"/>
      <c r="AD68" s="120"/>
      <c r="AE68" s="14"/>
      <c r="AF68" s="142"/>
      <c r="AG68" s="110"/>
      <c r="AH68" s="120"/>
      <c r="AI68" s="14"/>
      <c r="AJ68" s="15"/>
      <c r="AK68" s="107"/>
    </row>
    <row r="69" spans="1:37" ht="16.5" customHeight="1" x14ac:dyDescent="0.2">
      <c r="A69" s="6"/>
      <c r="B69" s="135">
        <f t="shared" si="29"/>
        <v>13</v>
      </c>
      <c r="C69" s="21">
        <f>'Kelas XII'!C64</f>
        <v>15872</v>
      </c>
      <c r="D69" s="159" t="str">
        <f>'Kelas XII'!D64</f>
        <v>M. HAFIZ AKBAR PUTRA NADELFA</v>
      </c>
      <c r="E69" s="110"/>
      <c r="F69" s="120"/>
      <c r="G69" s="14"/>
      <c r="H69" s="142"/>
      <c r="I69" s="14"/>
      <c r="J69" s="142"/>
      <c r="K69" s="14"/>
      <c r="L69" s="142"/>
      <c r="M69" s="14"/>
      <c r="N69" s="142"/>
      <c r="O69" s="14"/>
      <c r="P69" s="142"/>
      <c r="Q69" s="14"/>
      <c r="R69" s="142"/>
      <c r="S69" s="14"/>
      <c r="T69" s="142"/>
      <c r="U69" s="14"/>
      <c r="V69" s="142"/>
      <c r="W69" s="14"/>
      <c r="X69" s="142"/>
      <c r="Y69" s="110"/>
      <c r="Z69" s="120"/>
      <c r="AA69" s="14"/>
      <c r="AB69" s="142"/>
      <c r="AC69" s="110"/>
      <c r="AD69" s="120"/>
      <c r="AE69" s="14"/>
      <c r="AF69" s="142"/>
      <c r="AG69" s="110"/>
      <c r="AH69" s="120"/>
      <c r="AI69" s="14"/>
      <c r="AJ69" s="15"/>
      <c r="AK69" s="107"/>
    </row>
    <row r="70" spans="1:37" ht="16.5" customHeight="1" x14ac:dyDescent="0.2">
      <c r="A70" s="6"/>
      <c r="B70" s="135">
        <f t="shared" si="29"/>
        <v>14</v>
      </c>
      <c r="C70" s="21">
        <f>'Kelas XII'!C65</f>
        <v>15903</v>
      </c>
      <c r="D70" s="159" t="str">
        <f>'Kelas XII'!D65</f>
        <v>M. THOHA KHOIRIL ANAM</v>
      </c>
      <c r="E70" s="110"/>
      <c r="F70" s="120"/>
      <c r="G70" s="14"/>
      <c r="H70" s="142"/>
      <c r="I70" s="14"/>
      <c r="J70" s="142"/>
      <c r="K70" s="14"/>
      <c r="L70" s="142"/>
      <c r="M70" s="14"/>
      <c r="N70" s="142"/>
      <c r="O70" s="14"/>
      <c r="P70" s="142"/>
      <c r="Q70" s="14"/>
      <c r="R70" s="142"/>
      <c r="S70" s="14"/>
      <c r="T70" s="142"/>
      <c r="U70" s="14"/>
      <c r="V70" s="142"/>
      <c r="W70" s="14"/>
      <c r="X70" s="142"/>
      <c r="Y70" s="110"/>
      <c r="Z70" s="120"/>
      <c r="AA70" s="14"/>
      <c r="AB70" s="142"/>
      <c r="AC70" s="110"/>
      <c r="AD70" s="120"/>
      <c r="AE70" s="14"/>
      <c r="AF70" s="142"/>
      <c r="AG70" s="110"/>
      <c r="AH70" s="120"/>
      <c r="AI70" s="14"/>
      <c r="AJ70" s="15"/>
      <c r="AK70" s="107"/>
    </row>
    <row r="71" spans="1:37" ht="16.5" customHeight="1" x14ac:dyDescent="0.2">
      <c r="A71" s="6"/>
      <c r="B71" s="135">
        <f t="shared" si="29"/>
        <v>15</v>
      </c>
      <c r="C71" s="21">
        <f>'Kelas XII'!C66</f>
        <v>15874</v>
      </c>
      <c r="D71" s="159" t="str">
        <f>'Kelas XII'!D66</f>
        <v>MIFTAH GHANI AGATA</v>
      </c>
      <c r="E71" s="110"/>
      <c r="F71" s="120"/>
      <c r="G71" s="14"/>
      <c r="H71" s="142"/>
      <c r="I71" s="14"/>
      <c r="J71" s="142"/>
      <c r="K71" s="14"/>
      <c r="L71" s="142"/>
      <c r="M71" s="14"/>
      <c r="N71" s="142"/>
      <c r="O71" s="14"/>
      <c r="P71" s="142"/>
      <c r="Q71" s="14"/>
      <c r="R71" s="142"/>
      <c r="S71" s="14"/>
      <c r="T71" s="142"/>
      <c r="U71" s="14"/>
      <c r="V71" s="142"/>
      <c r="W71" s="14"/>
      <c r="X71" s="142"/>
      <c r="Y71" s="110"/>
      <c r="Z71" s="120"/>
      <c r="AA71" s="14"/>
      <c r="AB71" s="142"/>
      <c r="AC71" s="110"/>
      <c r="AD71" s="120"/>
      <c r="AE71" s="14"/>
      <c r="AF71" s="142"/>
      <c r="AG71" s="110"/>
      <c r="AH71" s="120"/>
      <c r="AI71" s="14"/>
      <c r="AJ71" s="15"/>
      <c r="AK71" s="107"/>
    </row>
    <row r="72" spans="1:37" ht="16.5" customHeight="1" x14ac:dyDescent="0.2">
      <c r="A72" s="6"/>
      <c r="B72" s="135">
        <f t="shared" si="29"/>
        <v>16</v>
      </c>
      <c r="C72" s="21">
        <f>'Kelas XII'!C67</f>
        <v>15940</v>
      </c>
      <c r="D72" s="159" t="str">
        <f>'Kelas XII'!D67</f>
        <v>MOCH. HAVIS YAHYA</v>
      </c>
      <c r="E72" s="110"/>
      <c r="F72" s="120"/>
      <c r="G72" s="14"/>
      <c r="H72" s="142"/>
      <c r="I72" s="14"/>
      <c r="J72" s="142"/>
      <c r="K72" s="14"/>
      <c r="L72" s="142"/>
      <c r="M72" s="14"/>
      <c r="N72" s="142"/>
      <c r="O72" s="14"/>
      <c r="P72" s="142"/>
      <c r="Q72" s="14"/>
      <c r="R72" s="142"/>
      <c r="S72" s="14"/>
      <c r="T72" s="142"/>
      <c r="U72" s="14"/>
      <c r="V72" s="142"/>
      <c r="W72" s="14"/>
      <c r="X72" s="142"/>
      <c r="Y72" s="110"/>
      <c r="Z72" s="120"/>
      <c r="AA72" s="14"/>
      <c r="AB72" s="142"/>
      <c r="AC72" s="110"/>
      <c r="AD72" s="120"/>
      <c r="AE72" s="14"/>
      <c r="AF72" s="142"/>
      <c r="AG72" s="110"/>
      <c r="AH72" s="120"/>
      <c r="AI72" s="14"/>
      <c r="AJ72" s="15"/>
      <c r="AK72" s="107"/>
    </row>
    <row r="73" spans="1:37" ht="16.5" customHeight="1" x14ac:dyDescent="0.2">
      <c r="A73" s="6"/>
      <c r="B73" s="135">
        <f t="shared" si="29"/>
        <v>17</v>
      </c>
      <c r="C73" s="21">
        <f>'Kelas XII'!C68</f>
        <v>15942</v>
      </c>
      <c r="D73" s="159" t="str">
        <f>'Kelas XII'!D68</f>
        <v>MOHAMMAD FAJAR SATRIO NUGROHO</v>
      </c>
      <c r="E73" s="110"/>
      <c r="F73" s="120"/>
      <c r="G73" s="14"/>
      <c r="H73" s="142"/>
      <c r="I73" s="14"/>
      <c r="J73" s="142"/>
      <c r="K73" s="14"/>
      <c r="L73" s="142"/>
      <c r="M73" s="14"/>
      <c r="N73" s="142"/>
      <c r="O73" s="14"/>
      <c r="P73" s="142"/>
      <c r="Q73" s="14"/>
      <c r="R73" s="142"/>
      <c r="S73" s="14"/>
      <c r="T73" s="142"/>
      <c r="U73" s="14"/>
      <c r="V73" s="142"/>
      <c r="W73" s="14"/>
      <c r="X73" s="142"/>
      <c r="Y73" s="110"/>
      <c r="Z73" s="120"/>
      <c r="AA73" s="14"/>
      <c r="AB73" s="142"/>
      <c r="AC73" s="110"/>
      <c r="AD73" s="120"/>
      <c r="AE73" s="14"/>
      <c r="AF73" s="142"/>
      <c r="AG73" s="110"/>
      <c r="AH73" s="120"/>
      <c r="AI73" s="14"/>
      <c r="AJ73" s="15"/>
      <c r="AK73" s="107"/>
    </row>
    <row r="74" spans="1:37" ht="16.5" customHeight="1" x14ac:dyDescent="0.2">
      <c r="A74" s="6"/>
      <c r="B74" s="135">
        <f t="shared" si="29"/>
        <v>18</v>
      </c>
      <c r="C74" s="21">
        <f>'Kelas XII'!C69</f>
        <v>15843</v>
      </c>
      <c r="D74" s="159" t="str">
        <f>'Kelas XII'!D69</f>
        <v>MUHAMMAD ALFARUQ SULANDRA</v>
      </c>
      <c r="E74" s="110"/>
      <c r="F74" s="120"/>
      <c r="G74" s="14"/>
      <c r="H74" s="142"/>
      <c r="I74" s="14"/>
      <c r="J74" s="142"/>
      <c r="K74" s="14"/>
      <c r="L74" s="142"/>
      <c r="M74" s="14"/>
      <c r="N74" s="142"/>
      <c r="O74" s="14"/>
      <c r="P74" s="142"/>
      <c r="Q74" s="14"/>
      <c r="R74" s="142"/>
      <c r="S74" s="14"/>
      <c r="T74" s="142"/>
      <c r="U74" s="14"/>
      <c r="V74" s="142"/>
      <c r="W74" s="14"/>
      <c r="X74" s="142"/>
      <c r="Y74" s="110"/>
      <c r="Z74" s="120"/>
      <c r="AA74" s="14"/>
      <c r="AB74" s="142"/>
      <c r="AC74" s="110"/>
      <c r="AD74" s="120"/>
      <c r="AE74" s="14"/>
      <c r="AF74" s="142"/>
      <c r="AG74" s="110"/>
      <c r="AH74" s="120"/>
      <c r="AI74" s="14"/>
      <c r="AJ74" s="15"/>
      <c r="AK74" s="107"/>
    </row>
    <row r="75" spans="1:37" ht="16.5" customHeight="1" x14ac:dyDescent="0.2">
      <c r="A75" s="6"/>
      <c r="B75" s="135">
        <f t="shared" si="29"/>
        <v>19</v>
      </c>
      <c r="C75" s="21">
        <f>'Kelas XII'!C70</f>
        <v>15911</v>
      </c>
      <c r="D75" s="159" t="str">
        <f>'Kelas XII'!D70</f>
        <v>MUHAMMAD AZKA AL-FIRDAUS</v>
      </c>
      <c r="E75" s="110"/>
      <c r="F75" s="120"/>
      <c r="G75" s="14"/>
      <c r="H75" s="142"/>
      <c r="I75" s="14"/>
      <c r="J75" s="142"/>
      <c r="K75" s="14"/>
      <c r="L75" s="142"/>
      <c r="M75" s="14"/>
      <c r="N75" s="142"/>
      <c r="O75" s="14"/>
      <c r="P75" s="142"/>
      <c r="Q75" s="14"/>
      <c r="R75" s="142"/>
      <c r="S75" s="14"/>
      <c r="T75" s="142"/>
      <c r="U75" s="14"/>
      <c r="V75" s="142"/>
      <c r="W75" s="14"/>
      <c r="X75" s="142"/>
      <c r="Y75" s="110"/>
      <c r="Z75" s="120"/>
      <c r="AA75" s="14"/>
      <c r="AB75" s="142"/>
      <c r="AC75" s="110"/>
      <c r="AD75" s="120"/>
      <c r="AE75" s="14"/>
      <c r="AF75" s="142"/>
      <c r="AG75" s="110"/>
      <c r="AH75" s="120"/>
      <c r="AI75" s="14"/>
      <c r="AJ75" s="15"/>
      <c r="AK75" s="107"/>
    </row>
    <row r="76" spans="1:37" ht="16.5" customHeight="1" x14ac:dyDescent="0.2">
      <c r="A76" s="6"/>
      <c r="B76" s="135">
        <f t="shared" si="29"/>
        <v>20</v>
      </c>
      <c r="C76" s="21">
        <f>'Kelas XII'!C71</f>
        <v>15845</v>
      </c>
      <c r="D76" s="159" t="str">
        <f>'Kelas XII'!D71</f>
        <v>M. FAIZ ALFIANZA</v>
      </c>
      <c r="E76" s="110"/>
      <c r="F76" s="120"/>
      <c r="G76" s="14"/>
      <c r="H76" s="142"/>
      <c r="I76" s="14"/>
      <c r="J76" s="142"/>
      <c r="K76" s="14"/>
      <c r="L76" s="142"/>
      <c r="M76" s="14"/>
      <c r="N76" s="142"/>
      <c r="O76" s="14"/>
      <c r="P76" s="142"/>
      <c r="Q76" s="14"/>
      <c r="R76" s="142"/>
      <c r="S76" s="14"/>
      <c r="T76" s="142"/>
      <c r="U76" s="14"/>
      <c r="V76" s="142"/>
      <c r="W76" s="14"/>
      <c r="X76" s="142"/>
      <c r="Y76" s="110"/>
      <c r="Z76" s="120"/>
      <c r="AA76" s="14"/>
      <c r="AB76" s="142"/>
      <c r="AC76" s="110"/>
      <c r="AD76" s="120"/>
      <c r="AE76" s="14"/>
      <c r="AF76" s="142"/>
      <c r="AG76" s="110"/>
      <c r="AH76" s="120"/>
      <c r="AI76" s="14"/>
      <c r="AJ76" s="15"/>
      <c r="AK76" s="107"/>
    </row>
    <row r="77" spans="1:37" ht="16.5" customHeight="1" x14ac:dyDescent="0.2">
      <c r="A77" s="6"/>
      <c r="B77" s="135">
        <f t="shared" si="29"/>
        <v>21</v>
      </c>
      <c r="C77" s="21">
        <f>'Kelas XII'!C72</f>
        <v>15949</v>
      </c>
      <c r="D77" s="159" t="str">
        <f>'Kelas XII'!D72</f>
        <v>M. YUSRON ALKHAMID</v>
      </c>
      <c r="E77" s="110"/>
      <c r="F77" s="120"/>
      <c r="G77" s="14"/>
      <c r="H77" s="142"/>
      <c r="I77" s="14"/>
      <c r="J77" s="142"/>
      <c r="K77" s="14"/>
      <c r="L77" s="142"/>
      <c r="M77" s="14"/>
      <c r="N77" s="142"/>
      <c r="O77" s="14"/>
      <c r="P77" s="142"/>
      <c r="Q77" s="14"/>
      <c r="R77" s="142"/>
      <c r="S77" s="14"/>
      <c r="T77" s="142"/>
      <c r="U77" s="14"/>
      <c r="V77" s="142"/>
      <c r="W77" s="14"/>
      <c r="X77" s="142"/>
      <c r="Y77" s="110"/>
      <c r="Z77" s="120"/>
      <c r="AA77" s="14"/>
      <c r="AB77" s="142"/>
      <c r="AC77" s="110"/>
      <c r="AD77" s="120"/>
      <c r="AE77" s="14"/>
      <c r="AF77" s="142"/>
      <c r="AG77" s="110"/>
      <c r="AH77" s="120"/>
      <c r="AI77" s="14"/>
      <c r="AJ77" s="15"/>
      <c r="AK77" s="107"/>
    </row>
    <row r="78" spans="1:37" ht="16.5" customHeight="1" x14ac:dyDescent="0.2">
      <c r="A78" s="6"/>
      <c r="B78" s="135">
        <f t="shared" si="29"/>
        <v>22</v>
      </c>
      <c r="C78" s="21">
        <f>'Kelas XII'!C73</f>
        <v>15880</v>
      </c>
      <c r="D78" s="159" t="str">
        <f>'Kelas XII'!D73</f>
        <v>MUHAMMAD ZAKIY ASH-SHABI</v>
      </c>
      <c r="E78" s="110"/>
      <c r="F78" s="120"/>
      <c r="G78" s="14"/>
      <c r="H78" s="142"/>
      <c r="I78" s="14"/>
      <c r="J78" s="142"/>
      <c r="K78" s="14"/>
      <c r="L78" s="142"/>
      <c r="M78" s="14"/>
      <c r="N78" s="142"/>
      <c r="O78" s="14"/>
      <c r="P78" s="142"/>
      <c r="Q78" s="14"/>
      <c r="R78" s="142"/>
      <c r="S78" s="14"/>
      <c r="T78" s="142"/>
      <c r="U78" s="14"/>
      <c r="V78" s="142"/>
      <c r="W78" s="14"/>
      <c r="X78" s="142"/>
      <c r="Y78" s="110"/>
      <c r="Z78" s="120"/>
      <c r="AA78" s="14"/>
      <c r="AB78" s="142"/>
      <c r="AC78" s="110"/>
      <c r="AD78" s="120"/>
      <c r="AE78" s="14"/>
      <c r="AF78" s="142"/>
      <c r="AG78" s="110"/>
      <c r="AH78" s="120"/>
      <c r="AI78" s="14"/>
      <c r="AJ78" s="15"/>
      <c r="AK78" s="107"/>
    </row>
    <row r="79" spans="1:37" ht="16.5" customHeight="1" x14ac:dyDescent="0.2">
      <c r="A79" s="6"/>
      <c r="B79" s="135">
        <f t="shared" si="29"/>
        <v>23</v>
      </c>
      <c r="C79" s="21">
        <f>'Kelas XII'!C74</f>
        <v>15951</v>
      </c>
      <c r="D79" s="159" t="str">
        <f>'Kelas XII'!D74</f>
        <v>MUHAMMAD ZIKRIYA RAMADHANDI</v>
      </c>
      <c r="E79" s="110"/>
      <c r="F79" s="120"/>
      <c r="G79" s="14"/>
      <c r="H79" s="142"/>
      <c r="I79" s="14"/>
      <c r="J79" s="142"/>
      <c r="K79" s="14"/>
      <c r="L79" s="142"/>
      <c r="M79" s="14"/>
      <c r="N79" s="142"/>
      <c r="O79" s="14"/>
      <c r="P79" s="142"/>
      <c r="Q79" s="14"/>
      <c r="R79" s="142"/>
      <c r="S79" s="14"/>
      <c r="T79" s="142"/>
      <c r="U79" s="14"/>
      <c r="V79" s="142"/>
      <c r="W79" s="14"/>
      <c r="X79" s="142"/>
      <c r="Y79" s="110"/>
      <c r="Z79" s="120"/>
      <c r="AA79" s="14"/>
      <c r="AB79" s="142"/>
      <c r="AC79" s="110"/>
      <c r="AD79" s="120"/>
      <c r="AE79" s="14"/>
      <c r="AF79" s="142"/>
      <c r="AG79" s="110"/>
      <c r="AH79" s="120"/>
      <c r="AI79" s="14"/>
      <c r="AJ79" s="15"/>
      <c r="AK79" s="107"/>
    </row>
    <row r="80" spans="1:37" ht="16.5" customHeight="1" x14ac:dyDescent="0.2">
      <c r="A80" s="6"/>
      <c r="B80" s="135">
        <f t="shared" si="29"/>
        <v>24</v>
      </c>
      <c r="C80" s="21">
        <f>'Kelas XII'!C75</f>
        <v>15952</v>
      </c>
      <c r="D80" s="159" t="str">
        <f>'Kelas XII'!D75</f>
        <v>MUMTAZ IRFAN YUSRO</v>
      </c>
      <c r="E80" s="110"/>
      <c r="F80" s="120"/>
      <c r="G80" s="14"/>
      <c r="H80" s="142"/>
      <c r="I80" s="14"/>
      <c r="J80" s="142"/>
      <c r="K80" s="14"/>
      <c r="L80" s="142"/>
      <c r="M80" s="14"/>
      <c r="N80" s="142"/>
      <c r="O80" s="14"/>
      <c r="P80" s="142"/>
      <c r="Q80" s="14"/>
      <c r="R80" s="142"/>
      <c r="S80" s="14"/>
      <c r="T80" s="142"/>
      <c r="U80" s="14"/>
      <c r="V80" s="142"/>
      <c r="W80" s="14"/>
      <c r="X80" s="142"/>
      <c r="Y80" s="110"/>
      <c r="Z80" s="120"/>
      <c r="AA80" s="14"/>
      <c r="AB80" s="142"/>
      <c r="AC80" s="110"/>
      <c r="AD80" s="120"/>
      <c r="AE80" s="14"/>
      <c r="AF80" s="142"/>
      <c r="AG80" s="110"/>
      <c r="AH80" s="120"/>
      <c r="AI80" s="14"/>
      <c r="AJ80" s="15"/>
      <c r="AK80" s="107"/>
    </row>
    <row r="81" spans="1:37" ht="16.5" customHeight="1" x14ac:dyDescent="0.2">
      <c r="A81" s="6"/>
      <c r="B81" s="135">
        <f t="shared" si="29"/>
        <v>25</v>
      </c>
      <c r="C81" s="21">
        <f>'Kelas XII'!C76</f>
        <v>15849</v>
      </c>
      <c r="D81" s="159" t="str">
        <f>'Kelas XII'!D76</f>
        <v>OBED NABIL ROBBANI MAWARDI</v>
      </c>
      <c r="E81" s="110"/>
      <c r="F81" s="120"/>
      <c r="G81" s="14"/>
      <c r="H81" s="142"/>
      <c r="I81" s="14"/>
      <c r="J81" s="142"/>
      <c r="K81" s="14"/>
      <c r="L81" s="142"/>
      <c r="M81" s="14"/>
      <c r="N81" s="142"/>
      <c r="O81" s="14"/>
      <c r="P81" s="142"/>
      <c r="Q81" s="14"/>
      <c r="R81" s="142"/>
      <c r="S81" s="14"/>
      <c r="T81" s="142"/>
      <c r="U81" s="14"/>
      <c r="V81" s="142"/>
      <c r="W81" s="14"/>
      <c r="X81" s="142"/>
      <c r="Y81" s="110"/>
      <c r="Z81" s="120"/>
      <c r="AA81" s="14"/>
      <c r="AB81" s="142"/>
      <c r="AC81" s="110"/>
      <c r="AD81" s="120"/>
      <c r="AE81" s="14"/>
      <c r="AF81" s="142"/>
      <c r="AG81" s="110"/>
      <c r="AH81" s="120"/>
      <c r="AI81" s="14"/>
      <c r="AJ81" s="15"/>
      <c r="AK81" s="107"/>
    </row>
    <row r="82" spans="1:37" ht="16.5" customHeight="1" x14ac:dyDescent="0.2">
      <c r="A82" s="6"/>
      <c r="B82" s="135">
        <f t="shared" si="29"/>
        <v>26</v>
      </c>
      <c r="C82" s="21">
        <f>'Kelas XII'!C77</f>
        <v>15883</v>
      </c>
      <c r="D82" s="159" t="str">
        <f>'Kelas XII'!D77</f>
        <v>RAFAEL ALLANA MUHAMMAD ALFARETA</v>
      </c>
      <c r="E82" s="110"/>
      <c r="F82" s="120"/>
      <c r="G82" s="14"/>
      <c r="H82" s="142"/>
      <c r="I82" s="14"/>
      <c r="J82" s="142"/>
      <c r="K82" s="14"/>
      <c r="L82" s="142"/>
      <c r="M82" s="14"/>
      <c r="N82" s="142"/>
      <c r="O82" s="14"/>
      <c r="P82" s="142"/>
      <c r="Q82" s="14"/>
      <c r="R82" s="142"/>
      <c r="S82" s="14"/>
      <c r="T82" s="142"/>
      <c r="U82" s="14"/>
      <c r="V82" s="142"/>
      <c r="W82" s="14"/>
      <c r="X82" s="142"/>
      <c r="Y82" s="110"/>
      <c r="Z82" s="120"/>
      <c r="AA82" s="14"/>
      <c r="AB82" s="142"/>
      <c r="AC82" s="110"/>
      <c r="AD82" s="120"/>
      <c r="AE82" s="14"/>
      <c r="AF82" s="142"/>
      <c r="AG82" s="110"/>
      <c r="AH82" s="120"/>
      <c r="AI82" s="14"/>
      <c r="AJ82" s="15"/>
      <c r="AK82" s="107"/>
    </row>
    <row r="83" spans="1:37" ht="16.5" customHeight="1" x14ac:dyDescent="0.2">
      <c r="A83" s="6"/>
      <c r="B83" s="135">
        <f t="shared" si="29"/>
        <v>27</v>
      </c>
      <c r="C83" s="21">
        <f>'Kelas XII'!C78</f>
        <v>15850</v>
      </c>
      <c r="D83" s="159" t="str">
        <f>'Kelas XII'!D78</f>
        <v>RAFLI PANJI SETYANTO</v>
      </c>
      <c r="E83" s="110"/>
      <c r="F83" s="120"/>
      <c r="G83" s="14"/>
      <c r="H83" s="142"/>
      <c r="I83" s="14"/>
      <c r="J83" s="142"/>
      <c r="K83" s="14"/>
      <c r="L83" s="142"/>
      <c r="M83" s="14"/>
      <c r="N83" s="142"/>
      <c r="O83" s="14"/>
      <c r="P83" s="142"/>
      <c r="Q83" s="14"/>
      <c r="R83" s="142"/>
      <c r="S83" s="14"/>
      <c r="T83" s="142"/>
      <c r="U83" s="14"/>
      <c r="V83" s="142"/>
      <c r="W83" s="14"/>
      <c r="X83" s="142"/>
      <c r="Y83" s="110"/>
      <c r="Z83" s="120"/>
      <c r="AA83" s="14"/>
      <c r="AB83" s="142"/>
      <c r="AC83" s="110"/>
      <c r="AD83" s="120"/>
      <c r="AE83" s="14"/>
      <c r="AF83" s="142"/>
      <c r="AG83" s="110"/>
      <c r="AH83" s="120"/>
      <c r="AI83" s="14"/>
      <c r="AJ83" s="15"/>
      <c r="AK83" s="107"/>
    </row>
    <row r="84" spans="1:37" ht="16.5" customHeight="1" x14ac:dyDescent="0.2">
      <c r="A84" s="6"/>
      <c r="B84" s="135">
        <f t="shared" si="29"/>
        <v>28</v>
      </c>
      <c r="C84" s="21">
        <f>'Kelas XII'!C79</f>
        <v>15924</v>
      </c>
      <c r="D84" s="159" t="str">
        <f>'Kelas XII'!D79</f>
        <v>RESYA MAULANA ATHO'ILLAH</v>
      </c>
      <c r="E84" s="110"/>
      <c r="F84" s="120"/>
      <c r="G84" s="14"/>
      <c r="H84" s="142"/>
      <c r="I84" s="14"/>
      <c r="J84" s="142"/>
      <c r="K84" s="14"/>
      <c r="L84" s="142"/>
      <c r="M84" s="14"/>
      <c r="N84" s="142"/>
      <c r="O84" s="14"/>
      <c r="P84" s="142"/>
      <c r="Q84" s="14"/>
      <c r="R84" s="142"/>
      <c r="S84" s="14"/>
      <c r="T84" s="142"/>
      <c r="U84" s="14"/>
      <c r="V84" s="142"/>
      <c r="W84" s="14"/>
      <c r="X84" s="142"/>
      <c r="Y84" s="110"/>
      <c r="Z84" s="120"/>
      <c r="AA84" s="14"/>
      <c r="AB84" s="142"/>
      <c r="AC84" s="110"/>
      <c r="AD84" s="120"/>
      <c r="AE84" s="14"/>
      <c r="AF84" s="142"/>
      <c r="AG84" s="110"/>
      <c r="AH84" s="120"/>
      <c r="AI84" s="14"/>
      <c r="AJ84" s="15"/>
      <c r="AK84" s="107"/>
    </row>
    <row r="85" spans="1:37" ht="16.5" customHeight="1" x14ac:dyDescent="0.2">
      <c r="A85" s="6"/>
      <c r="B85" s="135">
        <f t="shared" si="29"/>
        <v>29</v>
      </c>
      <c r="C85" s="21">
        <f>'Kelas XII'!C80</f>
        <v>15925</v>
      </c>
      <c r="D85" s="159" t="str">
        <f>'Kelas XII'!D80</f>
        <v>VALENTINO DANIEL SETYAWAN</v>
      </c>
      <c r="E85" s="110"/>
      <c r="F85" s="120"/>
      <c r="G85" s="14"/>
      <c r="H85" s="142"/>
      <c r="I85" s="14"/>
      <c r="J85" s="142"/>
      <c r="K85" s="14"/>
      <c r="L85" s="142"/>
      <c r="M85" s="14"/>
      <c r="N85" s="142"/>
      <c r="O85" s="14"/>
      <c r="P85" s="142"/>
      <c r="Q85" s="14"/>
      <c r="R85" s="142"/>
      <c r="S85" s="14"/>
      <c r="T85" s="142"/>
      <c r="U85" s="14"/>
      <c r="V85" s="142"/>
      <c r="W85" s="14"/>
      <c r="X85" s="142"/>
      <c r="Y85" s="110"/>
      <c r="Z85" s="120"/>
      <c r="AA85" s="14"/>
      <c r="AB85" s="142"/>
      <c r="AC85" s="110"/>
      <c r="AD85" s="120"/>
      <c r="AE85" s="14"/>
      <c r="AF85" s="142"/>
      <c r="AG85" s="110"/>
      <c r="AH85" s="120"/>
      <c r="AI85" s="14"/>
      <c r="AJ85" s="15"/>
      <c r="AK85" s="107"/>
    </row>
    <row r="86" spans="1:37" ht="16.5" customHeight="1" x14ac:dyDescent="0.2">
      <c r="A86" s="6"/>
      <c r="B86" s="135">
        <f t="shared" si="29"/>
        <v>30</v>
      </c>
      <c r="C86" s="21">
        <f>'Kelas XII'!C81</f>
        <v>15889</v>
      </c>
      <c r="D86" s="159" t="str">
        <f>'Kelas XII'!D81</f>
        <v>ZHAHER HISMAYA</v>
      </c>
      <c r="E86" s="110"/>
      <c r="F86" s="120"/>
      <c r="G86" s="14"/>
      <c r="H86" s="142"/>
      <c r="I86" s="14"/>
      <c r="J86" s="142"/>
      <c r="K86" s="14"/>
      <c r="L86" s="142"/>
      <c r="M86" s="14"/>
      <c r="N86" s="142"/>
      <c r="O86" s="14"/>
      <c r="P86" s="142"/>
      <c r="Q86" s="14"/>
      <c r="R86" s="142"/>
      <c r="S86" s="14"/>
      <c r="T86" s="142"/>
      <c r="U86" s="14"/>
      <c r="V86" s="142"/>
      <c r="W86" s="14"/>
      <c r="X86" s="142"/>
      <c r="Y86" s="110"/>
      <c r="Z86" s="120"/>
      <c r="AA86" s="14"/>
      <c r="AB86" s="142"/>
      <c r="AC86" s="110"/>
      <c r="AD86" s="120"/>
      <c r="AE86" s="14"/>
      <c r="AF86" s="142"/>
      <c r="AG86" s="110"/>
      <c r="AH86" s="120"/>
      <c r="AI86" s="14"/>
      <c r="AJ86" s="15"/>
      <c r="AK86" s="107"/>
    </row>
    <row r="87" spans="1:37" ht="16.5" customHeight="1" x14ac:dyDescent="0.2">
      <c r="A87" s="6"/>
      <c r="B87" s="135">
        <f t="shared" si="29"/>
        <v>31</v>
      </c>
      <c r="C87" s="21">
        <f>'Kelas XII'!C82</f>
        <v>0</v>
      </c>
      <c r="D87" s="159">
        <f>'Kelas XII'!D82</f>
        <v>0</v>
      </c>
      <c r="E87" s="110"/>
      <c r="F87" s="120"/>
      <c r="G87" s="14"/>
      <c r="H87" s="142"/>
      <c r="I87" s="14"/>
      <c r="J87" s="142"/>
      <c r="K87" s="14"/>
      <c r="L87" s="142"/>
      <c r="M87" s="14"/>
      <c r="N87" s="142"/>
      <c r="O87" s="14"/>
      <c r="P87" s="142"/>
      <c r="Q87" s="14"/>
      <c r="R87" s="142"/>
      <c r="S87" s="14"/>
      <c r="T87" s="142"/>
      <c r="U87" s="14"/>
      <c r="V87" s="142"/>
      <c r="W87" s="14"/>
      <c r="X87" s="142"/>
      <c r="Y87" s="110"/>
      <c r="Z87" s="120"/>
      <c r="AA87" s="14"/>
      <c r="AB87" s="142"/>
      <c r="AC87" s="110"/>
      <c r="AD87" s="120"/>
      <c r="AE87" s="14"/>
      <c r="AF87" s="142"/>
      <c r="AG87" s="110"/>
      <c r="AH87" s="120"/>
      <c r="AI87" s="14"/>
      <c r="AJ87" s="15"/>
      <c r="AK87" s="107"/>
    </row>
    <row r="88" spans="1:37" ht="16.5" customHeight="1" x14ac:dyDescent="0.2">
      <c r="A88" s="6"/>
      <c r="B88" s="135">
        <f t="shared" si="29"/>
        <v>32</v>
      </c>
      <c r="C88" s="21">
        <f>'Kelas XII'!C83</f>
        <v>0</v>
      </c>
      <c r="D88" s="159">
        <f>'Kelas XII'!D83</f>
        <v>0</v>
      </c>
      <c r="E88" s="110"/>
      <c r="F88" s="120"/>
      <c r="G88" s="14"/>
      <c r="H88" s="142"/>
      <c r="I88" s="14"/>
      <c r="J88" s="142"/>
      <c r="K88" s="14"/>
      <c r="L88" s="142"/>
      <c r="M88" s="14"/>
      <c r="N88" s="142"/>
      <c r="O88" s="14"/>
      <c r="P88" s="142"/>
      <c r="Q88" s="14"/>
      <c r="R88" s="142"/>
      <c r="S88" s="14"/>
      <c r="T88" s="142"/>
      <c r="U88" s="14"/>
      <c r="V88" s="142"/>
      <c r="W88" s="14"/>
      <c r="X88" s="142"/>
      <c r="Y88" s="110"/>
      <c r="Z88" s="120"/>
      <c r="AA88" s="14"/>
      <c r="AB88" s="142"/>
      <c r="AC88" s="110"/>
      <c r="AD88" s="120"/>
      <c r="AE88" s="14"/>
      <c r="AF88" s="142"/>
      <c r="AG88" s="110"/>
      <c r="AH88" s="120"/>
      <c r="AI88" s="14"/>
      <c r="AJ88" s="15"/>
      <c r="AK88" s="107"/>
    </row>
    <row r="89" spans="1:37" ht="16.5" customHeight="1" x14ac:dyDescent="0.2">
      <c r="A89" s="6"/>
      <c r="B89" s="135">
        <f t="shared" si="29"/>
        <v>33</v>
      </c>
      <c r="C89" s="21">
        <f>'Kelas XII'!C84</f>
        <v>0</v>
      </c>
      <c r="D89" s="159">
        <f>'Kelas XII'!D84</f>
        <v>0</v>
      </c>
      <c r="E89" s="110"/>
      <c r="F89" s="120"/>
      <c r="G89" s="14"/>
      <c r="H89" s="142"/>
      <c r="I89" s="14"/>
      <c r="J89" s="142"/>
      <c r="K89" s="14"/>
      <c r="L89" s="142"/>
      <c r="M89" s="14"/>
      <c r="N89" s="142"/>
      <c r="O89" s="14"/>
      <c r="P89" s="142"/>
      <c r="Q89" s="14"/>
      <c r="R89" s="142"/>
      <c r="S89" s="14"/>
      <c r="T89" s="142"/>
      <c r="U89" s="14"/>
      <c r="V89" s="142"/>
      <c r="W89" s="14"/>
      <c r="X89" s="142"/>
      <c r="Y89" s="110"/>
      <c r="Z89" s="120"/>
      <c r="AA89" s="14"/>
      <c r="AB89" s="142"/>
      <c r="AC89" s="110"/>
      <c r="AD89" s="120"/>
      <c r="AE89" s="14"/>
      <c r="AF89" s="142"/>
      <c r="AG89" s="110"/>
      <c r="AH89" s="120"/>
      <c r="AI89" s="14"/>
      <c r="AJ89" s="15"/>
      <c r="AK89" s="107"/>
    </row>
    <row r="90" spans="1:37" ht="16.5" customHeight="1" x14ac:dyDescent="0.2">
      <c r="A90" s="6"/>
      <c r="B90" s="135">
        <f t="shared" si="29"/>
        <v>34</v>
      </c>
      <c r="C90" s="21">
        <f>'Kelas XII'!C85</f>
        <v>0</v>
      </c>
      <c r="D90" s="159">
        <f>'Kelas XII'!D85</f>
        <v>0</v>
      </c>
      <c r="E90" s="110"/>
      <c r="F90" s="120"/>
      <c r="G90" s="14"/>
      <c r="H90" s="142"/>
      <c r="I90" s="14"/>
      <c r="J90" s="142"/>
      <c r="K90" s="14"/>
      <c r="L90" s="142"/>
      <c r="M90" s="14"/>
      <c r="N90" s="142"/>
      <c r="O90" s="14"/>
      <c r="P90" s="142"/>
      <c r="Q90" s="14"/>
      <c r="R90" s="142"/>
      <c r="S90" s="14"/>
      <c r="T90" s="142"/>
      <c r="U90" s="14"/>
      <c r="V90" s="142"/>
      <c r="W90" s="14"/>
      <c r="X90" s="142"/>
      <c r="Y90" s="110"/>
      <c r="Z90" s="120"/>
      <c r="AA90" s="14"/>
      <c r="AB90" s="142"/>
      <c r="AC90" s="110"/>
      <c r="AD90" s="120"/>
      <c r="AE90" s="14"/>
      <c r="AF90" s="142"/>
      <c r="AG90" s="110"/>
      <c r="AH90" s="120"/>
      <c r="AI90" s="14"/>
      <c r="AJ90" s="15"/>
      <c r="AK90" s="107"/>
    </row>
    <row r="91" spans="1:37" ht="16.5" customHeight="1" x14ac:dyDescent="0.2">
      <c r="A91" s="6"/>
      <c r="B91" s="135">
        <f t="shared" si="29"/>
        <v>35</v>
      </c>
      <c r="C91" s="21">
        <f>'Kelas XII'!C86</f>
        <v>0</v>
      </c>
      <c r="D91" s="159">
        <f>'Kelas XII'!D86</f>
        <v>0</v>
      </c>
      <c r="E91" s="110"/>
      <c r="F91" s="120"/>
      <c r="G91" s="14"/>
      <c r="H91" s="142"/>
      <c r="I91" s="14"/>
      <c r="J91" s="142"/>
      <c r="K91" s="14"/>
      <c r="L91" s="142"/>
      <c r="M91" s="14"/>
      <c r="N91" s="142"/>
      <c r="O91" s="14"/>
      <c r="P91" s="142"/>
      <c r="Q91" s="14"/>
      <c r="R91" s="142"/>
      <c r="S91" s="14"/>
      <c r="T91" s="142"/>
      <c r="U91" s="14"/>
      <c r="V91" s="142"/>
      <c r="W91" s="14"/>
      <c r="X91" s="142"/>
      <c r="Y91" s="110"/>
      <c r="Z91" s="120"/>
      <c r="AA91" s="14"/>
      <c r="AB91" s="142"/>
      <c r="AC91" s="110"/>
      <c r="AD91" s="120"/>
      <c r="AE91" s="14"/>
      <c r="AF91" s="142"/>
      <c r="AG91" s="110"/>
      <c r="AH91" s="120"/>
      <c r="AI91" s="14"/>
      <c r="AJ91" s="15"/>
      <c r="AK91" s="107"/>
    </row>
    <row r="92" spans="1:37" ht="16.5" customHeight="1" x14ac:dyDescent="0.2">
      <c r="A92" s="6"/>
      <c r="B92" s="135">
        <f t="shared" si="29"/>
        <v>36</v>
      </c>
      <c r="C92" s="21">
        <f>'Kelas XII'!C87</f>
        <v>0</v>
      </c>
      <c r="D92" s="159">
        <f>'Kelas XII'!D87</f>
        <v>0</v>
      </c>
      <c r="E92" s="110"/>
      <c r="F92" s="120"/>
      <c r="G92" s="14"/>
      <c r="H92" s="142"/>
      <c r="I92" s="14"/>
      <c r="J92" s="142"/>
      <c r="K92" s="14"/>
      <c r="L92" s="142"/>
      <c r="M92" s="14"/>
      <c r="N92" s="142"/>
      <c r="O92" s="14"/>
      <c r="P92" s="142"/>
      <c r="Q92" s="14"/>
      <c r="R92" s="142"/>
      <c r="S92" s="14"/>
      <c r="T92" s="142"/>
      <c r="U92" s="14"/>
      <c r="V92" s="142"/>
      <c r="W92" s="14"/>
      <c r="X92" s="142"/>
      <c r="Y92" s="110"/>
      <c r="Z92" s="120"/>
      <c r="AA92" s="14"/>
      <c r="AB92" s="142"/>
      <c r="AC92" s="110"/>
      <c r="AD92" s="120"/>
      <c r="AE92" s="14"/>
      <c r="AF92" s="142"/>
      <c r="AG92" s="110"/>
      <c r="AH92" s="120"/>
      <c r="AI92" s="14"/>
      <c r="AJ92" s="15"/>
      <c r="AK92" s="107"/>
    </row>
    <row r="93" spans="1:37" ht="16.5" customHeight="1" thickBot="1" x14ac:dyDescent="0.25">
      <c r="A93" s="6"/>
      <c r="B93" s="143">
        <f t="shared" si="29"/>
        <v>37</v>
      </c>
      <c r="C93" s="143">
        <f>'Kelas XII'!C88</f>
        <v>0</v>
      </c>
      <c r="D93" s="198">
        <f>'Kelas XII'!D88</f>
        <v>0</v>
      </c>
      <c r="E93" s="112"/>
      <c r="F93" s="122"/>
      <c r="G93" s="18"/>
      <c r="H93" s="146"/>
      <c r="I93" s="18"/>
      <c r="J93" s="146"/>
      <c r="K93" s="18"/>
      <c r="L93" s="146"/>
      <c r="M93" s="18"/>
      <c r="N93" s="146"/>
      <c r="O93" s="18"/>
      <c r="P93" s="146"/>
      <c r="Q93" s="18"/>
      <c r="R93" s="146"/>
      <c r="S93" s="18"/>
      <c r="T93" s="146"/>
      <c r="U93" s="18"/>
      <c r="V93" s="146"/>
      <c r="W93" s="18"/>
      <c r="X93" s="146"/>
      <c r="Y93" s="112"/>
      <c r="Z93" s="122"/>
      <c r="AA93" s="18"/>
      <c r="AB93" s="146"/>
      <c r="AC93" s="112"/>
      <c r="AD93" s="122"/>
      <c r="AE93" s="18"/>
      <c r="AF93" s="146"/>
      <c r="AG93" s="112"/>
      <c r="AH93" s="122"/>
      <c r="AI93" s="18"/>
      <c r="AJ93" s="146"/>
      <c r="AK93" s="107"/>
    </row>
    <row r="94" spans="1:37" ht="16.5" customHeight="1" x14ac:dyDescent="0.2">
      <c r="A94" s="6"/>
      <c r="B94" s="8"/>
      <c r="C94" s="20"/>
      <c r="D94" s="23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149"/>
      <c r="AK94" s="6"/>
    </row>
    <row r="95" spans="1:37" ht="16.5" customHeight="1" thickBo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150"/>
      <c r="AK95" s="6"/>
    </row>
    <row r="96" spans="1:37" ht="16.5" customHeight="1" x14ac:dyDescent="0.2">
      <c r="A96" s="6"/>
      <c r="B96" s="279"/>
      <c r="C96" s="280"/>
      <c r="D96" s="283" t="s">
        <v>3</v>
      </c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84"/>
      <c r="AB96" s="284"/>
      <c r="AC96" s="284"/>
      <c r="AD96" s="284"/>
      <c r="AE96" s="284"/>
      <c r="AF96" s="284"/>
      <c r="AG96" s="284"/>
      <c r="AH96" s="284"/>
      <c r="AI96" s="284"/>
      <c r="AJ96" s="285"/>
      <c r="AK96" s="107"/>
    </row>
    <row r="97" spans="1:37" ht="16.5" customHeight="1" x14ac:dyDescent="0.2">
      <c r="A97" s="6"/>
      <c r="B97" s="281"/>
      <c r="C97" s="282"/>
      <c r="D97" s="286" t="s">
        <v>4</v>
      </c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287"/>
      <c r="P97" s="287"/>
      <c r="Q97" s="287"/>
      <c r="R97" s="287"/>
      <c r="S97" s="287"/>
      <c r="T97" s="287"/>
      <c r="U97" s="287"/>
      <c r="V97" s="287"/>
      <c r="W97" s="287"/>
      <c r="X97" s="287"/>
      <c r="Y97" s="287"/>
      <c r="Z97" s="287"/>
      <c r="AA97" s="287"/>
      <c r="AB97" s="287"/>
      <c r="AC97" s="287"/>
      <c r="AD97" s="287"/>
      <c r="AE97" s="287"/>
      <c r="AF97" s="287"/>
      <c r="AG97" s="287"/>
      <c r="AH97" s="287"/>
      <c r="AI97" s="287"/>
      <c r="AJ97" s="288"/>
      <c r="AK97" s="107"/>
    </row>
    <row r="98" spans="1:37" ht="16.5" customHeight="1" x14ac:dyDescent="0.2">
      <c r="A98" s="6"/>
      <c r="B98" s="281"/>
      <c r="C98" s="282"/>
      <c r="D98" s="286" t="s">
        <v>547</v>
      </c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287"/>
      <c r="AG98" s="287"/>
      <c r="AH98" s="287"/>
      <c r="AI98" s="287"/>
      <c r="AJ98" s="288"/>
      <c r="AK98" s="107"/>
    </row>
    <row r="99" spans="1:37" ht="16.5" customHeight="1" thickBot="1" x14ac:dyDescent="0.25">
      <c r="A99" s="6"/>
      <c r="B99" s="281"/>
      <c r="C99" s="282"/>
      <c r="D99" s="289"/>
      <c r="E99" s="290"/>
      <c r="F99" s="290"/>
      <c r="G99" s="290"/>
      <c r="H99" s="290"/>
      <c r="I99" s="290"/>
      <c r="J99" s="290"/>
      <c r="K99" s="290"/>
      <c r="L99" s="290"/>
      <c r="M99" s="290"/>
      <c r="N99" s="290"/>
      <c r="O99" s="290"/>
      <c r="P99" s="290"/>
      <c r="Q99" s="290"/>
      <c r="R99" s="290"/>
      <c r="S99" s="290"/>
      <c r="T99" s="290"/>
      <c r="U99" s="290"/>
      <c r="V99" s="290"/>
      <c r="W99" s="290"/>
      <c r="X99" s="290"/>
      <c r="Y99" s="290"/>
      <c r="Z99" s="290"/>
      <c r="AA99" s="290"/>
      <c r="AB99" s="290"/>
      <c r="AC99" s="290"/>
      <c r="AD99" s="290"/>
      <c r="AE99" s="290"/>
      <c r="AF99" s="290"/>
      <c r="AG99" s="290"/>
      <c r="AH99" s="290"/>
      <c r="AI99" s="290"/>
      <c r="AJ99" s="291"/>
      <c r="AK99" s="107"/>
    </row>
    <row r="100" spans="1:37" ht="16.5" customHeight="1" thickBot="1" x14ac:dyDescent="0.25">
      <c r="A100" s="6"/>
      <c r="B100" s="292"/>
      <c r="C100" s="293"/>
      <c r="D100" s="9" t="s">
        <v>251</v>
      </c>
      <c r="E100" s="10" t="s">
        <v>11</v>
      </c>
      <c r="F100" s="10"/>
      <c r="G100" s="10"/>
      <c r="H100" s="10"/>
      <c r="I100" s="10"/>
      <c r="J100" s="149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 t="s">
        <v>5</v>
      </c>
      <c r="AB100" s="10"/>
      <c r="AC100" s="10" t="s">
        <v>521</v>
      </c>
      <c r="AD100" s="10"/>
      <c r="AE100" s="10"/>
      <c r="AF100" s="10"/>
      <c r="AG100" s="10"/>
      <c r="AH100" s="10"/>
      <c r="AI100" s="10"/>
      <c r="AJ100" s="158"/>
      <c r="AK100" s="107"/>
    </row>
    <row r="101" spans="1:37" ht="16.5" customHeight="1" thickBot="1" x14ac:dyDescent="0.25">
      <c r="A101" s="6"/>
      <c r="B101" s="294" t="s">
        <v>6</v>
      </c>
      <c r="C101" s="294"/>
      <c r="D101" s="295" t="s">
        <v>7</v>
      </c>
      <c r="E101" s="292"/>
      <c r="F101" s="298"/>
      <c r="G101" s="298"/>
      <c r="H101" s="298"/>
      <c r="I101" s="298"/>
      <c r="J101" s="298"/>
      <c r="K101" s="298"/>
      <c r="L101" s="298"/>
      <c r="M101" s="298"/>
      <c r="N101" s="298"/>
      <c r="O101" s="298"/>
      <c r="P101" s="298"/>
      <c r="Q101" s="298"/>
      <c r="R101" s="298"/>
      <c r="S101" s="298"/>
      <c r="T101" s="298"/>
      <c r="U101" s="298"/>
      <c r="V101" s="298"/>
      <c r="W101" s="298"/>
      <c r="X101" s="298"/>
      <c r="Y101" s="298"/>
      <c r="Z101" s="298"/>
      <c r="AA101" s="298"/>
      <c r="AB101" s="298"/>
      <c r="AC101" s="298"/>
      <c r="AD101" s="298"/>
      <c r="AE101" s="298"/>
      <c r="AF101" s="298"/>
      <c r="AG101" s="298"/>
      <c r="AH101" s="298"/>
      <c r="AI101" s="298"/>
      <c r="AJ101" s="293"/>
      <c r="AK101" s="107"/>
    </row>
    <row r="102" spans="1:37" ht="16.5" customHeight="1" thickBot="1" x14ac:dyDescent="0.25">
      <c r="A102" s="6"/>
      <c r="B102" s="295" t="s">
        <v>8</v>
      </c>
      <c r="C102" s="295" t="s">
        <v>9</v>
      </c>
      <c r="D102" s="296"/>
      <c r="E102" s="292">
        <v>17</v>
      </c>
      <c r="F102" s="298"/>
      <c r="G102" s="292">
        <f>E102+1</f>
        <v>18</v>
      </c>
      <c r="H102" s="298"/>
      <c r="I102" s="292">
        <f t="shared" ref="I102" si="30">G102+1</f>
        <v>19</v>
      </c>
      <c r="J102" s="298"/>
      <c r="K102" s="292">
        <f t="shared" ref="K102" si="31">I102+1</f>
        <v>20</v>
      </c>
      <c r="L102" s="298"/>
      <c r="M102" s="292">
        <f t="shared" ref="M102" si="32">K102+1</f>
        <v>21</v>
      </c>
      <c r="N102" s="298"/>
      <c r="O102" s="292">
        <f t="shared" ref="O102" si="33">M102+1</f>
        <v>22</v>
      </c>
      <c r="P102" s="298"/>
      <c r="Q102" s="292">
        <f t="shared" ref="Q102" si="34">O102+1</f>
        <v>23</v>
      </c>
      <c r="R102" s="298"/>
      <c r="S102" s="292">
        <f t="shared" ref="S102" si="35">Q102+1</f>
        <v>24</v>
      </c>
      <c r="T102" s="298"/>
      <c r="U102" s="292">
        <f t="shared" ref="U102" si="36">S102+1</f>
        <v>25</v>
      </c>
      <c r="V102" s="298"/>
      <c r="W102" s="292">
        <f t="shared" ref="W102" si="37">U102+1</f>
        <v>26</v>
      </c>
      <c r="X102" s="298"/>
      <c r="Y102" s="292">
        <f t="shared" ref="Y102" si="38">W102+1</f>
        <v>27</v>
      </c>
      <c r="Z102" s="298"/>
      <c r="AA102" s="292">
        <f t="shared" ref="AA102" si="39">Y102+1</f>
        <v>28</v>
      </c>
      <c r="AB102" s="298"/>
      <c r="AC102" s="292">
        <f t="shared" ref="AC102" si="40">AA102+1</f>
        <v>29</v>
      </c>
      <c r="AD102" s="298"/>
      <c r="AE102" s="292">
        <f t="shared" ref="AE102" si="41">AC102+1</f>
        <v>30</v>
      </c>
      <c r="AF102" s="298"/>
      <c r="AG102" s="292">
        <f t="shared" ref="AG102" si="42">AE102+1</f>
        <v>31</v>
      </c>
      <c r="AH102" s="298"/>
      <c r="AI102" s="292">
        <f t="shared" ref="AI102" si="43">AG102+1</f>
        <v>32</v>
      </c>
      <c r="AJ102" s="298"/>
      <c r="AK102" s="107"/>
    </row>
    <row r="103" spans="1:37" ht="23.25" customHeight="1" thickBot="1" x14ac:dyDescent="0.25">
      <c r="A103" s="6"/>
      <c r="B103" s="297"/>
      <c r="C103" s="297"/>
      <c r="D103" s="297"/>
      <c r="E103" s="108" t="s">
        <v>13</v>
      </c>
      <c r="F103" s="108" t="s">
        <v>14</v>
      </c>
      <c r="G103" s="108" t="s">
        <v>13</v>
      </c>
      <c r="H103" s="108" t="s">
        <v>14</v>
      </c>
      <c r="I103" s="108" t="s">
        <v>13</v>
      </c>
      <c r="J103" s="108" t="s">
        <v>14</v>
      </c>
      <c r="K103" s="108" t="s">
        <v>13</v>
      </c>
      <c r="L103" s="108" t="s">
        <v>14</v>
      </c>
      <c r="M103" s="108" t="s">
        <v>13</v>
      </c>
      <c r="N103" s="108" t="s">
        <v>14</v>
      </c>
      <c r="O103" s="108" t="s">
        <v>13</v>
      </c>
      <c r="P103" s="108" t="s">
        <v>14</v>
      </c>
      <c r="Q103" s="108" t="s">
        <v>13</v>
      </c>
      <c r="R103" s="108" t="s">
        <v>14</v>
      </c>
      <c r="S103" s="108" t="s">
        <v>13</v>
      </c>
      <c r="T103" s="108" t="s">
        <v>14</v>
      </c>
      <c r="U103" s="108" t="s">
        <v>13</v>
      </c>
      <c r="V103" s="108" t="s">
        <v>14</v>
      </c>
      <c r="W103" s="108" t="s">
        <v>13</v>
      </c>
      <c r="X103" s="108" t="s">
        <v>14</v>
      </c>
      <c r="Y103" s="108" t="s">
        <v>13</v>
      </c>
      <c r="Z103" s="108" t="s">
        <v>14</v>
      </c>
      <c r="AA103" s="108" t="s">
        <v>13</v>
      </c>
      <c r="AB103" s="108" t="s">
        <v>14</v>
      </c>
      <c r="AC103" s="108" t="s">
        <v>13</v>
      </c>
      <c r="AD103" s="108" t="s">
        <v>14</v>
      </c>
      <c r="AE103" s="108" t="s">
        <v>13</v>
      </c>
      <c r="AF103" s="108" t="s">
        <v>14</v>
      </c>
      <c r="AG103" s="108" t="s">
        <v>13</v>
      </c>
      <c r="AH103" s="108" t="s">
        <v>14</v>
      </c>
      <c r="AI103" s="108" t="s">
        <v>13</v>
      </c>
      <c r="AJ103" s="108" t="s">
        <v>14</v>
      </c>
      <c r="AK103" s="107"/>
    </row>
    <row r="104" spans="1:37" ht="16.5" customHeight="1" x14ac:dyDescent="0.2">
      <c r="A104" s="6"/>
      <c r="B104" s="21">
        <v>1</v>
      </c>
      <c r="C104" s="21">
        <f>'Kelas XII'!C97</f>
        <v>15855</v>
      </c>
      <c r="D104" s="34" t="str">
        <f>'Kelas XII'!D97</f>
        <v>ABDULLAH ZACKY IRZA</v>
      </c>
      <c r="E104" s="12"/>
      <c r="F104" s="13"/>
      <c r="G104" s="12"/>
      <c r="H104" s="13"/>
      <c r="I104" s="12"/>
      <c r="J104" s="13"/>
      <c r="K104" s="12"/>
      <c r="L104" s="13"/>
      <c r="M104" s="12"/>
      <c r="N104" s="13"/>
      <c r="O104" s="12"/>
      <c r="P104" s="13"/>
      <c r="Q104" s="12"/>
      <c r="R104" s="13"/>
      <c r="S104" s="12"/>
      <c r="T104" s="13"/>
      <c r="U104" s="12"/>
      <c r="V104" s="13"/>
      <c r="W104" s="12"/>
      <c r="X104" s="13"/>
      <c r="Y104" s="12"/>
      <c r="Z104" s="13"/>
      <c r="AA104" s="12"/>
      <c r="AB104" s="13"/>
      <c r="AC104" s="12"/>
      <c r="AD104" s="119"/>
      <c r="AE104" s="118"/>
      <c r="AF104" s="136"/>
      <c r="AG104" s="109"/>
      <c r="AH104" s="137"/>
      <c r="AI104" s="118"/>
      <c r="AJ104" s="113"/>
      <c r="AK104" s="107"/>
    </row>
    <row r="105" spans="1:37" ht="16.5" customHeight="1" x14ac:dyDescent="0.2">
      <c r="A105" s="6"/>
      <c r="B105" s="135">
        <f t="shared" ref="B105:B140" si="44">B104+1</f>
        <v>2</v>
      </c>
      <c r="C105" s="21">
        <f>'Kelas XII'!C98</f>
        <v>15820</v>
      </c>
      <c r="D105" s="34" t="str">
        <f>'Kelas XII'!D98</f>
        <v>ACHMAD LUTHFIE BADRUZZAMAN</v>
      </c>
      <c r="E105" s="14"/>
      <c r="F105" s="15"/>
      <c r="G105" s="14"/>
      <c r="H105" s="15"/>
      <c r="I105" s="14"/>
      <c r="J105" s="15"/>
      <c r="K105" s="14"/>
      <c r="L105" s="15"/>
      <c r="M105" s="14"/>
      <c r="N105" s="15"/>
      <c r="O105" s="14"/>
      <c r="P105" s="15"/>
      <c r="Q105" s="14"/>
      <c r="R105" s="15"/>
      <c r="S105" s="14"/>
      <c r="T105" s="15"/>
      <c r="U105" s="14"/>
      <c r="V105" s="15"/>
      <c r="W105" s="14"/>
      <c r="X105" s="15"/>
      <c r="Y105" s="14"/>
      <c r="Z105" s="15"/>
      <c r="AA105" s="14"/>
      <c r="AB105" s="15"/>
      <c r="AC105" s="14"/>
      <c r="AD105" s="120"/>
      <c r="AE105" s="14"/>
      <c r="AF105" s="114"/>
      <c r="AG105" s="110"/>
      <c r="AH105" s="138"/>
      <c r="AI105" s="14"/>
      <c r="AJ105" s="114"/>
      <c r="AK105" s="107"/>
    </row>
    <row r="106" spans="1:37" ht="16.5" customHeight="1" x14ac:dyDescent="0.2">
      <c r="A106" s="6"/>
      <c r="B106" s="135">
        <f t="shared" si="44"/>
        <v>3</v>
      </c>
      <c r="C106" s="21">
        <f>'Kelas XII'!C99</f>
        <v>15824</v>
      </c>
      <c r="D106" s="34" t="str">
        <f>'Kelas XII'!D99</f>
        <v>AHMAD FARIS HUSAINI</v>
      </c>
      <c r="E106" s="14"/>
      <c r="F106" s="15"/>
      <c r="G106" s="14"/>
      <c r="H106" s="15"/>
      <c r="I106" s="14"/>
      <c r="J106" s="15"/>
      <c r="K106" s="14"/>
      <c r="L106" s="15"/>
      <c r="M106" s="14"/>
      <c r="N106" s="15"/>
      <c r="O106" s="14"/>
      <c r="P106" s="15"/>
      <c r="Q106" s="14"/>
      <c r="R106" s="15"/>
      <c r="S106" s="14"/>
      <c r="T106" s="15"/>
      <c r="U106" s="14"/>
      <c r="V106" s="15"/>
      <c r="W106" s="14"/>
      <c r="X106" s="15"/>
      <c r="Y106" s="14"/>
      <c r="Z106" s="15"/>
      <c r="AA106" s="14"/>
      <c r="AB106" s="15"/>
      <c r="AC106" s="14"/>
      <c r="AD106" s="120"/>
      <c r="AE106" s="14"/>
      <c r="AF106" s="114"/>
      <c r="AG106" s="110"/>
      <c r="AH106" s="138"/>
      <c r="AI106" s="14"/>
      <c r="AJ106" s="114"/>
      <c r="AK106" s="107"/>
    </row>
    <row r="107" spans="1:37" ht="16.5" customHeight="1" x14ac:dyDescent="0.2">
      <c r="A107" s="6"/>
      <c r="B107" s="135">
        <f t="shared" si="44"/>
        <v>4</v>
      </c>
      <c r="C107" s="21">
        <f>'Kelas XII'!C100</f>
        <v>15861</v>
      </c>
      <c r="D107" s="34" t="str">
        <f>'Kelas XII'!D100</f>
        <v>ALDEBARAN ARSADANA PUTRA</v>
      </c>
      <c r="E107" s="14"/>
      <c r="F107" s="15"/>
      <c r="G107" s="14"/>
      <c r="H107" s="15"/>
      <c r="I107" s="14"/>
      <c r="J107" s="15"/>
      <c r="K107" s="14"/>
      <c r="L107" s="15"/>
      <c r="M107" s="14"/>
      <c r="N107" s="15"/>
      <c r="O107" s="14"/>
      <c r="P107" s="15"/>
      <c r="Q107" s="14"/>
      <c r="R107" s="15"/>
      <c r="S107" s="14"/>
      <c r="T107" s="15"/>
      <c r="U107" s="14"/>
      <c r="V107" s="15"/>
      <c r="W107" s="14"/>
      <c r="X107" s="15"/>
      <c r="Y107" s="14"/>
      <c r="Z107" s="15"/>
      <c r="AA107" s="14"/>
      <c r="AB107" s="15"/>
      <c r="AC107" s="14"/>
      <c r="AD107" s="120"/>
      <c r="AE107" s="14"/>
      <c r="AF107" s="114"/>
      <c r="AG107" s="110"/>
      <c r="AH107" s="138"/>
      <c r="AI107" s="14"/>
      <c r="AJ107" s="114"/>
      <c r="AK107" s="107"/>
    </row>
    <row r="108" spans="1:37" ht="16.5" customHeight="1" x14ac:dyDescent="0.2">
      <c r="A108" s="6"/>
      <c r="B108" s="135">
        <f t="shared" si="44"/>
        <v>5</v>
      </c>
      <c r="C108" s="21">
        <f>'Kelas XII'!C101</f>
        <v>15825</v>
      </c>
      <c r="D108" s="34" t="str">
        <f>'Kelas XII'!D101</f>
        <v>ALFANDI HADINATA</v>
      </c>
      <c r="E108" s="14"/>
      <c r="F108" s="15"/>
      <c r="G108" s="14"/>
      <c r="H108" s="15"/>
      <c r="I108" s="14"/>
      <c r="J108" s="15"/>
      <c r="K108" s="14"/>
      <c r="L108" s="15"/>
      <c r="M108" s="14"/>
      <c r="N108" s="15"/>
      <c r="O108" s="14"/>
      <c r="P108" s="15"/>
      <c r="Q108" s="14"/>
      <c r="R108" s="15"/>
      <c r="S108" s="14"/>
      <c r="T108" s="15"/>
      <c r="U108" s="14"/>
      <c r="V108" s="15"/>
      <c r="W108" s="14"/>
      <c r="X108" s="15"/>
      <c r="Y108" s="14"/>
      <c r="Z108" s="15"/>
      <c r="AA108" s="14"/>
      <c r="AB108" s="15"/>
      <c r="AC108" s="14"/>
      <c r="AD108" s="120"/>
      <c r="AE108" s="14"/>
      <c r="AF108" s="114"/>
      <c r="AG108" s="110"/>
      <c r="AH108" s="138"/>
      <c r="AI108" s="14"/>
      <c r="AJ108" s="114"/>
      <c r="AK108" s="107"/>
    </row>
    <row r="109" spans="1:37" ht="16.5" customHeight="1" x14ac:dyDescent="0.2">
      <c r="A109" s="6"/>
      <c r="B109" s="135">
        <f t="shared" si="44"/>
        <v>6</v>
      </c>
      <c r="C109" s="21">
        <f>'Kelas XII'!C102</f>
        <v>15826</v>
      </c>
      <c r="D109" s="34" t="str">
        <f>'Kelas XII'!D102</f>
        <v>ANDAKA RISKI</v>
      </c>
      <c r="E109" s="14"/>
      <c r="F109" s="15"/>
      <c r="G109" s="14"/>
      <c r="H109" s="15"/>
      <c r="I109" s="14"/>
      <c r="J109" s="15"/>
      <c r="K109" s="14"/>
      <c r="L109" s="15"/>
      <c r="M109" s="14"/>
      <c r="N109" s="15"/>
      <c r="O109" s="14"/>
      <c r="P109" s="15"/>
      <c r="Q109" s="14"/>
      <c r="R109" s="15"/>
      <c r="S109" s="14"/>
      <c r="T109" s="15"/>
      <c r="U109" s="14"/>
      <c r="V109" s="15"/>
      <c r="W109" s="14"/>
      <c r="X109" s="15"/>
      <c r="Y109" s="14"/>
      <c r="Z109" s="15"/>
      <c r="AA109" s="14"/>
      <c r="AB109" s="15"/>
      <c r="AC109" s="14"/>
      <c r="AD109" s="120"/>
      <c r="AE109" s="14"/>
      <c r="AF109" s="114"/>
      <c r="AG109" s="110"/>
      <c r="AH109" s="138"/>
      <c r="AI109" s="14"/>
      <c r="AJ109" s="114"/>
      <c r="AK109" s="107"/>
    </row>
    <row r="110" spans="1:37" ht="16.5" customHeight="1" x14ac:dyDescent="0.2">
      <c r="A110" s="6"/>
      <c r="B110" s="135">
        <f t="shared" si="44"/>
        <v>7</v>
      </c>
      <c r="C110" s="21">
        <f>'Kelas XII'!C103</f>
        <v>15831</v>
      </c>
      <c r="D110" s="34" t="str">
        <f>'Kelas XII'!D103</f>
        <v>DIMITRI HARMAZ AL HARAMIZAH</v>
      </c>
      <c r="E110" s="14"/>
      <c r="F110" s="15"/>
      <c r="G110" s="14"/>
      <c r="H110" s="15"/>
      <c r="I110" s="14"/>
      <c r="J110" s="15"/>
      <c r="K110" s="14"/>
      <c r="L110" s="15"/>
      <c r="M110" s="14"/>
      <c r="N110" s="15"/>
      <c r="O110" s="14"/>
      <c r="P110" s="15"/>
      <c r="Q110" s="14"/>
      <c r="R110" s="15"/>
      <c r="S110" s="14"/>
      <c r="T110" s="15"/>
      <c r="U110" s="14"/>
      <c r="V110" s="15"/>
      <c r="W110" s="14"/>
      <c r="X110" s="15"/>
      <c r="Y110" s="14"/>
      <c r="Z110" s="15"/>
      <c r="AA110" s="14"/>
      <c r="AB110" s="15"/>
      <c r="AC110" s="14"/>
      <c r="AD110" s="120"/>
      <c r="AE110" s="14"/>
      <c r="AF110" s="114"/>
      <c r="AG110" s="110"/>
      <c r="AH110" s="138"/>
      <c r="AI110" s="14"/>
      <c r="AJ110" s="114"/>
      <c r="AK110" s="107"/>
    </row>
    <row r="111" spans="1:37" ht="16.5" customHeight="1" x14ac:dyDescent="0.2">
      <c r="A111" s="6"/>
      <c r="B111" s="135">
        <f t="shared" si="44"/>
        <v>8</v>
      </c>
      <c r="C111" s="21">
        <f>'Kelas XII'!C104</f>
        <v>15937</v>
      </c>
      <c r="D111" s="34" t="str">
        <f>'Kelas XII'!D104</f>
        <v>JAVIER AKHMAD FAIZAL</v>
      </c>
      <c r="E111" s="14"/>
      <c r="F111" s="15"/>
      <c r="G111" s="14"/>
      <c r="H111" s="15"/>
      <c r="I111" s="14"/>
      <c r="J111" s="15"/>
      <c r="K111" s="14"/>
      <c r="L111" s="15"/>
      <c r="M111" s="14"/>
      <c r="N111" s="15"/>
      <c r="O111" s="14"/>
      <c r="P111" s="15"/>
      <c r="Q111" s="14"/>
      <c r="R111" s="15"/>
      <c r="S111" s="14"/>
      <c r="T111" s="15"/>
      <c r="U111" s="14"/>
      <c r="V111" s="15"/>
      <c r="W111" s="14"/>
      <c r="X111" s="15"/>
      <c r="Y111" s="14"/>
      <c r="Z111" s="15"/>
      <c r="AA111" s="14"/>
      <c r="AB111" s="15"/>
      <c r="AC111" s="14"/>
      <c r="AD111" s="120"/>
      <c r="AE111" s="14"/>
      <c r="AF111" s="114"/>
      <c r="AG111" s="110"/>
      <c r="AH111" s="138"/>
      <c r="AI111" s="14"/>
      <c r="AJ111" s="114"/>
      <c r="AK111" s="107"/>
    </row>
    <row r="112" spans="1:37" ht="16.5" customHeight="1" x14ac:dyDescent="0.2">
      <c r="A112" s="6"/>
      <c r="B112" s="135">
        <f t="shared" si="44"/>
        <v>9</v>
      </c>
      <c r="C112" s="21">
        <f>'Kelas XII'!C105</f>
        <v>15900</v>
      </c>
      <c r="D112" s="34" t="str">
        <f>'Kelas XII'!D105</f>
        <v>KEEFE ATHALLAH RUIZHI</v>
      </c>
      <c r="E112" s="14"/>
      <c r="F112" s="15"/>
      <c r="G112" s="14"/>
      <c r="H112" s="15"/>
      <c r="I112" s="14"/>
      <c r="J112" s="15"/>
      <c r="K112" s="14"/>
      <c r="L112" s="15"/>
      <c r="M112" s="14"/>
      <c r="N112" s="15"/>
      <c r="O112" s="14"/>
      <c r="P112" s="15"/>
      <c r="Q112" s="14"/>
      <c r="R112" s="15"/>
      <c r="S112" s="14"/>
      <c r="T112" s="15"/>
      <c r="U112" s="14"/>
      <c r="V112" s="15"/>
      <c r="W112" s="14"/>
      <c r="X112" s="15"/>
      <c r="Y112" s="14"/>
      <c r="Z112" s="15"/>
      <c r="AA112" s="14"/>
      <c r="AB112" s="15"/>
      <c r="AC112" s="14"/>
      <c r="AD112" s="120"/>
      <c r="AE112" s="14"/>
      <c r="AF112" s="114"/>
      <c r="AG112" s="110"/>
      <c r="AH112" s="138"/>
      <c r="AI112" s="14"/>
      <c r="AJ112" s="114"/>
      <c r="AK112" s="107"/>
    </row>
    <row r="113" spans="1:37" ht="16.5" customHeight="1" x14ac:dyDescent="0.2">
      <c r="A113" s="6"/>
      <c r="B113" s="135">
        <f t="shared" si="44"/>
        <v>10</v>
      </c>
      <c r="C113" s="21">
        <f>'Kelas XII'!C106</f>
        <v>15938</v>
      </c>
      <c r="D113" s="34" t="str">
        <f>'Kelas XII'!D106</f>
        <v>KEY MAS NAZIEF ELFADA</v>
      </c>
      <c r="E113" s="14"/>
      <c r="F113" s="15"/>
      <c r="G113" s="14"/>
      <c r="H113" s="15"/>
      <c r="I113" s="14"/>
      <c r="J113" s="15"/>
      <c r="K113" s="14"/>
      <c r="L113" s="15"/>
      <c r="M113" s="14"/>
      <c r="N113" s="15"/>
      <c r="O113" s="14"/>
      <c r="P113" s="15"/>
      <c r="Q113" s="14"/>
      <c r="R113" s="15"/>
      <c r="S113" s="14"/>
      <c r="T113" s="15"/>
      <c r="U113" s="14"/>
      <c r="V113" s="15"/>
      <c r="W113" s="14"/>
      <c r="X113" s="15"/>
      <c r="Y113" s="14"/>
      <c r="Z113" s="15"/>
      <c r="AA113" s="14"/>
      <c r="AB113" s="15"/>
      <c r="AC113" s="14"/>
      <c r="AD113" s="120"/>
      <c r="AE113" s="14"/>
      <c r="AF113" s="114"/>
      <c r="AG113" s="110"/>
      <c r="AH113" s="138"/>
      <c r="AI113" s="14"/>
      <c r="AJ113" s="114"/>
      <c r="AK113" s="107"/>
    </row>
    <row r="114" spans="1:37" ht="16.5" customHeight="1" x14ac:dyDescent="0.2">
      <c r="A114" s="6"/>
      <c r="B114" s="135">
        <f t="shared" si="44"/>
        <v>11</v>
      </c>
      <c r="C114" s="21">
        <f>'Kelas XII'!C107</f>
        <v>15836</v>
      </c>
      <c r="D114" s="34" t="str">
        <f>'Kelas XII'!D107</f>
        <v>LINGGA ADINATA MOCHTAR</v>
      </c>
      <c r="E114" s="14"/>
      <c r="F114" s="15"/>
      <c r="G114" s="14"/>
      <c r="H114" s="15"/>
      <c r="I114" s="14"/>
      <c r="J114" s="15"/>
      <c r="K114" s="14"/>
      <c r="L114" s="15"/>
      <c r="M114" s="14"/>
      <c r="N114" s="15"/>
      <c r="O114" s="14"/>
      <c r="P114" s="15"/>
      <c r="Q114" s="14"/>
      <c r="R114" s="15"/>
      <c r="S114" s="14"/>
      <c r="T114" s="15"/>
      <c r="U114" s="14"/>
      <c r="V114" s="15"/>
      <c r="W114" s="14"/>
      <c r="X114" s="15"/>
      <c r="Y114" s="14"/>
      <c r="Z114" s="15"/>
      <c r="AA114" s="14"/>
      <c r="AB114" s="15"/>
      <c r="AC114" s="14"/>
      <c r="AD114" s="120"/>
      <c r="AE114" s="14"/>
      <c r="AF114" s="114"/>
      <c r="AG114" s="110"/>
      <c r="AH114" s="138"/>
      <c r="AI114" s="14"/>
      <c r="AJ114" s="114"/>
      <c r="AK114" s="107"/>
    </row>
    <row r="115" spans="1:37" ht="16.5" customHeight="1" x14ac:dyDescent="0.2">
      <c r="A115" s="6"/>
      <c r="B115" s="135">
        <f t="shared" si="44"/>
        <v>12</v>
      </c>
      <c r="C115" s="21">
        <f>'Kelas XII'!C108</f>
        <v>15901</v>
      </c>
      <c r="D115" s="34" t="str">
        <f>'Kelas XII'!D108</f>
        <v>M. ISHAQ LATIF AL-BUSTOMI</v>
      </c>
      <c r="E115" s="14"/>
      <c r="F115" s="15"/>
      <c r="G115" s="14"/>
      <c r="H115" s="15"/>
      <c r="I115" s="14"/>
      <c r="J115" s="15"/>
      <c r="K115" s="14"/>
      <c r="L115" s="15"/>
      <c r="M115" s="14"/>
      <c r="N115" s="15"/>
      <c r="O115" s="14"/>
      <c r="P115" s="15"/>
      <c r="Q115" s="14"/>
      <c r="R115" s="15"/>
      <c r="S115" s="14"/>
      <c r="T115" s="15"/>
      <c r="U115" s="14"/>
      <c r="V115" s="15"/>
      <c r="W115" s="14"/>
      <c r="X115" s="15"/>
      <c r="Y115" s="14"/>
      <c r="Z115" s="15"/>
      <c r="AA115" s="14"/>
      <c r="AB115" s="15"/>
      <c r="AC115" s="14"/>
      <c r="AD115" s="120"/>
      <c r="AE115" s="14"/>
      <c r="AF115" s="114"/>
      <c r="AG115" s="110"/>
      <c r="AH115" s="138"/>
      <c r="AI115" s="14"/>
      <c r="AJ115" s="114"/>
      <c r="AK115" s="107"/>
    </row>
    <row r="116" spans="1:37" ht="16.5" customHeight="1" x14ac:dyDescent="0.2">
      <c r="A116" s="6"/>
      <c r="B116" s="135">
        <f t="shared" si="44"/>
        <v>13</v>
      </c>
      <c r="C116" s="21">
        <f>'Kelas XII'!C109</f>
        <v>15939</v>
      </c>
      <c r="D116" s="34" t="str">
        <f>'Kelas XII'!D109</f>
        <v>MAULANA 'ABDURRAHMAN</v>
      </c>
      <c r="E116" s="14"/>
      <c r="F116" s="15"/>
      <c r="G116" s="14"/>
      <c r="H116" s="15"/>
      <c r="I116" s="14"/>
      <c r="J116" s="15"/>
      <c r="K116" s="14"/>
      <c r="L116" s="15"/>
      <c r="M116" s="14"/>
      <c r="N116" s="15"/>
      <c r="O116" s="14"/>
      <c r="P116" s="15"/>
      <c r="Q116" s="14"/>
      <c r="R116" s="15"/>
      <c r="S116" s="14"/>
      <c r="T116" s="15"/>
      <c r="U116" s="14"/>
      <c r="V116" s="15"/>
      <c r="W116" s="14"/>
      <c r="X116" s="15"/>
      <c r="Y116" s="14"/>
      <c r="Z116" s="15"/>
      <c r="AA116" s="14"/>
      <c r="AB116" s="15"/>
      <c r="AC116" s="14"/>
      <c r="AD116" s="120"/>
      <c r="AE116" s="14"/>
      <c r="AF116" s="114"/>
      <c r="AG116" s="110"/>
      <c r="AH116" s="138"/>
      <c r="AI116" s="14"/>
      <c r="AJ116" s="114"/>
      <c r="AK116" s="107"/>
    </row>
    <row r="117" spans="1:37" ht="16.5" customHeight="1" x14ac:dyDescent="0.2">
      <c r="A117" s="6"/>
      <c r="B117" s="135">
        <f t="shared" si="44"/>
        <v>14</v>
      </c>
      <c r="C117" s="21">
        <f>'Kelas XII'!C110</f>
        <v>15906</v>
      </c>
      <c r="D117" s="34" t="str">
        <f>'Kelas XII'!D110</f>
        <v>MOCH. ARINAL HAQ MUSLIH</v>
      </c>
      <c r="E117" s="14"/>
      <c r="F117" s="15"/>
      <c r="G117" s="14"/>
      <c r="H117" s="15"/>
      <c r="I117" s="14"/>
      <c r="J117" s="15"/>
      <c r="K117" s="14"/>
      <c r="L117" s="15"/>
      <c r="M117" s="14"/>
      <c r="N117" s="15"/>
      <c r="O117" s="14"/>
      <c r="P117" s="15"/>
      <c r="Q117" s="14"/>
      <c r="R117" s="15"/>
      <c r="S117" s="14"/>
      <c r="T117" s="15"/>
      <c r="U117" s="14"/>
      <c r="V117" s="15"/>
      <c r="W117" s="14"/>
      <c r="X117" s="15"/>
      <c r="Y117" s="14"/>
      <c r="Z117" s="15"/>
      <c r="AA117" s="14"/>
      <c r="AB117" s="15"/>
      <c r="AC117" s="14"/>
      <c r="AD117" s="120"/>
      <c r="AE117" s="14"/>
      <c r="AF117" s="114"/>
      <c r="AG117" s="110"/>
      <c r="AH117" s="138"/>
      <c r="AI117" s="14"/>
      <c r="AJ117" s="114"/>
      <c r="AK117" s="107"/>
    </row>
    <row r="118" spans="1:37" ht="16.5" customHeight="1" x14ac:dyDescent="0.2">
      <c r="A118" s="6"/>
      <c r="B118" s="135">
        <f t="shared" si="44"/>
        <v>15</v>
      </c>
      <c r="C118" s="21">
        <f>'Kelas XII'!C111</f>
        <v>15838</v>
      </c>
      <c r="D118" s="34" t="str">
        <f>'Kelas XII'!D111</f>
        <v>MOCHAMMAD AGIS SALMAN ALFARITZI</v>
      </c>
      <c r="E118" s="14"/>
      <c r="F118" s="15"/>
      <c r="G118" s="14"/>
      <c r="H118" s="15"/>
      <c r="I118" s="14"/>
      <c r="J118" s="15"/>
      <c r="K118" s="14"/>
      <c r="L118" s="15"/>
      <c r="M118" s="14"/>
      <c r="N118" s="15"/>
      <c r="O118" s="14"/>
      <c r="P118" s="15"/>
      <c r="Q118" s="14"/>
      <c r="R118" s="15"/>
      <c r="S118" s="14"/>
      <c r="T118" s="15"/>
      <c r="U118" s="14"/>
      <c r="V118" s="15"/>
      <c r="W118" s="14"/>
      <c r="X118" s="15"/>
      <c r="Y118" s="14"/>
      <c r="Z118" s="15"/>
      <c r="AA118" s="14"/>
      <c r="AB118" s="15"/>
      <c r="AC118" s="14"/>
      <c r="AD118" s="120"/>
      <c r="AE118" s="14"/>
      <c r="AF118" s="114"/>
      <c r="AG118" s="110"/>
      <c r="AH118" s="138"/>
      <c r="AI118" s="14"/>
      <c r="AJ118" s="114"/>
      <c r="AK118" s="107"/>
    </row>
    <row r="119" spans="1:37" ht="16.5" customHeight="1" x14ac:dyDescent="0.2">
      <c r="A119" s="6"/>
      <c r="B119" s="135">
        <f t="shared" si="44"/>
        <v>16</v>
      </c>
      <c r="C119" s="21">
        <f>'Kelas XII'!C112</f>
        <v>15941</v>
      </c>
      <c r="D119" s="34" t="str">
        <f>'Kelas XII'!D112</f>
        <v>MOCHAMMAD RAYHAN RAHMATULLOH</v>
      </c>
      <c r="E119" s="14"/>
      <c r="F119" s="15"/>
      <c r="G119" s="14"/>
      <c r="H119" s="15"/>
      <c r="I119" s="14"/>
      <c r="J119" s="15"/>
      <c r="K119" s="14"/>
      <c r="L119" s="15"/>
      <c r="M119" s="14"/>
      <c r="N119" s="15"/>
      <c r="O119" s="14"/>
      <c r="P119" s="15"/>
      <c r="Q119" s="14"/>
      <c r="R119" s="15"/>
      <c r="S119" s="14"/>
      <c r="T119" s="15"/>
      <c r="U119" s="14"/>
      <c r="V119" s="15"/>
      <c r="W119" s="14"/>
      <c r="X119" s="15"/>
      <c r="Y119" s="14"/>
      <c r="Z119" s="15"/>
      <c r="AA119" s="14"/>
      <c r="AB119" s="15"/>
      <c r="AC119" s="14"/>
      <c r="AD119" s="120"/>
      <c r="AE119" s="14"/>
      <c r="AF119" s="114"/>
      <c r="AG119" s="110"/>
      <c r="AH119" s="138"/>
      <c r="AI119" s="14"/>
      <c r="AJ119" s="114"/>
      <c r="AK119" s="107"/>
    </row>
    <row r="120" spans="1:37" ht="16.5" customHeight="1" x14ac:dyDescent="0.2">
      <c r="A120" s="6"/>
      <c r="B120" s="135">
        <f t="shared" si="44"/>
        <v>17</v>
      </c>
      <c r="C120" s="21">
        <f>'Kelas XII'!C113</f>
        <v>15875</v>
      </c>
      <c r="D120" s="34" t="str">
        <f>'Kelas XII'!D113</f>
        <v>MOH ANDIKA AZMI ALTHOF</v>
      </c>
      <c r="E120" s="14"/>
      <c r="F120" s="15"/>
      <c r="G120" s="14"/>
      <c r="H120" s="15"/>
      <c r="I120" s="14"/>
      <c r="J120" s="15"/>
      <c r="K120" s="14"/>
      <c r="L120" s="15"/>
      <c r="M120" s="14"/>
      <c r="N120" s="15"/>
      <c r="O120" s="14"/>
      <c r="P120" s="15"/>
      <c r="Q120" s="14"/>
      <c r="R120" s="15"/>
      <c r="S120" s="14"/>
      <c r="T120" s="15"/>
      <c r="U120" s="14"/>
      <c r="V120" s="15"/>
      <c r="W120" s="14"/>
      <c r="X120" s="15"/>
      <c r="Y120" s="14"/>
      <c r="Z120" s="15"/>
      <c r="AA120" s="14"/>
      <c r="AB120" s="15"/>
      <c r="AC120" s="14"/>
      <c r="AD120" s="120"/>
      <c r="AE120" s="14"/>
      <c r="AF120" s="114"/>
      <c r="AG120" s="110"/>
      <c r="AH120" s="138"/>
      <c r="AI120" s="14"/>
      <c r="AJ120" s="114"/>
      <c r="AK120" s="107"/>
    </row>
    <row r="121" spans="1:37" ht="16.5" customHeight="1" x14ac:dyDescent="0.2">
      <c r="A121" s="6"/>
      <c r="B121" s="135">
        <f t="shared" si="44"/>
        <v>18</v>
      </c>
      <c r="C121" s="21">
        <f>'Kelas XII'!C114</f>
        <v>15908</v>
      </c>
      <c r="D121" s="34" t="str">
        <f>'Kelas XII'!D114</f>
        <v>MOH SOLEH</v>
      </c>
      <c r="E121" s="14"/>
      <c r="F121" s="15"/>
      <c r="G121" s="14"/>
      <c r="H121" s="15"/>
      <c r="I121" s="14"/>
      <c r="J121" s="15"/>
      <c r="K121" s="14"/>
      <c r="L121" s="15"/>
      <c r="M121" s="14"/>
      <c r="N121" s="15"/>
      <c r="O121" s="14"/>
      <c r="P121" s="15"/>
      <c r="Q121" s="14"/>
      <c r="R121" s="15"/>
      <c r="S121" s="14"/>
      <c r="T121" s="15"/>
      <c r="U121" s="14"/>
      <c r="V121" s="15"/>
      <c r="W121" s="14"/>
      <c r="X121" s="15"/>
      <c r="Y121" s="14"/>
      <c r="Z121" s="15"/>
      <c r="AA121" s="14"/>
      <c r="AB121" s="15"/>
      <c r="AC121" s="14"/>
      <c r="AD121" s="120"/>
      <c r="AE121" s="14"/>
      <c r="AF121" s="114"/>
      <c r="AG121" s="110"/>
      <c r="AH121" s="138"/>
      <c r="AI121" s="14"/>
      <c r="AJ121" s="114"/>
      <c r="AK121" s="107"/>
    </row>
    <row r="122" spans="1:37" ht="16.5" customHeight="1" x14ac:dyDescent="0.2">
      <c r="A122" s="6"/>
      <c r="B122" s="135">
        <f t="shared" si="44"/>
        <v>19</v>
      </c>
      <c r="C122" s="21">
        <f>'Kelas XII'!C115</f>
        <v>15839</v>
      </c>
      <c r="D122" s="34" t="str">
        <f>'Kelas XII'!D115</f>
        <v>MOHAMAD RENDI PRASETYA</v>
      </c>
      <c r="E122" s="14"/>
      <c r="F122" s="15"/>
      <c r="G122" s="14"/>
      <c r="H122" s="15"/>
      <c r="I122" s="14"/>
      <c r="J122" s="15"/>
      <c r="K122" s="14"/>
      <c r="L122" s="15"/>
      <c r="M122" s="14"/>
      <c r="N122" s="15"/>
      <c r="O122" s="14"/>
      <c r="P122" s="15"/>
      <c r="Q122" s="14"/>
      <c r="R122" s="15"/>
      <c r="S122" s="14"/>
      <c r="T122" s="15"/>
      <c r="U122" s="14"/>
      <c r="V122" s="15"/>
      <c r="W122" s="14"/>
      <c r="X122" s="15"/>
      <c r="Y122" s="14"/>
      <c r="Z122" s="15"/>
      <c r="AA122" s="14"/>
      <c r="AB122" s="15"/>
      <c r="AC122" s="14"/>
      <c r="AD122" s="120"/>
      <c r="AE122" s="14"/>
      <c r="AF122" s="114"/>
      <c r="AG122" s="110"/>
      <c r="AH122" s="138"/>
      <c r="AI122" s="14"/>
      <c r="AJ122" s="114"/>
      <c r="AK122" s="107"/>
    </row>
    <row r="123" spans="1:37" ht="16.5" customHeight="1" x14ac:dyDescent="0.2">
      <c r="A123" s="6"/>
      <c r="B123" s="135">
        <f t="shared" si="44"/>
        <v>20</v>
      </c>
      <c r="C123" s="21">
        <f>'Kelas XII'!C116</f>
        <v>15840</v>
      </c>
      <c r="D123" s="34" t="str">
        <f>'Kelas XII'!D116</f>
        <v>MOHAMMAD BAGUS YOGA PRATAMA</v>
      </c>
      <c r="E123" s="14"/>
      <c r="F123" s="15"/>
      <c r="G123" s="14"/>
      <c r="H123" s="15"/>
      <c r="I123" s="14"/>
      <c r="J123" s="15"/>
      <c r="K123" s="14"/>
      <c r="L123" s="15"/>
      <c r="M123" s="14"/>
      <c r="N123" s="15"/>
      <c r="O123" s="14"/>
      <c r="P123" s="15"/>
      <c r="Q123" s="14"/>
      <c r="R123" s="15"/>
      <c r="S123" s="14"/>
      <c r="T123" s="15"/>
      <c r="U123" s="14"/>
      <c r="V123" s="15"/>
      <c r="W123" s="14"/>
      <c r="X123" s="15"/>
      <c r="Y123" s="14"/>
      <c r="Z123" s="15"/>
      <c r="AA123" s="14"/>
      <c r="AB123" s="15"/>
      <c r="AC123" s="14"/>
      <c r="AD123" s="120"/>
      <c r="AE123" s="14"/>
      <c r="AF123" s="114"/>
      <c r="AG123" s="110"/>
      <c r="AH123" s="138"/>
      <c r="AI123" s="14"/>
      <c r="AJ123" s="114"/>
      <c r="AK123" s="107"/>
    </row>
    <row r="124" spans="1:37" ht="16.5" customHeight="1" x14ac:dyDescent="0.2">
      <c r="A124" s="6"/>
      <c r="B124" s="135">
        <f t="shared" si="44"/>
        <v>21</v>
      </c>
      <c r="C124" s="21">
        <f>'Kelas XII'!C117</f>
        <v>15841</v>
      </c>
      <c r="D124" s="34" t="str">
        <f>'Kelas XII'!D117</f>
        <v>MOHAMMAD YAZID HIDAYATULLOH</v>
      </c>
      <c r="E124" s="14"/>
      <c r="F124" s="15"/>
      <c r="G124" s="14"/>
      <c r="H124" s="15"/>
      <c r="I124" s="14"/>
      <c r="J124" s="15"/>
      <c r="K124" s="14"/>
      <c r="L124" s="15"/>
      <c r="M124" s="14"/>
      <c r="N124" s="15"/>
      <c r="O124" s="14"/>
      <c r="P124" s="15"/>
      <c r="Q124" s="14"/>
      <c r="R124" s="15"/>
      <c r="S124" s="14"/>
      <c r="T124" s="15"/>
      <c r="U124" s="14"/>
      <c r="V124" s="15"/>
      <c r="W124" s="14"/>
      <c r="X124" s="15"/>
      <c r="Y124" s="14"/>
      <c r="Z124" s="15"/>
      <c r="AA124" s="14"/>
      <c r="AB124" s="15"/>
      <c r="AC124" s="14"/>
      <c r="AD124" s="120"/>
      <c r="AE124" s="14"/>
      <c r="AF124" s="114"/>
      <c r="AG124" s="110"/>
      <c r="AH124" s="138"/>
      <c r="AI124" s="14"/>
      <c r="AJ124" s="114"/>
      <c r="AK124" s="107"/>
    </row>
    <row r="125" spans="1:37" ht="16.5" customHeight="1" x14ac:dyDescent="0.2">
      <c r="A125" s="6"/>
      <c r="B125" s="135">
        <f t="shared" si="44"/>
        <v>22</v>
      </c>
      <c r="C125" s="21">
        <f>'Kelas XII'!C118</f>
        <v>15912</v>
      </c>
      <c r="D125" s="34" t="str">
        <f>'Kelas XII'!D118</f>
        <v>MUHAMMAD BANO TAZAKKA</v>
      </c>
      <c r="E125" s="14"/>
      <c r="F125" s="15"/>
      <c r="G125" s="14"/>
      <c r="H125" s="15"/>
      <c r="I125" s="14"/>
      <c r="J125" s="15"/>
      <c r="K125" s="14"/>
      <c r="L125" s="15"/>
      <c r="M125" s="14"/>
      <c r="N125" s="15"/>
      <c r="O125" s="14"/>
      <c r="P125" s="15"/>
      <c r="Q125" s="14"/>
      <c r="R125" s="15"/>
      <c r="S125" s="14"/>
      <c r="T125" s="15"/>
      <c r="U125" s="14"/>
      <c r="V125" s="15"/>
      <c r="W125" s="14"/>
      <c r="X125" s="15"/>
      <c r="Y125" s="14"/>
      <c r="Z125" s="15"/>
      <c r="AA125" s="14"/>
      <c r="AB125" s="15"/>
      <c r="AC125" s="14"/>
      <c r="AD125" s="120"/>
      <c r="AE125" s="14"/>
      <c r="AF125" s="114"/>
      <c r="AG125" s="110"/>
      <c r="AH125" s="138"/>
      <c r="AI125" s="14"/>
      <c r="AJ125" s="114"/>
      <c r="AK125" s="107"/>
    </row>
    <row r="126" spans="1:37" ht="16.5" customHeight="1" x14ac:dyDescent="0.2">
      <c r="A126" s="6"/>
      <c r="B126" s="135">
        <f t="shared" si="44"/>
        <v>23</v>
      </c>
      <c r="C126" s="21">
        <f>'Kelas XII'!C119</f>
        <v>15913</v>
      </c>
      <c r="D126" s="34" t="str">
        <f>'Kelas XII'!D119</f>
        <v>MUHAMMAD FAHMI AMIRULLAH</v>
      </c>
      <c r="E126" s="14"/>
      <c r="F126" s="15"/>
      <c r="G126" s="14"/>
      <c r="H126" s="15"/>
      <c r="I126" s="14"/>
      <c r="J126" s="15"/>
      <c r="K126" s="14"/>
      <c r="L126" s="15"/>
      <c r="M126" s="14"/>
      <c r="N126" s="15"/>
      <c r="O126" s="14"/>
      <c r="P126" s="15"/>
      <c r="Q126" s="14"/>
      <c r="R126" s="15"/>
      <c r="S126" s="14"/>
      <c r="T126" s="15"/>
      <c r="U126" s="14"/>
      <c r="V126" s="15"/>
      <c r="W126" s="14"/>
      <c r="X126" s="15"/>
      <c r="Y126" s="14"/>
      <c r="Z126" s="15"/>
      <c r="AA126" s="14"/>
      <c r="AB126" s="15"/>
      <c r="AC126" s="14"/>
      <c r="AD126" s="120"/>
      <c r="AE126" s="14"/>
      <c r="AF126" s="114"/>
      <c r="AG126" s="110"/>
      <c r="AH126" s="138"/>
      <c r="AI126" s="14"/>
      <c r="AJ126" s="114"/>
      <c r="AK126" s="107"/>
    </row>
    <row r="127" spans="1:37" ht="16.5" customHeight="1" x14ac:dyDescent="0.2">
      <c r="A127" s="6"/>
      <c r="B127" s="135">
        <f t="shared" si="44"/>
        <v>24</v>
      </c>
      <c r="C127" s="21">
        <f>'Kelas XII'!C120</f>
        <v>15943</v>
      </c>
      <c r="D127" s="34" t="str">
        <f>'Kelas XII'!D120</f>
        <v>MUHAMMAD FAHRI BAIHAQI</v>
      </c>
      <c r="E127" s="14"/>
      <c r="F127" s="15"/>
      <c r="G127" s="14"/>
      <c r="H127" s="15"/>
      <c r="I127" s="14"/>
      <c r="J127" s="15"/>
      <c r="K127" s="14"/>
      <c r="L127" s="15"/>
      <c r="M127" s="14"/>
      <c r="N127" s="15"/>
      <c r="O127" s="14"/>
      <c r="P127" s="15"/>
      <c r="Q127" s="14"/>
      <c r="R127" s="15"/>
      <c r="S127" s="14"/>
      <c r="T127" s="15"/>
      <c r="U127" s="14"/>
      <c r="V127" s="15"/>
      <c r="W127" s="14"/>
      <c r="X127" s="15"/>
      <c r="Y127" s="14"/>
      <c r="Z127" s="15"/>
      <c r="AA127" s="14"/>
      <c r="AB127" s="15"/>
      <c r="AC127" s="14"/>
      <c r="AD127" s="120"/>
      <c r="AE127" s="14"/>
      <c r="AF127" s="114"/>
      <c r="AG127" s="110"/>
      <c r="AH127" s="138"/>
      <c r="AI127" s="14"/>
      <c r="AJ127" s="114"/>
      <c r="AK127" s="107"/>
    </row>
    <row r="128" spans="1:37" ht="16.5" customHeight="1" x14ac:dyDescent="0.2">
      <c r="A128" s="6"/>
      <c r="B128" s="135">
        <f t="shared" si="44"/>
        <v>25</v>
      </c>
      <c r="C128" s="21">
        <f>'Kelas XII'!C121</f>
        <v>15878</v>
      </c>
      <c r="D128" s="34" t="str">
        <f>'Kelas XII'!D121</f>
        <v>MUHAMMAD HAFIZH BINTANG</v>
      </c>
      <c r="E128" s="14"/>
      <c r="F128" s="15"/>
      <c r="G128" s="14"/>
      <c r="H128" s="15"/>
      <c r="I128" s="14"/>
      <c r="J128" s="15"/>
      <c r="K128" s="14"/>
      <c r="L128" s="15"/>
      <c r="M128" s="14"/>
      <c r="N128" s="15"/>
      <c r="O128" s="14"/>
      <c r="P128" s="15"/>
      <c r="Q128" s="14"/>
      <c r="R128" s="15"/>
      <c r="S128" s="14"/>
      <c r="T128" s="15"/>
      <c r="U128" s="14"/>
      <c r="V128" s="15"/>
      <c r="W128" s="14"/>
      <c r="X128" s="15"/>
      <c r="Y128" s="14"/>
      <c r="Z128" s="15"/>
      <c r="AA128" s="14"/>
      <c r="AB128" s="15"/>
      <c r="AC128" s="14"/>
      <c r="AD128" s="120"/>
      <c r="AE128" s="14"/>
      <c r="AF128" s="114"/>
      <c r="AG128" s="110"/>
      <c r="AH128" s="138"/>
      <c r="AI128" s="14"/>
      <c r="AJ128" s="114"/>
      <c r="AK128" s="107"/>
    </row>
    <row r="129" spans="1:37" ht="16.5" customHeight="1" x14ac:dyDescent="0.2">
      <c r="A129" s="6"/>
      <c r="B129" s="135">
        <f t="shared" si="44"/>
        <v>26</v>
      </c>
      <c r="C129" s="21">
        <f>'Kelas XII'!C122</f>
        <v>15847</v>
      </c>
      <c r="D129" s="34" t="str">
        <f>'Kelas XII'!D122</f>
        <v>MUHAMMAD KAYYIS ZAINI</v>
      </c>
      <c r="E129" s="14"/>
      <c r="F129" s="15"/>
      <c r="G129" s="14"/>
      <c r="H129" s="15"/>
      <c r="I129" s="14"/>
      <c r="J129" s="15"/>
      <c r="K129" s="14"/>
      <c r="L129" s="15"/>
      <c r="M129" s="14"/>
      <c r="N129" s="15"/>
      <c r="O129" s="14"/>
      <c r="P129" s="15"/>
      <c r="Q129" s="14"/>
      <c r="R129" s="15"/>
      <c r="S129" s="14"/>
      <c r="T129" s="15"/>
      <c r="U129" s="14"/>
      <c r="V129" s="15"/>
      <c r="W129" s="14"/>
      <c r="X129" s="15"/>
      <c r="Y129" s="14"/>
      <c r="Z129" s="15"/>
      <c r="AA129" s="14"/>
      <c r="AB129" s="15"/>
      <c r="AC129" s="14"/>
      <c r="AD129" s="120"/>
      <c r="AE129" s="14"/>
      <c r="AF129" s="114"/>
      <c r="AG129" s="110"/>
      <c r="AH129" s="138"/>
      <c r="AI129" s="14"/>
      <c r="AJ129" s="114"/>
      <c r="AK129" s="107"/>
    </row>
    <row r="130" spans="1:37" ht="16.5" customHeight="1" x14ac:dyDescent="0.2">
      <c r="A130" s="6"/>
      <c r="B130" s="135">
        <f t="shared" si="44"/>
        <v>27</v>
      </c>
      <c r="C130" s="21">
        <f>'Kelas XII'!C123</f>
        <v>15947</v>
      </c>
      <c r="D130" s="34" t="str">
        <f>'Kelas XII'!D123</f>
        <v>MUHAMMAD RAFIE MAHESWARA</v>
      </c>
      <c r="E130" s="14"/>
      <c r="F130" s="15"/>
      <c r="G130" s="14"/>
      <c r="H130" s="15"/>
      <c r="I130" s="14"/>
      <c r="J130" s="15"/>
      <c r="K130" s="14"/>
      <c r="L130" s="15"/>
      <c r="M130" s="14"/>
      <c r="N130" s="15"/>
      <c r="O130" s="14"/>
      <c r="P130" s="15"/>
      <c r="Q130" s="14"/>
      <c r="R130" s="15"/>
      <c r="S130" s="14"/>
      <c r="T130" s="15"/>
      <c r="U130" s="14"/>
      <c r="V130" s="15"/>
      <c r="W130" s="14"/>
      <c r="X130" s="15"/>
      <c r="Y130" s="14"/>
      <c r="Z130" s="15"/>
      <c r="AA130" s="14"/>
      <c r="AB130" s="15"/>
      <c r="AC130" s="14"/>
      <c r="AD130" s="120"/>
      <c r="AE130" s="14"/>
      <c r="AF130" s="114"/>
      <c r="AG130" s="110"/>
      <c r="AH130" s="138"/>
      <c r="AI130" s="14"/>
      <c r="AJ130" s="114"/>
      <c r="AK130" s="107"/>
    </row>
    <row r="131" spans="1:37" ht="16.5" customHeight="1" x14ac:dyDescent="0.2">
      <c r="A131" s="6"/>
      <c r="B131" s="135">
        <f t="shared" si="44"/>
        <v>28</v>
      </c>
      <c r="C131" s="21">
        <f>'Kelas XII'!C124</f>
        <v>15879</v>
      </c>
      <c r="D131" s="34" t="str">
        <f>'Kelas XII'!D124</f>
        <v>MUHAMMAD RASYA PUTRA HASANUDIN</v>
      </c>
      <c r="E131" s="14"/>
      <c r="F131" s="15"/>
      <c r="G131" s="14"/>
      <c r="H131" s="15"/>
      <c r="I131" s="14"/>
      <c r="J131" s="15"/>
      <c r="K131" s="14"/>
      <c r="L131" s="15"/>
      <c r="M131" s="14"/>
      <c r="N131" s="15"/>
      <c r="O131" s="14"/>
      <c r="P131" s="15"/>
      <c r="Q131" s="14"/>
      <c r="R131" s="15"/>
      <c r="S131" s="14"/>
      <c r="T131" s="15"/>
      <c r="U131" s="14"/>
      <c r="V131" s="15"/>
      <c r="W131" s="14"/>
      <c r="X131" s="15"/>
      <c r="Y131" s="14"/>
      <c r="Z131" s="15"/>
      <c r="AA131" s="14"/>
      <c r="AB131" s="15"/>
      <c r="AC131" s="14"/>
      <c r="AD131" s="120"/>
      <c r="AE131" s="14"/>
      <c r="AF131" s="114"/>
      <c r="AG131" s="110"/>
      <c r="AH131" s="138"/>
      <c r="AI131" s="14"/>
      <c r="AJ131" s="114"/>
      <c r="AK131" s="107"/>
    </row>
    <row r="132" spans="1:37" ht="16.5" customHeight="1" x14ac:dyDescent="0.2">
      <c r="A132" s="6"/>
      <c r="B132" s="135">
        <f t="shared" si="44"/>
        <v>29</v>
      </c>
      <c r="C132" s="21">
        <f>'Kelas XII'!C125</f>
        <v>15881</v>
      </c>
      <c r="D132" s="34" t="str">
        <f>'Kelas XII'!D125</f>
        <v>NI'AM MILLAH YASIN</v>
      </c>
      <c r="E132" s="16"/>
      <c r="F132" s="17"/>
      <c r="G132" s="16"/>
      <c r="H132" s="17"/>
      <c r="I132" s="16"/>
      <c r="J132" s="17"/>
      <c r="K132" s="16"/>
      <c r="L132" s="17"/>
      <c r="M132" s="16"/>
      <c r="N132" s="17"/>
      <c r="O132" s="16"/>
      <c r="P132" s="17"/>
      <c r="Q132" s="16"/>
      <c r="R132" s="17"/>
      <c r="S132" s="16"/>
      <c r="T132" s="17"/>
      <c r="U132" s="16"/>
      <c r="V132" s="17"/>
      <c r="W132" s="16"/>
      <c r="X132" s="17"/>
      <c r="Y132" s="16"/>
      <c r="Z132" s="17"/>
      <c r="AA132" s="16"/>
      <c r="AB132" s="17"/>
      <c r="AC132" s="16"/>
      <c r="AD132" s="121"/>
      <c r="AE132" s="16"/>
      <c r="AF132" s="115"/>
      <c r="AG132" s="111"/>
      <c r="AH132" s="139"/>
      <c r="AI132" s="16"/>
      <c r="AJ132" s="115"/>
      <c r="AK132" s="107"/>
    </row>
    <row r="133" spans="1:37" ht="16.5" customHeight="1" x14ac:dyDescent="0.2">
      <c r="A133" s="6"/>
      <c r="B133" s="135">
        <f t="shared" si="44"/>
        <v>30</v>
      </c>
      <c r="C133" s="21">
        <f>'Kelas XII'!C126</f>
        <v>15955</v>
      </c>
      <c r="D133" s="34" t="str">
        <f>'Kelas XII'!D126</f>
        <v>RAIHAN IKHSANUL ZHAFRAN</v>
      </c>
      <c r="E133" s="16"/>
      <c r="F133" s="17"/>
      <c r="G133" s="16"/>
      <c r="H133" s="17"/>
      <c r="I133" s="16"/>
      <c r="J133" s="17"/>
      <c r="K133" s="16"/>
      <c r="L133" s="17"/>
      <c r="M133" s="16"/>
      <c r="N133" s="17"/>
      <c r="O133" s="16"/>
      <c r="P133" s="17"/>
      <c r="Q133" s="16"/>
      <c r="R133" s="17"/>
      <c r="S133" s="16"/>
      <c r="T133" s="17"/>
      <c r="U133" s="16"/>
      <c r="V133" s="17"/>
      <c r="W133" s="16"/>
      <c r="X133" s="17"/>
      <c r="Y133" s="16"/>
      <c r="Z133" s="17"/>
      <c r="AA133" s="16"/>
      <c r="AB133" s="17"/>
      <c r="AC133" s="16"/>
      <c r="AD133" s="121"/>
      <c r="AE133" s="16"/>
      <c r="AF133" s="115"/>
      <c r="AG133" s="111"/>
      <c r="AH133" s="139"/>
      <c r="AI133" s="16"/>
      <c r="AJ133" s="115"/>
      <c r="AK133" s="107"/>
    </row>
    <row r="134" spans="1:37" ht="16.5" customHeight="1" x14ac:dyDescent="0.2">
      <c r="A134" s="6"/>
      <c r="B134" s="135">
        <f t="shared" si="44"/>
        <v>31</v>
      </c>
      <c r="C134" s="21">
        <f>'Kelas XII'!C127</f>
        <v>15956</v>
      </c>
      <c r="D134" s="34" t="str">
        <f>'Kelas XII'!D127</f>
        <v>RAKHE ABDI RAMADHAN</v>
      </c>
      <c r="E134" s="16"/>
      <c r="F134" s="17"/>
      <c r="G134" s="16"/>
      <c r="H134" s="17"/>
      <c r="I134" s="16"/>
      <c r="J134" s="17"/>
      <c r="K134" s="16"/>
      <c r="L134" s="17"/>
      <c r="M134" s="16"/>
      <c r="N134" s="17"/>
      <c r="O134" s="16"/>
      <c r="P134" s="17"/>
      <c r="Q134" s="16"/>
      <c r="R134" s="17"/>
      <c r="S134" s="16"/>
      <c r="T134" s="17"/>
      <c r="U134" s="16"/>
      <c r="V134" s="17"/>
      <c r="W134" s="16"/>
      <c r="X134" s="17"/>
      <c r="Y134" s="16"/>
      <c r="Z134" s="17"/>
      <c r="AA134" s="16"/>
      <c r="AB134" s="17"/>
      <c r="AC134" s="16"/>
      <c r="AD134" s="121"/>
      <c r="AE134" s="16"/>
      <c r="AF134" s="115"/>
      <c r="AG134" s="111"/>
      <c r="AH134" s="139"/>
      <c r="AI134" s="16"/>
      <c r="AJ134" s="115"/>
      <c r="AK134" s="107"/>
    </row>
    <row r="135" spans="1:37" ht="16.5" customHeight="1" x14ac:dyDescent="0.2">
      <c r="A135" s="6"/>
      <c r="B135" s="135">
        <f t="shared" si="44"/>
        <v>32</v>
      </c>
      <c r="C135" s="21">
        <f>'Kelas XII'!C128</f>
        <v>15887</v>
      </c>
      <c r="D135" s="34" t="str">
        <f>'Kelas XII'!D128</f>
        <v>SAIF NADINDRA MUNTAHA</v>
      </c>
      <c r="E135" s="16"/>
      <c r="F135" s="17"/>
      <c r="G135" s="16"/>
      <c r="H135" s="17"/>
      <c r="I135" s="16"/>
      <c r="J135" s="17"/>
      <c r="K135" s="16"/>
      <c r="L135" s="17"/>
      <c r="M135" s="16"/>
      <c r="N135" s="17"/>
      <c r="O135" s="16"/>
      <c r="P135" s="17"/>
      <c r="Q135" s="16"/>
      <c r="R135" s="17"/>
      <c r="S135" s="16"/>
      <c r="T135" s="17"/>
      <c r="U135" s="16"/>
      <c r="V135" s="17"/>
      <c r="W135" s="16"/>
      <c r="X135" s="17"/>
      <c r="Y135" s="16"/>
      <c r="Z135" s="17"/>
      <c r="AA135" s="16"/>
      <c r="AB135" s="17"/>
      <c r="AC135" s="16"/>
      <c r="AD135" s="121"/>
      <c r="AE135" s="16"/>
      <c r="AF135" s="115"/>
      <c r="AG135" s="111"/>
      <c r="AH135" s="139"/>
      <c r="AI135" s="16"/>
      <c r="AJ135" s="115"/>
      <c r="AK135" s="107"/>
    </row>
    <row r="136" spans="1:37" ht="16.5" customHeight="1" x14ac:dyDescent="0.2">
      <c r="A136" s="6"/>
      <c r="B136" s="135">
        <f t="shared" si="44"/>
        <v>33</v>
      </c>
      <c r="C136" s="21">
        <f>'Kelas XII'!C129</f>
        <v>15853</v>
      </c>
      <c r="D136" s="34" t="str">
        <f>'Kelas XII'!D129</f>
        <v>SYIHABUDDIN AHMAD HILAL</v>
      </c>
      <c r="E136" s="16"/>
      <c r="F136" s="17"/>
      <c r="G136" s="16"/>
      <c r="H136" s="17"/>
      <c r="I136" s="16"/>
      <c r="J136" s="17"/>
      <c r="K136" s="16"/>
      <c r="L136" s="17"/>
      <c r="M136" s="16"/>
      <c r="N136" s="17"/>
      <c r="O136" s="16"/>
      <c r="P136" s="17"/>
      <c r="Q136" s="16"/>
      <c r="R136" s="17"/>
      <c r="S136" s="16"/>
      <c r="T136" s="17"/>
      <c r="U136" s="16"/>
      <c r="V136" s="17"/>
      <c r="W136" s="16"/>
      <c r="X136" s="17"/>
      <c r="Y136" s="16"/>
      <c r="Z136" s="17"/>
      <c r="AA136" s="16"/>
      <c r="AB136" s="17"/>
      <c r="AC136" s="16"/>
      <c r="AD136" s="121"/>
      <c r="AE136" s="16"/>
      <c r="AF136" s="115"/>
      <c r="AG136" s="111"/>
      <c r="AH136" s="139"/>
      <c r="AI136" s="16"/>
      <c r="AJ136" s="115"/>
      <c r="AK136" s="107"/>
    </row>
    <row r="137" spans="1:37" ht="16.5" customHeight="1" x14ac:dyDescent="0.2">
      <c r="A137" s="6"/>
      <c r="B137" s="135">
        <f t="shared" si="44"/>
        <v>34</v>
      </c>
      <c r="C137" s="21">
        <f>'Kelas XII'!C130</f>
        <v>0</v>
      </c>
      <c r="D137" s="34">
        <f>'Kelas XII'!D130</f>
        <v>0</v>
      </c>
      <c r="E137" s="16"/>
      <c r="F137" s="17"/>
      <c r="G137" s="16"/>
      <c r="H137" s="17"/>
      <c r="I137" s="16"/>
      <c r="J137" s="17"/>
      <c r="K137" s="16"/>
      <c r="L137" s="17"/>
      <c r="M137" s="16"/>
      <c r="N137" s="17"/>
      <c r="O137" s="16"/>
      <c r="P137" s="17"/>
      <c r="Q137" s="16"/>
      <c r="R137" s="17"/>
      <c r="S137" s="16"/>
      <c r="T137" s="17"/>
      <c r="U137" s="16"/>
      <c r="V137" s="17"/>
      <c r="W137" s="16"/>
      <c r="X137" s="17"/>
      <c r="Y137" s="16"/>
      <c r="Z137" s="17"/>
      <c r="AA137" s="16"/>
      <c r="AB137" s="17"/>
      <c r="AC137" s="16"/>
      <c r="AD137" s="121"/>
      <c r="AE137" s="16"/>
      <c r="AF137" s="115"/>
      <c r="AG137" s="111"/>
      <c r="AH137" s="139"/>
      <c r="AI137" s="16"/>
      <c r="AJ137" s="115"/>
      <c r="AK137" s="107"/>
    </row>
    <row r="138" spans="1:37" ht="16.5" customHeight="1" x14ac:dyDescent="0.2">
      <c r="A138" s="6"/>
      <c r="B138" s="135">
        <f t="shared" si="44"/>
        <v>35</v>
      </c>
      <c r="C138" s="21">
        <f>'Kelas XII'!C131</f>
        <v>0</v>
      </c>
      <c r="D138" s="34">
        <f>'Kelas XII'!D131</f>
        <v>0</v>
      </c>
      <c r="E138" s="16"/>
      <c r="F138" s="17"/>
      <c r="G138" s="16"/>
      <c r="H138" s="17"/>
      <c r="I138" s="16"/>
      <c r="J138" s="17"/>
      <c r="K138" s="16"/>
      <c r="L138" s="17"/>
      <c r="M138" s="16"/>
      <c r="N138" s="17"/>
      <c r="O138" s="16"/>
      <c r="P138" s="17"/>
      <c r="Q138" s="16"/>
      <c r="R138" s="17"/>
      <c r="S138" s="16"/>
      <c r="T138" s="17"/>
      <c r="U138" s="16"/>
      <c r="V138" s="17"/>
      <c r="W138" s="16"/>
      <c r="X138" s="17"/>
      <c r="Y138" s="16"/>
      <c r="Z138" s="17"/>
      <c r="AA138" s="16"/>
      <c r="AB138" s="17"/>
      <c r="AC138" s="16"/>
      <c r="AD138" s="121"/>
      <c r="AE138" s="16"/>
      <c r="AF138" s="115"/>
      <c r="AG138" s="111"/>
      <c r="AH138" s="139"/>
      <c r="AI138" s="16"/>
      <c r="AJ138" s="115"/>
      <c r="AK138" s="107"/>
    </row>
    <row r="139" spans="1:37" ht="16.5" customHeight="1" x14ac:dyDescent="0.2">
      <c r="A139" s="6"/>
      <c r="B139" s="135">
        <f t="shared" si="44"/>
        <v>36</v>
      </c>
      <c r="C139" s="21">
        <f>'Kelas XII'!C132</f>
        <v>0</v>
      </c>
      <c r="D139" s="34">
        <f>'Kelas XII'!D132</f>
        <v>0</v>
      </c>
      <c r="E139" s="16"/>
      <c r="F139" s="17"/>
      <c r="G139" s="16"/>
      <c r="H139" s="17"/>
      <c r="I139" s="16"/>
      <c r="J139" s="17"/>
      <c r="K139" s="16"/>
      <c r="L139" s="17"/>
      <c r="M139" s="16"/>
      <c r="N139" s="17"/>
      <c r="O139" s="16"/>
      <c r="P139" s="17"/>
      <c r="Q139" s="16"/>
      <c r="R139" s="17"/>
      <c r="S139" s="16"/>
      <c r="T139" s="17"/>
      <c r="U139" s="16"/>
      <c r="V139" s="17"/>
      <c r="W139" s="16"/>
      <c r="X139" s="17"/>
      <c r="Y139" s="16"/>
      <c r="Z139" s="17"/>
      <c r="AA139" s="16"/>
      <c r="AB139" s="17"/>
      <c r="AC139" s="16"/>
      <c r="AD139" s="121"/>
      <c r="AE139" s="16"/>
      <c r="AF139" s="115"/>
      <c r="AG139" s="111"/>
      <c r="AH139" s="139"/>
      <c r="AI139" s="16"/>
      <c r="AJ139" s="115"/>
      <c r="AK139" s="107"/>
    </row>
    <row r="140" spans="1:37" ht="16.5" customHeight="1" thickBot="1" x14ac:dyDescent="0.25">
      <c r="A140" s="6"/>
      <c r="B140" s="143">
        <f t="shared" si="44"/>
        <v>37</v>
      </c>
      <c r="C140" s="144">
        <f>'Kelas XII'!C133</f>
        <v>0</v>
      </c>
      <c r="D140" s="147">
        <f>'Kelas XII'!D133</f>
        <v>0</v>
      </c>
      <c r="E140" s="18"/>
      <c r="F140" s="19"/>
      <c r="G140" s="18"/>
      <c r="H140" s="19"/>
      <c r="I140" s="18"/>
      <c r="J140" s="19"/>
      <c r="K140" s="18"/>
      <c r="L140" s="19"/>
      <c r="M140" s="18"/>
      <c r="N140" s="19"/>
      <c r="O140" s="18"/>
      <c r="P140" s="19"/>
      <c r="Q140" s="18"/>
      <c r="R140" s="19"/>
      <c r="S140" s="18"/>
      <c r="T140" s="19"/>
      <c r="U140" s="18"/>
      <c r="V140" s="19"/>
      <c r="W140" s="18"/>
      <c r="X140" s="19"/>
      <c r="Y140" s="18"/>
      <c r="Z140" s="19"/>
      <c r="AA140" s="18"/>
      <c r="AB140" s="19"/>
      <c r="AC140" s="18"/>
      <c r="AD140" s="122"/>
      <c r="AE140" s="18"/>
      <c r="AF140" s="116"/>
      <c r="AG140" s="112"/>
      <c r="AH140" s="140"/>
      <c r="AI140" s="18"/>
      <c r="AJ140" s="116"/>
      <c r="AK140" s="107"/>
    </row>
    <row r="141" spans="1:37" ht="16.5" customHeight="1" x14ac:dyDescent="0.2">
      <c r="A141" s="6"/>
      <c r="B141" s="6"/>
      <c r="C141" s="20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149"/>
      <c r="AK141" s="6"/>
    </row>
    <row r="142" spans="1:37" ht="16.5" customHeight="1" thickBo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150"/>
      <c r="AK142" s="6"/>
    </row>
    <row r="143" spans="1:37" ht="16.5" customHeight="1" x14ac:dyDescent="0.2">
      <c r="A143" s="6"/>
      <c r="B143" s="279"/>
      <c r="C143" s="280"/>
      <c r="D143" s="283" t="s">
        <v>3</v>
      </c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84"/>
      <c r="AB143" s="284"/>
      <c r="AC143" s="284"/>
      <c r="AD143" s="284"/>
      <c r="AE143" s="284"/>
      <c r="AF143" s="284"/>
      <c r="AG143" s="284"/>
      <c r="AH143" s="284"/>
      <c r="AI143" s="284"/>
      <c r="AJ143" s="285"/>
      <c r="AK143" s="107"/>
    </row>
    <row r="144" spans="1:37" ht="16.5" customHeight="1" x14ac:dyDescent="0.2">
      <c r="A144" s="6"/>
      <c r="B144" s="281"/>
      <c r="C144" s="282"/>
      <c r="D144" s="286" t="s">
        <v>4</v>
      </c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87"/>
      <c r="AB144" s="287"/>
      <c r="AC144" s="287"/>
      <c r="AD144" s="287"/>
      <c r="AE144" s="287"/>
      <c r="AF144" s="287"/>
      <c r="AG144" s="287"/>
      <c r="AH144" s="287"/>
      <c r="AI144" s="287"/>
      <c r="AJ144" s="288"/>
      <c r="AK144" s="107"/>
    </row>
    <row r="145" spans="1:37" ht="16.5" customHeight="1" x14ac:dyDescent="0.2">
      <c r="A145" s="6"/>
      <c r="B145" s="281"/>
      <c r="C145" s="282"/>
      <c r="D145" s="286" t="s">
        <v>547</v>
      </c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  <c r="AA145" s="287"/>
      <c r="AB145" s="287"/>
      <c r="AC145" s="287"/>
      <c r="AD145" s="287"/>
      <c r="AE145" s="287"/>
      <c r="AF145" s="287"/>
      <c r="AG145" s="287"/>
      <c r="AH145" s="287"/>
      <c r="AI145" s="287"/>
      <c r="AJ145" s="288"/>
      <c r="AK145" s="107"/>
    </row>
    <row r="146" spans="1:37" ht="16.5" customHeight="1" thickBot="1" x14ac:dyDescent="0.25">
      <c r="A146" s="6"/>
      <c r="B146" s="281"/>
      <c r="C146" s="282"/>
      <c r="D146" s="289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90"/>
      <c r="Q146" s="290"/>
      <c r="R146" s="290"/>
      <c r="S146" s="290"/>
      <c r="T146" s="290"/>
      <c r="U146" s="290"/>
      <c r="V146" s="290"/>
      <c r="W146" s="290"/>
      <c r="X146" s="290"/>
      <c r="Y146" s="290"/>
      <c r="Z146" s="290"/>
      <c r="AA146" s="290"/>
      <c r="AB146" s="290"/>
      <c r="AC146" s="290"/>
      <c r="AD146" s="290"/>
      <c r="AE146" s="290"/>
      <c r="AF146" s="290"/>
      <c r="AG146" s="290"/>
      <c r="AH146" s="290"/>
      <c r="AI146" s="290"/>
      <c r="AJ146" s="291"/>
      <c r="AK146" s="107"/>
    </row>
    <row r="147" spans="1:37" ht="16.5" customHeight="1" thickBot="1" x14ac:dyDescent="0.25">
      <c r="A147" s="6"/>
      <c r="B147" s="292"/>
      <c r="C147" s="293"/>
      <c r="D147" s="9" t="s">
        <v>252</v>
      </c>
      <c r="E147" s="10" t="s">
        <v>11</v>
      </c>
      <c r="F147" s="10"/>
      <c r="G147" s="10"/>
      <c r="H147" s="10"/>
      <c r="I147" s="10"/>
      <c r="J147" s="149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 t="s">
        <v>5</v>
      </c>
      <c r="AB147" s="10"/>
      <c r="AC147" s="10" t="s">
        <v>522</v>
      </c>
      <c r="AD147" s="10"/>
      <c r="AE147" s="10"/>
      <c r="AF147" s="10"/>
      <c r="AG147" s="10"/>
      <c r="AH147" s="10"/>
      <c r="AI147" s="10"/>
      <c r="AJ147" s="158"/>
      <c r="AK147" s="107"/>
    </row>
    <row r="148" spans="1:37" ht="16.5" customHeight="1" thickBot="1" x14ac:dyDescent="0.25">
      <c r="A148" s="6"/>
      <c r="B148" s="294" t="s">
        <v>6</v>
      </c>
      <c r="C148" s="294"/>
      <c r="D148" s="295" t="s">
        <v>7</v>
      </c>
      <c r="E148" s="292"/>
      <c r="F148" s="298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8"/>
      <c r="AA148" s="298"/>
      <c r="AB148" s="298"/>
      <c r="AC148" s="298"/>
      <c r="AD148" s="298"/>
      <c r="AE148" s="298"/>
      <c r="AF148" s="298"/>
      <c r="AG148" s="298"/>
      <c r="AH148" s="298"/>
      <c r="AI148" s="298"/>
      <c r="AJ148" s="293"/>
      <c r="AK148" s="107"/>
    </row>
    <row r="149" spans="1:37" ht="16.5" customHeight="1" thickBot="1" x14ac:dyDescent="0.25">
      <c r="A149" s="6"/>
      <c r="B149" s="295" t="s">
        <v>8</v>
      </c>
      <c r="C149" s="295" t="s">
        <v>9</v>
      </c>
      <c r="D149" s="296"/>
      <c r="E149" s="292">
        <f>E8</f>
        <v>17</v>
      </c>
      <c r="F149" s="298"/>
      <c r="G149" s="292">
        <f>E149+1</f>
        <v>18</v>
      </c>
      <c r="H149" s="298"/>
      <c r="I149" s="292">
        <f t="shared" ref="I149" si="45">G149+1</f>
        <v>19</v>
      </c>
      <c r="J149" s="298"/>
      <c r="K149" s="292">
        <f t="shared" ref="K149" si="46">I149+1</f>
        <v>20</v>
      </c>
      <c r="L149" s="298"/>
      <c r="M149" s="292">
        <f t="shared" ref="M149" si="47">K149+1</f>
        <v>21</v>
      </c>
      <c r="N149" s="298"/>
      <c r="O149" s="292">
        <f t="shared" ref="O149" si="48">M149+1</f>
        <v>22</v>
      </c>
      <c r="P149" s="298"/>
      <c r="Q149" s="292">
        <f t="shared" ref="Q149" si="49">O149+1</f>
        <v>23</v>
      </c>
      <c r="R149" s="298"/>
      <c r="S149" s="292">
        <f t="shared" ref="S149" si="50">Q149+1</f>
        <v>24</v>
      </c>
      <c r="T149" s="298"/>
      <c r="U149" s="292">
        <f t="shared" ref="U149" si="51">S149+1</f>
        <v>25</v>
      </c>
      <c r="V149" s="298"/>
      <c r="W149" s="292">
        <f t="shared" ref="W149" si="52">U149+1</f>
        <v>26</v>
      </c>
      <c r="X149" s="298"/>
      <c r="Y149" s="292">
        <f t="shared" ref="Y149" si="53">W149+1</f>
        <v>27</v>
      </c>
      <c r="Z149" s="298"/>
      <c r="AA149" s="292">
        <f t="shared" ref="AA149" si="54">Y149+1</f>
        <v>28</v>
      </c>
      <c r="AB149" s="298"/>
      <c r="AC149" s="292">
        <f t="shared" ref="AC149" si="55">AA149+1</f>
        <v>29</v>
      </c>
      <c r="AD149" s="298"/>
      <c r="AE149" s="292">
        <f t="shared" ref="AE149" si="56">AC149+1</f>
        <v>30</v>
      </c>
      <c r="AF149" s="298"/>
      <c r="AG149" s="292">
        <f t="shared" ref="AG149" si="57">AE149+1</f>
        <v>31</v>
      </c>
      <c r="AH149" s="298"/>
      <c r="AI149" s="292">
        <f t="shared" ref="AI149" si="58">AG149+1</f>
        <v>32</v>
      </c>
      <c r="AJ149" s="298"/>
      <c r="AK149" s="107"/>
    </row>
    <row r="150" spans="1:37" ht="24" customHeight="1" thickBot="1" x14ac:dyDescent="0.25">
      <c r="A150" s="6"/>
      <c r="B150" s="297"/>
      <c r="C150" s="297"/>
      <c r="D150" s="297"/>
      <c r="E150" s="108" t="s">
        <v>13</v>
      </c>
      <c r="F150" s="108" t="s">
        <v>14</v>
      </c>
      <c r="G150" s="108" t="s">
        <v>13</v>
      </c>
      <c r="H150" s="108" t="s">
        <v>14</v>
      </c>
      <c r="I150" s="108" t="s">
        <v>13</v>
      </c>
      <c r="J150" s="108" t="s">
        <v>14</v>
      </c>
      <c r="K150" s="108" t="s">
        <v>13</v>
      </c>
      <c r="L150" s="108" t="s">
        <v>14</v>
      </c>
      <c r="M150" s="108" t="s">
        <v>13</v>
      </c>
      <c r="N150" s="108" t="s">
        <v>14</v>
      </c>
      <c r="O150" s="108" t="s">
        <v>13</v>
      </c>
      <c r="P150" s="108" t="s">
        <v>14</v>
      </c>
      <c r="Q150" s="108" t="s">
        <v>13</v>
      </c>
      <c r="R150" s="108" t="s">
        <v>14</v>
      </c>
      <c r="S150" s="108" t="s">
        <v>13</v>
      </c>
      <c r="T150" s="108" t="s">
        <v>14</v>
      </c>
      <c r="U150" s="108" t="s">
        <v>13</v>
      </c>
      <c r="V150" s="108" t="s">
        <v>14</v>
      </c>
      <c r="W150" s="108" t="s">
        <v>13</v>
      </c>
      <c r="X150" s="108" t="s">
        <v>14</v>
      </c>
      <c r="Y150" s="108" t="s">
        <v>13</v>
      </c>
      <c r="Z150" s="108" t="s">
        <v>14</v>
      </c>
      <c r="AA150" s="108" t="s">
        <v>13</v>
      </c>
      <c r="AB150" s="108" t="s">
        <v>14</v>
      </c>
      <c r="AC150" s="108" t="s">
        <v>13</v>
      </c>
      <c r="AD150" s="108" t="s">
        <v>14</v>
      </c>
      <c r="AE150" s="108" t="s">
        <v>13</v>
      </c>
      <c r="AF150" s="108" t="s">
        <v>14</v>
      </c>
      <c r="AG150" s="108" t="s">
        <v>13</v>
      </c>
      <c r="AH150" s="108" t="s">
        <v>14</v>
      </c>
      <c r="AI150" s="108" t="s">
        <v>13</v>
      </c>
      <c r="AJ150" s="108" t="s">
        <v>14</v>
      </c>
      <c r="AK150" s="107"/>
    </row>
    <row r="151" spans="1:37" ht="16.5" customHeight="1" x14ac:dyDescent="0.2">
      <c r="A151" s="6"/>
      <c r="B151" s="21">
        <v>1</v>
      </c>
      <c r="C151" s="22">
        <f>'Kelas XII'!C143</f>
        <v>15926</v>
      </c>
      <c r="D151" s="34" t="str">
        <f>'Kelas XII'!D143</f>
        <v>ACHMAD HISYAM AZIZI PRAKOSO</v>
      </c>
      <c r="E151" s="12"/>
      <c r="F151" s="13"/>
      <c r="G151" s="12"/>
      <c r="H151" s="13"/>
      <c r="I151" s="12"/>
      <c r="J151" s="13"/>
      <c r="K151" s="12"/>
      <c r="L151" s="13"/>
      <c r="M151" s="12"/>
      <c r="N151" s="13"/>
      <c r="O151" s="12"/>
      <c r="P151" s="13"/>
      <c r="Q151" s="12"/>
      <c r="R151" s="13"/>
      <c r="S151" s="12"/>
      <c r="T151" s="13"/>
      <c r="U151" s="12"/>
      <c r="V151" s="13"/>
      <c r="W151" s="12"/>
      <c r="X151" s="13"/>
      <c r="Y151" s="12"/>
      <c r="Z151" s="13"/>
      <c r="AA151" s="12"/>
      <c r="AB151" s="13"/>
      <c r="AC151" s="12"/>
      <c r="AD151" s="119"/>
      <c r="AE151" s="118"/>
      <c r="AF151" s="136"/>
      <c r="AG151" s="109"/>
      <c r="AH151" s="137"/>
      <c r="AI151" s="118"/>
      <c r="AJ151" s="113"/>
      <c r="AK151" s="107"/>
    </row>
    <row r="152" spans="1:37" ht="16.5" customHeight="1" x14ac:dyDescent="0.2">
      <c r="A152" s="6"/>
      <c r="B152" s="135">
        <f t="shared" ref="B152:B187" si="59">B151+1</f>
        <v>2</v>
      </c>
      <c r="C152" s="135">
        <f>'Kelas XII'!C144</f>
        <v>15856</v>
      </c>
      <c r="D152" s="34" t="str">
        <f>'Kelas XII'!D144</f>
        <v>AHMAD FAUZI ARDHIANSYAH</v>
      </c>
      <c r="E152" s="14"/>
      <c r="F152" s="15"/>
      <c r="G152" s="14"/>
      <c r="H152" s="15"/>
      <c r="I152" s="14"/>
      <c r="J152" s="15"/>
      <c r="K152" s="14"/>
      <c r="L152" s="15"/>
      <c r="M152" s="14"/>
      <c r="N152" s="15"/>
      <c r="O152" s="14"/>
      <c r="P152" s="15"/>
      <c r="Q152" s="14"/>
      <c r="R152" s="15"/>
      <c r="S152" s="14"/>
      <c r="T152" s="15"/>
      <c r="U152" s="14"/>
      <c r="V152" s="15"/>
      <c r="W152" s="14"/>
      <c r="X152" s="15"/>
      <c r="Y152" s="14"/>
      <c r="Z152" s="15"/>
      <c r="AA152" s="14"/>
      <c r="AB152" s="15"/>
      <c r="AC152" s="14"/>
      <c r="AD152" s="120"/>
      <c r="AE152" s="14"/>
      <c r="AF152" s="114"/>
      <c r="AG152" s="110"/>
      <c r="AH152" s="138"/>
      <c r="AI152" s="14"/>
      <c r="AJ152" s="114"/>
      <c r="AK152" s="107"/>
    </row>
    <row r="153" spans="1:37" ht="16.5" customHeight="1" x14ac:dyDescent="0.2">
      <c r="A153" s="6"/>
      <c r="B153" s="135">
        <f t="shared" si="59"/>
        <v>3</v>
      </c>
      <c r="C153" s="135">
        <f>'Kelas XII'!C145</f>
        <v>15928</v>
      </c>
      <c r="D153" s="34" t="str">
        <f>'Kelas XII'!D145</f>
        <v>AHMAD MAULANA ISHAQ</v>
      </c>
      <c r="E153" s="14"/>
      <c r="F153" s="15"/>
      <c r="G153" s="14"/>
      <c r="H153" s="15"/>
      <c r="I153" s="14"/>
      <c r="J153" s="15"/>
      <c r="K153" s="14"/>
      <c r="L153" s="15"/>
      <c r="M153" s="14"/>
      <c r="N153" s="15"/>
      <c r="O153" s="14"/>
      <c r="P153" s="15"/>
      <c r="Q153" s="14"/>
      <c r="R153" s="15"/>
      <c r="S153" s="14"/>
      <c r="T153" s="15"/>
      <c r="U153" s="14"/>
      <c r="V153" s="15"/>
      <c r="W153" s="14"/>
      <c r="X153" s="15"/>
      <c r="Y153" s="14"/>
      <c r="Z153" s="15"/>
      <c r="AA153" s="14"/>
      <c r="AB153" s="15"/>
      <c r="AC153" s="14"/>
      <c r="AD153" s="120"/>
      <c r="AE153" s="14"/>
      <c r="AF153" s="114"/>
      <c r="AG153" s="110"/>
      <c r="AH153" s="138"/>
      <c r="AI153" s="14"/>
      <c r="AJ153" s="114"/>
      <c r="AK153" s="107"/>
    </row>
    <row r="154" spans="1:37" ht="16.5" customHeight="1" x14ac:dyDescent="0.2">
      <c r="A154" s="6"/>
      <c r="B154" s="135">
        <f t="shared" si="59"/>
        <v>4</v>
      </c>
      <c r="C154" s="135">
        <f>'Kelas XII'!C146</f>
        <v>15859</v>
      </c>
      <c r="D154" s="34" t="str">
        <f>'Kelas XII'!D146</f>
        <v>AHMED TANGGUH MAULANA FIRDAUS</v>
      </c>
      <c r="E154" s="14"/>
      <c r="F154" s="15"/>
      <c r="G154" s="14"/>
      <c r="H154" s="15"/>
      <c r="I154" s="14"/>
      <c r="J154" s="15"/>
      <c r="K154" s="14"/>
      <c r="L154" s="15"/>
      <c r="M154" s="14"/>
      <c r="N154" s="15"/>
      <c r="O154" s="14"/>
      <c r="P154" s="15"/>
      <c r="Q154" s="14"/>
      <c r="R154" s="15"/>
      <c r="S154" s="14"/>
      <c r="T154" s="15"/>
      <c r="U154" s="14"/>
      <c r="V154" s="15"/>
      <c r="W154" s="14"/>
      <c r="X154" s="15"/>
      <c r="Y154" s="14"/>
      <c r="Z154" s="15"/>
      <c r="AA154" s="14"/>
      <c r="AB154" s="15"/>
      <c r="AC154" s="14"/>
      <c r="AD154" s="120"/>
      <c r="AE154" s="14"/>
      <c r="AF154" s="114"/>
      <c r="AG154" s="110"/>
      <c r="AH154" s="138"/>
      <c r="AI154" s="14"/>
      <c r="AJ154" s="114"/>
      <c r="AK154" s="107"/>
    </row>
    <row r="155" spans="1:37" ht="16.5" customHeight="1" x14ac:dyDescent="0.2">
      <c r="A155" s="6"/>
      <c r="B155" s="135">
        <f t="shared" si="59"/>
        <v>5</v>
      </c>
      <c r="C155" s="135">
        <f>'Kelas XII'!C147</f>
        <v>15894</v>
      </c>
      <c r="D155" s="34" t="str">
        <f>'Kelas XII'!D147</f>
        <v>ANTONI BAYU PRASETYO</v>
      </c>
      <c r="E155" s="14"/>
      <c r="F155" s="15"/>
      <c r="G155" s="14"/>
      <c r="H155" s="15"/>
      <c r="I155" s="14"/>
      <c r="J155" s="15"/>
      <c r="K155" s="14"/>
      <c r="L155" s="15"/>
      <c r="M155" s="14"/>
      <c r="N155" s="15"/>
      <c r="O155" s="14"/>
      <c r="P155" s="15"/>
      <c r="Q155" s="14"/>
      <c r="R155" s="15"/>
      <c r="S155" s="14"/>
      <c r="T155" s="15"/>
      <c r="U155" s="14"/>
      <c r="V155" s="15"/>
      <c r="W155" s="14"/>
      <c r="X155" s="15"/>
      <c r="Y155" s="14"/>
      <c r="Z155" s="15"/>
      <c r="AA155" s="14"/>
      <c r="AB155" s="15"/>
      <c r="AC155" s="14"/>
      <c r="AD155" s="120"/>
      <c r="AE155" s="14"/>
      <c r="AF155" s="114"/>
      <c r="AG155" s="110"/>
      <c r="AH155" s="138"/>
      <c r="AI155" s="14"/>
      <c r="AJ155" s="114"/>
      <c r="AK155" s="107"/>
    </row>
    <row r="156" spans="1:37" ht="16.5" customHeight="1" x14ac:dyDescent="0.2">
      <c r="A156" s="6"/>
      <c r="B156" s="135">
        <f t="shared" si="59"/>
        <v>6</v>
      </c>
      <c r="C156" s="135">
        <f>'Kelas XII'!C148</f>
        <v>15827</v>
      </c>
      <c r="D156" s="34" t="str">
        <f>'Kelas XII'!D148</f>
        <v>ARIF KURNIAWAN</v>
      </c>
      <c r="E156" s="14"/>
      <c r="F156" s="15"/>
      <c r="G156" s="14"/>
      <c r="H156" s="15"/>
      <c r="I156" s="14"/>
      <c r="J156" s="15"/>
      <c r="K156" s="14"/>
      <c r="L156" s="15"/>
      <c r="M156" s="14"/>
      <c r="N156" s="15"/>
      <c r="O156" s="14"/>
      <c r="P156" s="15"/>
      <c r="Q156" s="14"/>
      <c r="R156" s="15"/>
      <c r="S156" s="14"/>
      <c r="T156" s="15"/>
      <c r="U156" s="14"/>
      <c r="V156" s="15"/>
      <c r="W156" s="14"/>
      <c r="X156" s="15"/>
      <c r="Y156" s="14"/>
      <c r="Z156" s="15"/>
      <c r="AA156" s="14"/>
      <c r="AB156" s="15"/>
      <c r="AC156" s="14"/>
      <c r="AD156" s="120"/>
      <c r="AE156" s="14"/>
      <c r="AF156" s="114"/>
      <c r="AG156" s="110"/>
      <c r="AH156" s="138"/>
      <c r="AI156" s="14"/>
      <c r="AJ156" s="114"/>
      <c r="AK156" s="107"/>
    </row>
    <row r="157" spans="1:37" ht="16.5" customHeight="1" x14ac:dyDescent="0.2">
      <c r="A157" s="6"/>
      <c r="B157" s="135">
        <f t="shared" si="59"/>
        <v>7</v>
      </c>
      <c r="C157" s="135">
        <f>'Kelas XII'!C149</f>
        <v>15895</v>
      </c>
      <c r="D157" s="34" t="str">
        <f>'Kelas XII'!D149</f>
        <v>AZRI HAZIQ KAMIL</v>
      </c>
      <c r="E157" s="14"/>
      <c r="F157" s="15"/>
      <c r="G157" s="14"/>
      <c r="H157" s="15"/>
      <c r="I157" s="14"/>
      <c r="J157" s="15"/>
      <c r="K157" s="14"/>
      <c r="L157" s="15"/>
      <c r="M157" s="14"/>
      <c r="N157" s="15"/>
      <c r="O157" s="14"/>
      <c r="P157" s="15"/>
      <c r="Q157" s="14"/>
      <c r="R157" s="15"/>
      <c r="S157" s="14"/>
      <c r="T157" s="15"/>
      <c r="U157" s="14"/>
      <c r="V157" s="15"/>
      <c r="W157" s="14"/>
      <c r="X157" s="15"/>
      <c r="Y157" s="14"/>
      <c r="Z157" s="15"/>
      <c r="AA157" s="14"/>
      <c r="AB157" s="15"/>
      <c r="AC157" s="14"/>
      <c r="AD157" s="120"/>
      <c r="AE157" s="14"/>
      <c r="AF157" s="114"/>
      <c r="AG157" s="110"/>
      <c r="AH157" s="138"/>
      <c r="AI157" s="14"/>
      <c r="AJ157" s="114"/>
      <c r="AK157" s="107"/>
    </row>
    <row r="158" spans="1:37" ht="16.5" customHeight="1" x14ac:dyDescent="0.2">
      <c r="A158" s="6"/>
      <c r="B158" s="135">
        <f t="shared" si="59"/>
        <v>8</v>
      </c>
      <c r="C158" s="135">
        <f>'Kelas XII'!C150</f>
        <v>15829</v>
      </c>
      <c r="D158" s="34" t="str">
        <f>'Kelas XII'!D150</f>
        <v>AZZAM NAUFAL PRADIPTA DUSTIN ARY WIBOWO</v>
      </c>
      <c r="E158" s="14"/>
      <c r="F158" s="15"/>
      <c r="G158" s="14"/>
      <c r="H158" s="15"/>
      <c r="I158" s="14"/>
      <c r="J158" s="15"/>
      <c r="K158" s="14"/>
      <c r="L158" s="15"/>
      <c r="M158" s="14"/>
      <c r="N158" s="15"/>
      <c r="O158" s="14"/>
      <c r="P158" s="15"/>
      <c r="Q158" s="14"/>
      <c r="R158" s="15"/>
      <c r="S158" s="14"/>
      <c r="T158" s="15"/>
      <c r="U158" s="14"/>
      <c r="V158" s="15"/>
      <c r="W158" s="14"/>
      <c r="X158" s="15"/>
      <c r="Y158" s="14"/>
      <c r="Z158" s="15"/>
      <c r="AA158" s="14"/>
      <c r="AB158" s="15"/>
      <c r="AC158" s="14"/>
      <c r="AD158" s="120"/>
      <c r="AE158" s="14"/>
      <c r="AF158" s="114"/>
      <c r="AG158" s="110"/>
      <c r="AH158" s="138"/>
      <c r="AI158" s="14"/>
      <c r="AJ158" s="114"/>
      <c r="AK158" s="107"/>
    </row>
    <row r="159" spans="1:37" ht="16.5" customHeight="1" x14ac:dyDescent="0.2">
      <c r="A159" s="6"/>
      <c r="B159" s="135">
        <f t="shared" si="59"/>
        <v>9</v>
      </c>
      <c r="C159" s="135">
        <f>'Kelas XII'!C151</f>
        <v>15830</v>
      </c>
      <c r="D159" s="34" t="str">
        <f>'Kelas XII'!D151</f>
        <v>DAFFA ADIB FADHLURRAHMAN</v>
      </c>
      <c r="E159" s="14"/>
      <c r="F159" s="15"/>
      <c r="G159" s="14"/>
      <c r="H159" s="15"/>
      <c r="I159" s="14"/>
      <c r="J159" s="15"/>
      <c r="K159" s="14"/>
      <c r="L159" s="15"/>
      <c r="M159" s="14"/>
      <c r="N159" s="15"/>
      <c r="O159" s="14"/>
      <c r="P159" s="15"/>
      <c r="Q159" s="14"/>
      <c r="R159" s="15"/>
      <c r="S159" s="14"/>
      <c r="T159" s="15"/>
      <c r="U159" s="14"/>
      <c r="V159" s="15"/>
      <c r="W159" s="14"/>
      <c r="X159" s="15"/>
      <c r="Y159" s="14"/>
      <c r="Z159" s="15"/>
      <c r="AA159" s="14"/>
      <c r="AB159" s="15"/>
      <c r="AC159" s="14"/>
      <c r="AD159" s="120"/>
      <c r="AE159" s="14"/>
      <c r="AF159" s="114"/>
      <c r="AG159" s="110"/>
      <c r="AH159" s="138"/>
      <c r="AI159" s="14"/>
      <c r="AJ159" s="114"/>
      <c r="AK159" s="107"/>
    </row>
    <row r="160" spans="1:37" ht="16.5" customHeight="1" x14ac:dyDescent="0.2">
      <c r="A160" s="6"/>
      <c r="B160" s="135">
        <f t="shared" si="59"/>
        <v>10</v>
      </c>
      <c r="C160" s="135">
        <f>'Kelas XII'!C152</f>
        <v>15865</v>
      </c>
      <c r="D160" s="34" t="str">
        <f>'Kelas XII'!D152</f>
        <v>FARHAN AFIF ADIANSYAH</v>
      </c>
      <c r="E160" s="14"/>
      <c r="F160" s="15"/>
      <c r="G160" s="14"/>
      <c r="H160" s="15"/>
      <c r="I160" s="14"/>
      <c r="J160" s="15"/>
      <c r="K160" s="14"/>
      <c r="L160" s="15"/>
      <c r="M160" s="14"/>
      <c r="N160" s="15"/>
      <c r="O160" s="14"/>
      <c r="P160" s="15"/>
      <c r="Q160" s="14"/>
      <c r="R160" s="15"/>
      <c r="S160" s="14"/>
      <c r="T160" s="15"/>
      <c r="U160" s="14"/>
      <c r="V160" s="15"/>
      <c r="W160" s="14"/>
      <c r="X160" s="15"/>
      <c r="Y160" s="14"/>
      <c r="Z160" s="15"/>
      <c r="AA160" s="14"/>
      <c r="AB160" s="15"/>
      <c r="AC160" s="14"/>
      <c r="AD160" s="120"/>
      <c r="AE160" s="14"/>
      <c r="AF160" s="114"/>
      <c r="AG160" s="110"/>
      <c r="AH160" s="138"/>
      <c r="AI160" s="14"/>
      <c r="AJ160" s="114"/>
      <c r="AK160" s="107"/>
    </row>
    <row r="161" spans="1:37" ht="16.5" customHeight="1" x14ac:dyDescent="0.2">
      <c r="A161" s="6"/>
      <c r="B161" s="135">
        <f t="shared" si="59"/>
        <v>11</v>
      </c>
      <c r="C161" s="135">
        <f>'Kelas XII'!C153</f>
        <v>15898</v>
      </c>
      <c r="D161" s="34" t="str">
        <f>'Kelas XII'!D153</f>
        <v>FATHURROHMAN</v>
      </c>
      <c r="E161" s="14"/>
      <c r="F161" s="15"/>
      <c r="G161" s="14"/>
      <c r="H161" s="15"/>
      <c r="I161" s="14"/>
      <c r="J161" s="15"/>
      <c r="K161" s="14"/>
      <c r="L161" s="15"/>
      <c r="M161" s="14"/>
      <c r="N161" s="15"/>
      <c r="O161" s="14"/>
      <c r="P161" s="15"/>
      <c r="Q161" s="14"/>
      <c r="R161" s="15"/>
      <c r="S161" s="14"/>
      <c r="T161" s="15"/>
      <c r="U161" s="14"/>
      <c r="V161" s="15"/>
      <c r="W161" s="14"/>
      <c r="X161" s="15"/>
      <c r="Y161" s="14"/>
      <c r="Z161" s="15"/>
      <c r="AA161" s="14"/>
      <c r="AB161" s="15"/>
      <c r="AC161" s="14"/>
      <c r="AD161" s="120"/>
      <c r="AE161" s="14"/>
      <c r="AF161" s="114"/>
      <c r="AG161" s="110"/>
      <c r="AH161" s="138"/>
      <c r="AI161" s="14"/>
      <c r="AJ161" s="114"/>
      <c r="AK161" s="107"/>
    </row>
    <row r="162" spans="1:37" ht="16.5" customHeight="1" x14ac:dyDescent="0.2">
      <c r="A162" s="6"/>
      <c r="B162" s="135">
        <f t="shared" si="59"/>
        <v>12</v>
      </c>
      <c r="C162" s="135">
        <f>'Kelas XII'!C154</f>
        <v>15899</v>
      </c>
      <c r="D162" s="34" t="str">
        <f>'Kelas XII'!D154</f>
        <v>HASBI FATURROHMAN</v>
      </c>
      <c r="E162" s="14"/>
      <c r="F162" s="15"/>
      <c r="G162" s="14"/>
      <c r="H162" s="15"/>
      <c r="I162" s="14"/>
      <c r="J162" s="15"/>
      <c r="K162" s="14"/>
      <c r="L162" s="15"/>
      <c r="M162" s="14"/>
      <c r="N162" s="15"/>
      <c r="O162" s="14"/>
      <c r="P162" s="15"/>
      <c r="Q162" s="14"/>
      <c r="R162" s="15"/>
      <c r="S162" s="14"/>
      <c r="T162" s="15"/>
      <c r="U162" s="14"/>
      <c r="V162" s="15"/>
      <c r="W162" s="14"/>
      <c r="X162" s="15"/>
      <c r="Y162" s="14"/>
      <c r="Z162" s="15"/>
      <c r="AA162" s="14"/>
      <c r="AB162" s="15"/>
      <c r="AC162" s="14"/>
      <c r="AD162" s="120"/>
      <c r="AE162" s="14"/>
      <c r="AF162" s="114"/>
      <c r="AG162" s="110"/>
      <c r="AH162" s="138"/>
      <c r="AI162" s="14"/>
      <c r="AJ162" s="114"/>
      <c r="AK162" s="107"/>
    </row>
    <row r="163" spans="1:37" ht="16.5" customHeight="1" x14ac:dyDescent="0.2">
      <c r="A163" s="6"/>
      <c r="B163" s="135">
        <f t="shared" si="59"/>
        <v>13</v>
      </c>
      <c r="C163" s="135">
        <f>'Kelas XII'!C155</f>
        <v>16077</v>
      </c>
      <c r="D163" s="34" t="str">
        <f>'Kelas XII'!D155</f>
        <v>KINZA ALHAM PURWADI</v>
      </c>
      <c r="E163" s="14"/>
      <c r="F163" s="15"/>
      <c r="G163" s="14"/>
      <c r="H163" s="15"/>
      <c r="I163" s="14"/>
      <c r="J163" s="15"/>
      <c r="K163" s="14"/>
      <c r="L163" s="15"/>
      <c r="M163" s="14"/>
      <c r="N163" s="15"/>
      <c r="O163" s="14"/>
      <c r="P163" s="15"/>
      <c r="Q163" s="14"/>
      <c r="R163" s="15"/>
      <c r="S163" s="14"/>
      <c r="T163" s="15"/>
      <c r="U163" s="14"/>
      <c r="V163" s="15"/>
      <c r="W163" s="14"/>
      <c r="X163" s="15"/>
      <c r="Y163" s="14"/>
      <c r="Z163" s="15"/>
      <c r="AA163" s="14"/>
      <c r="AB163" s="15"/>
      <c r="AC163" s="14"/>
      <c r="AD163" s="120"/>
      <c r="AE163" s="14"/>
      <c r="AF163" s="114"/>
      <c r="AG163" s="110"/>
      <c r="AH163" s="138"/>
      <c r="AI163" s="14"/>
      <c r="AJ163" s="114"/>
      <c r="AK163" s="107"/>
    </row>
    <row r="164" spans="1:37" ht="16.5" customHeight="1" x14ac:dyDescent="0.2">
      <c r="A164" s="6"/>
      <c r="B164" s="135">
        <f t="shared" si="59"/>
        <v>14</v>
      </c>
      <c r="C164" s="135">
        <f>'Kelas XII'!C156</f>
        <v>15902</v>
      </c>
      <c r="D164" s="34" t="str">
        <f>'Kelas XII'!D156</f>
        <v>M. NUR HASAN</v>
      </c>
      <c r="E164" s="14"/>
      <c r="F164" s="15"/>
      <c r="G164" s="14"/>
      <c r="H164" s="15"/>
      <c r="I164" s="14"/>
      <c r="J164" s="15"/>
      <c r="K164" s="14"/>
      <c r="L164" s="15"/>
      <c r="M164" s="14"/>
      <c r="N164" s="15"/>
      <c r="O164" s="14"/>
      <c r="P164" s="15"/>
      <c r="Q164" s="14"/>
      <c r="R164" s="15"/>
      <c r="S164" s="14"/>
      <c r="T164" s="15"/>
      <c r="U164" s="14"/>
      <c r="V164" s="15"/>
      <c r="W164" s="14"/>
      <c r="X164" s="15"/>
      <c r="Y164" s="14"/>
      <c r="Z164" s="15"/>
      <c r="AA164" s="14"/>
      <c r="AB164" s="15"/>
      <c r="AC164" s="14"/>
      <c r="AD164" s="120"/>
      <c r="AE164" s="14"/>
      <c r="AF164" s="114"/>
      <c r="AG164" s="110"/>
      <c r="AH164" s="138"/>
      <c r="AI164" s="14"/>
      <c r="AJ164" s="114"/>
      <c r="AK164" s="107"/>
    </row>
    <row r="165" spans="1:37" ht="16.5" customHeight="1" x14ac:dyDescent="0.2">
      <c r="A165" s="6"/>
      <c r="B165" s="135">
        <f t="shared" si="59"/>
        <v>15</v>
      </c>
      <c r="C165" s="135">
        <f>'Kelas XII'!C157</f>
        <v>15905</v>
      </c>
      <c r="D165" s="34" t="str">
        <f>'Kelas XII'!D157</f>
        <v>MIRZA ANDI ALVIAN</v>
      </c>
      <c r="E165" s="14"/>
      <c r="F165" s="15"/>
      <c r="G165" s="14"/>
      <c r="H165" s="15"/>
      <c r="I165" s="14"/>
      <c r="J165" s="15"/>
      <c r="K165" s="14"/>
      <c r="L165" s="15"/>
      <c r="M165" s="14"/>
      <c r="N165" s="15"/>
      <c r="O165" s="14"/>
      <c r="P165" s="15"/>
      <c r="Q165" s="14"/>
      <c r="R165" s="15"/>
      <c r="S165" s="14"/>
      <c r="T165" s="15"/>
      <c r="U165" s="14"/>
      <c r="V165" s="15"/>
      <c r="W165" s="14"/>
      <c r="X165" s="15"/>
      <c r="Y165" s="14"/>
      <c r="Z165" s="15"/>
      <c r="AA165" s="14"/>
      <c r="AB165" s="15"/>
      <c r="AC165" s="14"/>
      <c r="AD165" s="120"/>
      <c r="AE165" s="14"/>
      <c r="AF165" s="114"/>
      <c r="AG165" s="110"/>
      <c r="AH165" s="138"/>
      <c r="AI165" s="14"/>
      <c r="AJ165" s="114"/>
      <c r="AK165" s="107"/>
    </row>
    <row r="166" spans="1:37" ht="16.5" customHeight="1" x14ac:dyDescent="0.2">
      <c r="A166" s="6"/>
      <c r="B166" s="135">
        <f t="shared" si="59"/>
        <v>16</v>
      </c>
      <c r="C166" s="135">
        <f>'Kelas XII'!C158</f>
        <v>15946</v>
      </c>
      <c r="D166" s="34" t="str">
        <f>'Kelas XII'!D158</f>
        <v>MUHAMMAD NABIL FARHAN</v>
      </c>
      <c r="E166" s="14"/>
      <c r="F166" s="15"/>
      <c r="G166" s="14"/>
      <c r="H166" s="15"/>
      <c r="I166" s="14"/>
      <c r="J166" s="15"/>
      <c r="K166" s="14"/>
      <c r="L166" s="15"/>
      <c r="M166" s="14"/>
      <c r="N166" s="15"/>
      <c r="O166" s="14"/>
      <c r="P166" s="15"/>
      <c r="Q166" s="14"/>
      <c r="R166" s="15"/>
      <c r="S166" s="14"/>
      <c r="T166" s="15"/>
      <c r="U166" s="14"/>
      <c r="V166" s="15"/>
      <c r="W166" s="14"/>
      <c r="X166" s="15"/>
      <c r="Y166" s="14"/>
      <c r="Z166" s="15"/>
      <c r="AA166" s="14"/>
      <c r="AB166" s="15"/>
      <c r="AC166" s="14"/>
      <c r="AD166" s="120"/>
      <c r="AE166" s="14"/>
      <c r="AF166" s="114"/>
      <c r="AG166" s="110"/>
      <c r="AH166" s="138"/>
      <c r="AI166" s="14"/>
      <c r="AJ166" s="114"/>
      <c r="AK166" s="107"/>
    </row>
    <row r="167" spans="1:37" ht="16.5" customHeight="1" x14ac:dyDescent="0.2">
      <c r="A167" s="6"/>
      <c r="B167" s="135">
        <f t="shared" si="59"/>
        <v>17</v>
      </c>
      <c r="C167" s="135">
        <f>'Kelas XII'!C159</f>
        <v>15916</v>
      </c>
      <c r="D167" s="34" t="str">
        <f>'Kelas XII'!D159</f>
        <v>MUHAMMAD SAYYID PANATAGAMA</v>
      </c>
      <c r="E167" s="14"/>
      <c r="F167" s="15"/>
      <c r="G167" s="14"/>
      <c r="H167" s="15"/>
      <c r="I167" s="14"/>
      <c r="J167" s="15"/>
      <c r="K167" s="14"/>
      <c r="L167" s="15"/>
      <c r="M167" s="14"/>
      <c r="N167" s="15"/>
      <c r="O167" s="14"/>
      <c r="P167" s="15"/>
      <c r="Q167" s="14"/>
      <c r="R167" s="15"/>
      <c r="S167" s="14"/>
      <c r="T167" s="15"/>
      <c r="U167" s="14"/>
      <c r="V167" s="15"/>
      <c r="W167" s="14"/>
      <c r="X167" s="15"/>
      <c r="Y167" s="14"/>
      <c r="Z167" s="15"/>
      <c r="AA167" s="14"/>
      <c r="AB167" s="15"/>
      <c r="AC167" s="14"/>
      <c r="AD167" s="120"/>
      <c r="AE167" s="14"/>
      <c r="AF167" s="114"/>
      <c r="AG167" s="110"/>
      <c r="AH167" s="138"/>
      <c r="AI167" s="14"/>
      <c r="AJ167" s="114"/>
      <c r="AK167" s="107"/>
    </row>
    <row r="168" spans="1:37" ht="16.5" customHeight="1" x14ac:dyDescent="0.2">
      <c r="A168" s="6"/>
      <c r="B168" s="135">
        <f t="shared" si="59"/>
        <v>18</v>
      </c>
      <c r="C168" s="135">
        <f>'Kelas XII'!C160</f>
        <v>15917</v>
      </c>
      <c r="D168" s="34" t="str">
        <f>'Kelas XII'!D160</f>
        <v>MUHAMMAD VARDHAN SAPUTRA</v>
      </c>
      <c r="E168" s="14"/>
      <c r="F168" s="15"/>
      <c r="G168" s="14"/>
      <c r="H168" s="15"/>
      <c r="I168" s="14"/>
      <c r="J168" s="15"/>
      <c r="K168" s="14"/>
      <c r="L168" s="15"/>
      <c r="M168" s="14"/>
      <c r="N168" s="15"/>
      <c r="O168" s="14"/>
      <c r="P168" s="15"/>
      <c r="Q168" s="14"/>
      <c r="R168" s="15"/>
      <c r="S168" s="14"/>
      <c r="T168" s="15"/>
      <c r="U168" s="14"/>
      <c r="V168" s="15"/>
      <c r="W168" s="14"/>
      <c r="X168" s="15"/>
      <c r="Y168" s="14"/>
      <c r="Z168" s="15"/>
      <c r="AA168" s="14"/>
      <c r="AB168" s="15"/>
      <c r="AC168" s="14"/>
      <c r="AD168" s="120"/>
      <c r="AE168" s="14"/>
      <c r="AF168" s="114"/>
      <c r="AG168" s="110"/>
      <c r="AH168" s="138"/>
      <c r="AI168" s="14"/>
      <c r="AJ168" s="114"/>
      <c r="AK168" s="107"/>
    </row>
    <row r="169" spans="1:37" ht="16.5" customHeight="1" x14ac:dyDescent="0.2">
      <c r="A169" s="6"/>
      <c r="B169" s="135">
        <f t="shared" si="59"/>
        <v>19</v>
      </c>
      <c r="C169" s="135">
        <f>'Kelas XII'!C161</f>
        <v>15950</v>
      </c>
      <c r="D169" s="34" t="str">
        <f>'Kelas XII'!D161</f>
        <v>MUHAMMAD ZAFIR HAIKAL</v>
      </c>
      <c r="E169" s="14"/>
      <c r="F169" s="15"/>
      <c r="G169" s="14"/>
      <c r="H169" s="15"/>
      <c r="I169" s="14"/>
      <c r="J169" s="15"/>
      <c r="K169" s="14"/>
      <c r="L169" s="15"/>
      <c r="M169" s="14"/>
      <c r="N169" s="15"/>
      <c r="O169" s="14"/>
      <c r="P169" s="15"/>
      <c r="Q169" s="14"/>
      <c r="R169" s="15"/>
      <c r="S169" s="14"/>
      <c r="T169" s="15"/>
      <c r="U169" s="14"/>
      <c r="V169" s="15"/>
      <c r="W169" s="14"/>
      <c r="X169" s="15"/>
      <c r="Y169" s="14"/>
      <c r="Z169" s="15"/>
      <c r="AA169" s="14"/>
      <c r="AB169" s="15"/>
      <c r="AC169" s="14"/>
      <c r="AD169" s="120"/>
      <c r="AE169" s="14"/>
      <c r="AF169" s="114"/>
      <c r="AG169" s="110"/>
      <c r="AH169" s="138"/>
      <c r="AI169" s="14"/>
      <c r="AJ169" s="114"/>
      <c r="AK169" s="107"/>
    </row>
    <row r="170" spans="1:37" ht="16.5" customHeight="1" x14ac:dyDescent="0.2">
      <c r="A170" s="6"/>
      <c r="B170" s="135">
        <f t="shared" si="59"/>
        <v>20</v>
      </c>
      <c r="C170" s="135">
        <f>'Kelas XII'!C162</f>
        <v>15922</v>
      </c>
      <c r="D170" s="34" t="str">
        <f>'Kelas XII'!D162</f>
        <v>RADINKA RIDHO ZAIDAN</v>
      </c>
      <c r="E170" s="14"/>
      <c r="F170" s="15"/>
      <c r="G170" s="14"/>
      <c r="H170" s="15"/>
      <c r="I170" s="14"/>
      <c r="J170" s="15"/>
      <c r="K170" s="14"/>
      <c r="L170" s="15"/>
      <c r="M170" s="14"/>
      <c r="N170" s="15"/>
      <c r="O170" s="14"/>
      <c r="P170" s="15"/>
      <c r="Q170" s="14"/>
      <c r="R170" s="15"/>
      <c r="S170" s="14"/>
      <c r="T170" s="15"/>
      <c r="U170" s="14"/>
      <c r="V170" s="15"/>
      <c r="W170" s="14"/>
      <c r="X170" s="15"/>
      <c r="Y170" s="14"/>
      <c r="Z170" s="15"/>
      <c r="AA170" s="14"/>
      <c r="AB170" s="15"/>
      <c r="AC170" s="14"/>
      <c r="AD170" s="120"/>
      <c r="AE170" s="14"/>
      <c r="AF170" s="114"/>
      <c r="AG170" s="110"/>
      <c r="AH170" s="138"/>
      <c r="AI170" s="14"/>
      <c r="AJ170" s="114"/>
      <c r="AK170" s="107"/>
    </row>
    <row r="171" spans="1:37" ht="16.5" customHeight="1" x14ac:dyDescent="0.2">
      <c r="A171" s="6"/>
      <c r="B171" s="135">
        <f t="shared" si="59"/>
        <v>21</v>
      </c>
      <c r="C171" s="135">
        <f>'Kelas XII'!C163</f>
        <v>15884</v>
      </c>
      <c r="D171" s="34" t="str">
        <f>'Kelas XII'!D163</f>
        <v>RAFFI NUR RAHMAT</v>
      </c>
      <c r="E171" s="14"/>
      <c r="F171" s="15"/>
      <c r="G171" s="14"/>
      <c r="H171" s="15"/>
      <c r="I171" s="14"/>
      <c r="J171" s="15"/>
      <c r="K171" s="14"/>
      <c r="L171" s="15"/>
      <c r="M171" s="14"/>
      <c r="N171" s="15"/>
      <c r="O171" s="14"/>
      <c r="P171" s="15"/>
      <c r="Q171" s="14"/>
      <c r="R171" s="15"/>
      <c r="S171" s="14"/>
      <c r="T171" s="15"/>
      <c r="U171" s="14"/>
      <c r="V171" s="15"/>
      <c r="W171" s="14"/>
      <c r="X171" s="15"/>
      <c r="Y171" s="14"/>
      <c r="Z171" s="15"/>
      <c r="AA171" s="14"/>
      <c r="AB171" s="15"/>
      <c r="AC171" s="14"/>
      <c r="AD171" s="120"/>
      <c r="AE171" s="14"/>
      <c r="AF171" s="114"/>
      <c r="AG171" s="110"/>
      <c r="AH171" s="138"/>
      <c r="AI171" s="14"/>
      <c r="AJ171" s="114"/>
      <c r="AK171" s="107"/>
    </row>
    <row r="172" spans="1:37" ht="16.5" customHeight="1" x14ac:dyDescent="0.2">
      <c r="A172" s="6"/>
      <c r="B172" s="135">
        <f t="shared" si="59"/>
        <v>22</v>
      </c>
      <c r="C172" s="135">
        <f>'Kelas XII'!C164</f>
        <v>15954</v>
      </c>
      <c r="D172" s="34" t="str">
        <f>'Kelas XII'!D164</f>
        <v>RAHMAT ZAKIY HAMDANI</v>
      </c>
      <c r="E172" s="14"/>
      <c r="F172" s="15"/>
      <c r="G172" s="14"/>
      <c r="H172" s="15"/>
      <c r="I172" s="14"/>
      <c r="J172" s="15"/>
      <c r="K172" s="14"/>
      <c r="L172" s="15"/>
      <c r="M172" s="14"/>
      <c r="N172" s="15"/>
      <c r="O172" s="14"/>
      <c r="P172" s="15"/>
      <c r="Q172" s="14"/>
      <c r="R172" s="15"/>
      <c r="S172" s="14"/>
      <c r="T172" s="15"/>
      <c r="U172" s="14"/>
      <c r="V172" s="15"/>
      <c r="W172" s="14"/>
      <c r="X172" s="15"/>
      <c r="Y172" s="14"/>
      <c r="Z172" s="15"/>
      <c r="AA172" s="14"/>
      <c r="AB172" s="15"/>
      <c r="AC172" s="14"/>
      <c r="AD172" s="120"/>
      <c r="AE172" s="14"/>
      <c r="AF172" s="114"/>
      <c r="AG172" s="110"/>
      <c r="AH172" s="138"/>
      <c r="AI172" s="14"/>
      <c r="AJ172" s="114"/>
      <c r="AK172" s="107"/>
    </row>
    <row r="173" spans="1:37" ht="16.5" customHeight="1" x14ac:dyDescent="0.2">
      <c r="A173" s="6"/>
      <c r="B173" s="135">
        <f t="shared" si="59"/>
        <v>23</v>
      </c>
      <c r="C173" s="135">
        <f>'Kelas XII'!C165</f>
        <v>15923</v>
      </c>
      <c r="D173" s="34" t="str">
        <f>'Kelas XII'!D165</f>
        <v>RANGGA BAGUS SUCIPTO</v>
      </c>
      <c r="E173" s="14"/>
      <c r="F173" s="15"/>
      <c r="G173" s="14"/>
      <c r="H173" s="15"/>
      <c r="I173" s="14"/>
      <c r="J173" s="15"/>
      <c r="K173" s="14"/>
      <c r="L173" s="15"/>
      <c r="M173" s="14"/>
      <c r="N173" s="15"/>
      <c r="O173" s="14"/>
      <c r="P173" s="15"/>
      <c r="Q173" s="14"/>
      <c r="R173" s="15"/>
      <c r="S173" s="14"/>
      <c r="T173" s="15"/>
      <c r="U173" s="14"/>
      <c r="V173" s="15"/>
      <c r="W173" s="14"/>
      <c r="X173" s="15"/>
      <c r="Y173" s="14"/>
      <c r="Z173" s="15"/>
      <c r="AA173" s="14"/>
      <c r="AB173" s="15"/>
      <c r="AC173" s="14"/>
      <c r="AD173" s="120"/>
      <c r="AE173" s="14"/>
      <c r="AF173" s="114"/>
      <c r="AG173" s="110"/>
      <c r="AH173" s="138"/>
      <c r="AI173" s="14"/>
      <c r="AJ173" s="114"/>
      <c r="AK173" s="107"/>
    </row>
    <row r="174" spans="1:37" ht="16.5" customHeight="1" x14ac:dyDescent="0.2">
      <c r="A174" s="6"/>
      <c r="B174" s="135">
        <f t="shared" si="59"/>
        <v>24</v>
      </c>
      <c r="C174" s="135">
        <f>'Kelas XII'!C166</f>
        <v>15957</v>
      </c>
      <c r="D174" s="34" t="str">
        <f>'Kelas XII'!D166</f>
        <v>RAZIEL AHMAD ALBANI</v>
      </c>
      <c r="E174" s="14"/>
      <c r="F174" s="15"/>
      <c r="G174" s="14"/>
      <c r="H174" s="15"/>
      <c r="I174" s="14"/>
      <c r="J174" s="15"/>
      <c r="K174" s="14"/>
      <c r="L174" s="15"/>
      <c r="M174" s="14"/>
      <c r="N174" s="15"/>
      <c r="O174" s="14"/>
      <c r="P174" s="15"/>
      <c r="Q174" s="14"/>
      <c r="R174" s="15"/>
      <c r="S174" s="14"/>
      <c r="T174" s="15"/>
      <c r="U174" s="14"/>
      <c r="V174" s="15"/>
      <c r="W174" s="14"/>
      <c r="X174" s="15"/>
      <c r="Y174" s="14"/>
      <c r="Z174" s="15"/>
      <c r="AA174" s="14"/>
      <c r="AB174" s="15"/>
      <c r="AC174" s="14"/>
      <c r="AD174" s="120"/>
      <c r="AE174" s="14"/>
      <c r="AF174" s="114"/>
      <c r="AG174" s="110"/>
      <c r="AH174" s="138"/>
      <c r="AI174" s="14"/>
      <c r="AJ174" s="114"/>
      <c r="AK174" s="107"/>
    </row>
    <row r="175" spans="1:37" ht="16.5" customHeight="1" x14ac:dyDescent="0.2">
      <c r="A175" s="6"/>
      <c r="B175" s="135">
        <f t="shared" si="59"/>
        <v>25</v>
      </c>
      <c r="C175" s="135">
        <f>'Kelas XII'!C167</f>
        <v>15886</v>
      </c>
      <c r="D175" s="34" t="str">
        <f>'Kelas XII'!D167</f>
        <v>RIDHO MAULANA RIFA'I</v>
      </c>
      <c r="E175" s="14"/>
      <c r="F175" s="15"/>
      <c r="G175" s="14"/>
      <c r="H175" s="15"/>
      <c r="I175" s="14"/>
      <c r="J175" s="15"/>
      <c r="K175" s="14"/>
      <c r="L175" s="15"/>
      <c r="M175" s="14"/>
      <c r="N175" s="15"/>
      <c r="O175" s="14"/>
      <c r="P175" s="15"/>
      <c r="Q175" s="14"/>
      <c r="R175" s="15"/>
      <c r="S175" s="14"/>
      <c r="T175" s="15"/>
      <c r="U175" s="14"/>
      <c r="V175" s="15"/>
      <c r="W175" s="14"/>
      <c r="X175" s="15"/>
      <c r="Y175" s="14"/>
      <c r="Z175" s="15"/>
      <c r="AA175" s="14"/>
      <c r="AB175" s="15"/>
      <c r="AC175" s="14"/>
      <c r="AD175" s="120"/>
      <c r="AE175" s="14"/>
      <c r="AF175" s="114"/>
      <c r="AG175" s="110"/>
      <c r="AH175" s="138"/>
      <c r="AI175" s="14"/>
      <c r="AJ175" s="114"/>
      <c r="AK175" s="107"/>
    </row>
    <row r="176" spans="1:37" ht="16.5" customHeight="1" x14ac:dyDescent="0.2">
      <c r="A176" s="6"/>
      <c r="B176" s="135">
        <f t="shared" si="59"/>
        <v>26</v>
      </c>
      <c r="C176" s="135">
        <f>'Kelas XII'!C168</f>
        <v>15852</v>
      </c>
      <c r="D176" s="34" t="str">
        <f>'Kelas XII'!D168</f>
        <v>SYAFIQ HAMADI NAZWAN</v>
      </c>
      <c r="E176" s="14"/>
      <c r="F176" s="15"/>
      <c r="G176" s="14"/>
      <c r="H176" s="15"/>
      <c r="I176" s="14"/>
      <c r="J176" s="15"/>
      <c r="K176" s="14"/>
      <c r="L176" s="15"/>
      <c r="M176" s="14"/>
      <c r="N176" s="15"/>
      <c r="O176" s="14"/>
      <c r="P176" s="15"/>
      <c r="Q176" s="14"/>
      <c r="R176" s="15"/>
      <c r="S176" s="14"/>
      <c r="T176" s="15"/>
      <c r="U176" s="14"/>
      <c r="V176" s="15"/>
      <c r="W176" s="14"/>
      <c r="X176" s="15"/>
      <c r="Y176" s="14"/>
      <c r="Z176" s="15"/>
      <c r="AA176" s="14"/>
      <c r="AB176" s="15"/>
      <c r="AC176" s="14"/>
      <c r="AD176" s="120"/>
      <c r="AE176" s="14"/>
      <c r="AF176" s="114"/>
      <c r="AG176" s="110"/>
      <c r="AH176" s="138"/>
      <c r="AI176" s="14"/>
      <c r="AJ176" s="114"/>
      <c r="AK176" s="107"/>
    </row>
    <row r="177" spans="1:37" ht="16.5" customHeight="1" x14ac:dyDescent="0.2">
      <c r="A177" s="6"/>
      <c r="B177" s="135">
        <f t="shared" si="59"/>
        <v>27</v>
      </c>
      <c r="C177" s="135">
        <f>'Kelas XII'!C169</f>
        <v>15959</v>
      </c>
      <c r="D177" s="34" t="str">
        <f>'Kelas XII'!D169</f>
        <v>TB ARYA ZAKY AL-GHIFARI</v>
      </c>
      <c r="E177" s="14"/>
      <c r="F177" s="15"/>
      <c r="G177" s="14"/>
      <c r="H177" s="15"/>
      <c r="I177" s="14"/>
      <c r="J177" s="15"/>
      <c r="K177" s="14"/>
      <c r="L177" s="15"/>
      <c r="M177" s="14"/>
      <c r="N177" s="15"/>
      <c r="O177" s="14"/>
      <c r="P177" s="15"/>
      <c r="Q177" s="14"/>
      <c r="R177" s="15"/>
      <c r="S177" s="14"/>
      <c r="T177" s="15"/>
      <c r="U177" s="14"/>
      <c r="V177" s="15"/>
      <c r="W177" s="14"/>
      <c r="X177" s="15"/>
      <c r="Y177" s="14"/>
      <c r="Z177" s="15"/>
      <c r="AA177" s="14"/>
      <c r="AB177" s="15"/>
      <c r="AC177" s="14"/>
      <c r="AD177" s="120"/>
      <c r="AE177" s="14"/>
      <c r="AF177" s="114"/>
      <c r="AG177" s="110"/>
      <c r="AH177" s="138"/>
      <c r="AI177" s="14"/>
      <c r="AJ177" s="114"/>
      <c r="AK177" s="107"/>
    </row>
    <row r="178" spans="1:37" ht="16.5" customHeight="1" x14ac:dyDescent="0.2">
      <c r="A178" s="6"/>
      <c r="B178" s="135">
        <f t="shared" si="59"/>
        <v>28</v>
      </c>
      <c r="C178" s="135">
        <f>'Kelas XII'!C170</f>
        <v>15888</v>
      </c>
      <c r="D178" s="34" t="str">
        <f>'Kelas XII'!D170</f>
        <v>THORIQ AL FARIDZI DZULFIKAR WIBOWO</v>
      </c>
      <c r="E178" s="16"/>
      <c r="F178" s="17"/>
      <c r="G178" s="16"/>
      <c r="H178" s="17"/>
      <c r="I178" s="16"/>
      <c r="J178" s="17"/>
      <c r="K178" s="16"/>
      <c r="L178" s="17"/>
      <c r="M178" s="16"/>
      <c r="N178" s="17"/>
      <c r="O178" s="16"/>
      <c r="P178" s="17"/>
      <c r="Q178" s="16"/>
      <c r="R178" s="17"/>
      <c r="S178" s="16"/>
      <c r="T178" s="17"/>
      <c r="U178" s="16"/>
      <c r="V178" s="17"/>
      <c r="W178" s="16"/>
      <c r="X178" s="17"/>
      <c r="Y178" s="16"/>
      <c r="Z178" s="17"/>
      <c r="AA178" s="16"/>
      <c r="AB178" s="17"/>
      <c r="AC178" s="16"/>
      <c r="AD178" s="121"/>
      <c r="AE178" s="16"/>
      <c r="AF178" s="115"/>
      <c r="AG178" s="111"/>
      <c r="AH178" s="139"/>
      <c r="AI178" s="16"/>
      <c r="AJ178" s="115"/>
      <c r="AK178" s="107"/>
    </row>
    <row r="179" spans="1:37" ht="16.5" customHeight="1" x14ac:dyDescent="0.2">
      <c r="A179" s="6"/>
      <c r="B179" s="135">
        <f t="shared" si="59"/>
        <v>29</v>
      </c>
      <c r="C179" s="135">
        <f>'Kelas XII'!C171</f>
        <v>15854</v>
      </c>
      <c r="D179" s="34" t="str">
        <f>'Kelas XII'!D171</f>
        <v>WISNU DWI PRADANA PUTRA</v>
      </c>
      <c r="E179" s="16"/>
      <c r="F179" s="17"/>
      <c r="G179" s="16"/>
      <c r="H179" s="17"/>
      <c r="I179" s="16"/>
      <c r="J179" s="17"/>
      <c r="K179" s="16"/>
      <c r="L179" s="17"/>
      <c r="M179" s="16"/>
      <c r="N179" s="17"/>
      <c r="O179" s="16"/>
      <c r="P179" s="17"/>
      <c r="Q179" s="16"/>
      <c r="R179" s="17"/>
      <c r="S179" s="16"/>
      <c r="T179" s="17"/>
      <c r="U179" s="16"/>
      <c r="V179" s="17"/>
      <c r="W179" s="16"/>
      <c r="X179" s="17"/>
      <c r="Y179" s="16"/>
      <c r="Z179" s="17"/>
      <c r="AA179" s="16"/>
      <c r="AB179" s="17"/>
      <c r="AC179" s="16"/>
      <c r="AD179" s="121"/>
      <c r="AE179" s="16"/>
      <c r="AF179" s="115"/>
      <c r="AG179" s="111"/>
      <c r="AH179" s="139"/>
      <c r="AI179" s="16"/>
      <c r="AJ179" s="115"/>
      <c r="AK179" s="107"/>
    </row>
    <row r="180" spans="1:37" ht="16.5" customHeight="1" x14ac:dyDescent="0.2">
      <c r="A180" s="6"/>
      <c r="B180" s="135">
        <f t="shared" si="59"/>
        <v>30</v>
      </c>
      <c r="C180" s="135">
        <f>'Kelas XII'!C172</f>
        <v>0</v>
      </c>
      <c r="D180" s="34">
        <f>'Kelas XII'!D172</f>
        <v>0</v>
      </c>
      <c r="E180" s="16"/>
      <c r="F180" s="17"/>
      <c r="G180" s="16"/>
      <c r="H180" s="17"/>
      <c r="I180" s="16"/>
      <c r="J180" s="17"/>
      <c r="K180" s="16"/>
      <c r="L180" s="17"/>
      <c r="M180" s="16"/>
      <c r="N180" s="17"/>
      <c r="O180" s="16"/>
      <c r="P180" s="17"/>
      <c r="Q180" s="16"/>
      <c r="R180" s="17"/>
      <c r="S180" s="16"/>
      <c r="T180" s="17"/>
      <c r="U180" s="16"/>
      <c r="V180" s="17"/>
      <c r="W180" s="16"/>
      <c r="X180" s="17"/>
      <c r="Y180" s="16"/>
      <c r="Z180" s="17"/>
      <c r="AA180" s="16"/>
      <c r="AB180" s="17"/>
      <c r="AC180" s="16"/>
      <c r="AD180" s="121"/>
      <c r="AE180" s="16"/>
      <c r="AF180" s="115"/>
      <c r="AG180" s="111"/>
      <c r="AH180" s="139"/>
      <c r="AI180" s="16"/>
      <c r="AJ180" s="115"/>
      <c r="AK180" s="107"/>
    </row>
    <row r="181" spans="1:37" ht="16.5" customHeight="1" x14ac:dyDescent="0.2">
      <c r="A181" s="6"/>
      <c r="B181" s="135">
        <f t="shared" si="59"/>
        <v>31</v>
      </c>
      <c r="C181" s="135">
        <f>'Kelas XII'!C173</f>
        <v>0</v>
      </c>
      <c r="D181" s="34">
        <f>'Kelas XII'!D173</f>
        <v>0</v>
      </c>
      <c r="E181" s="16"/>
      <c r="F181" s="17"/>
      <c r="G181" s="16"/>
      <c r="H181" s="17"/>
      <c r="I181" s="16"/>
      <c r="J181" s="17"/>
      <c r="K181" s="16"/>
      <c r="L181" s="17"/>
      <c r="M181" s="16"/>
      <c r="N181" s="17"/>
      <c r="O181" s="16"/>
      <c r="P181" s="17"/>
      <c r="Q181" s="16"/>
      <c r="R181" s="17"/>
      <c r="S181" s="16"/>
      <c r="T181" s="17"/>
      <c r="U181" s="16"/>
      <c r="V181" s="17"/>
      <c r="W181" s="16"/>
      <c r="X181" s="17"/>
      <c r="Y181" s="16"/>
      <c r="Z181" s="17"/>
      <c r="AA181" s="16"/>
      <c r="AB181" s="17"/>
      <c r="AC181" s="16"/>
      <c r="AD181" s="121"/>
      <c r="AE181" s="16"/>
      <c r="AF181" s="115"/>
      <c r="AG181" s="111"/>
      <c r="AH181" s="139"/>
      <c r="AI181" s="16"/>
      <c r="AJ181" s="115"/>
      <c r="AK181" s="107"/>
    </row>
    <row r="182" spans="1:37" ht="16.5" customHeight="1" x14ac:dyDescent="0.2">
      <c r="A182" s="6"/>
      <c r="B182" s="135">
        <f t="shared" si="59"/>
        <v>32</v>
      </c>
      <c r="C182" s="135">
        <f>'Kelas XII'!C174</f>
        <v>0</v>
      </c>
      <c r="D182" s="34">
        <f>'Kelas XII'!D174</f>
        <v>0</v>
      </c>
      <c r="E182" s="16"/>
      <c r="F182" s="17"/>
      <c r="G182" s="16"/>
      <c r="H182" s="17"/>
      <c r="I182" s="16"/>
      <c r="J182" s="17"/>
      <c r="K182" s="16"/>
      <c r="L182" s="17"/>
      <c r="M182" s="16"/>
      <c r="N182" s="17"/>
      <c r="O182" s="16"/>
      <c r="P182" s="17"/>
      <c r="Q182" s="16"/>
      <c r="R182" s="17"/>
      <c r="S182" s="16"/>
      <c r="T182" s="17"/>
      <c r="U182" s="16"/>
      <c r="V182" s="17"/>
      <c r="W182" s="16"/>
      <c r="X182" s="17"/>
      <c r="Y182" s="16"/>
      <c r="Z182" s="17"/>
      <c r="AA182" s="16"/>
      <c r="AB182" s="17"/>
      <c r="AC182" s="16"/>
      <c r="AD182" s="121"/>
      <c r="AE182" s="16"/>
      <c r="AF182" s="115"/>
      <c r="AG182" s="111"/>
      <c r="AH182" s="139"/>
      <c r="AI182" s="16"/>
      <c r="AJ182" s="115"/>
      <c r="AK182" s="107"/>
    </row>
    <row r="183" spans="1:37" ht="16.5" customHeight="1" x14ac:dyDescent="0.2">
      <c r="A183" s="6"/>
      <c r="B183" s="135">
        <f t="shared" si="59"/>
        <v>33</v>
      </c>
      <c r="C183" s="135">
        <f>'Kelas XII'!C175</f>
        <v>0</v>
      </c>
      <c r="D183" s="34">
        <f>'Kelas XII'!D175</f>
        <v>0</v>
      </c>
      <c r="E183" s="16"/>
      <c r="F183" s="17"/>
      <c r="G183" s="16"/>
      <c r="H183" s="17"/>
      <c r="I183" s="16"/>
      <c r="J183" s="17"/>
      <c r="K183" s="16"/>
      <c r="L183" s="17"/>
      <c r="M183" s="16"/>
      <c r="N183" s="17"/>
      <c r="O183" s="16"/>
      <c r="P183" s="17"/>
      <c r="Q183" s="16"/>
      <c r="R183" s="17"/>
      <c r="S183" s="16"/>
      <c r="T183" s="17"/>
      <c r="U183" s="16"/>
      <c r="V183" s="17"/>
      <c r="W183" s="16"/>
      <c r="X183" s="17"/>
      <c r="Y183" s="16"/>
      <c r="Z183" s="17"/>
      <c r="AA183" s="16"/>
      <c r="AB183" s="17"/>
      <c r="AC183" s="16"/>
      <c r="AD183" s="121"/>
      <c r="AE183" s="16"/>
      <c r="AF183" s="115"/>
      <c r="AG183" s="111"/>
      <c r="AH183" s="139"/>
      <c r="AI183" s="16"/>
      <c r="AJ183" s="115"/>
      <c r="AK183" s="107"/>
    </row>
    <row r="184" spans="1:37" ht="16.5" customHeight="1" x14ac:dyDescent="0.2">
      <c r="A184" s="6"/>
      <c r="B184" s="135">
        <f t="shared" si="59"/>
        <v>34</v>
      </c>
      <c r="C184" s="135">
        <f>'Kelas XII'!C176</f>
        <v>0</v>
      </c>
      <c r="D184" s="34">
        <f>'Kelas XII'!D176</f>
        <v>0</v>
      </c>
      <c r="E184" s="16"/>
      <c r="F184" s="17"/>
      <c r="G184" s="16"/>
      <c r="H184" s="17"/>
      <c r="I184" s="16"/>
      <c r="J184" s="17"/>
      <c r="K184" s="16"/>
      <c r="L184" s="17"/>
      <c r="M184" s="16"/>
      <c r="N184" s="17"/>
      <c r="O184" s="16"/>
      <c r="P184" s="17"/>
      <c r="Q184" s="16"/>
      <c r="R184" s="17"/>
      <c r="S184" s="16"/>
      <c r="T184" s="17"/>
      <c r="U184" s="16"/>
      <c r="V184" s="17"/>
      <c r="W184" s="16"/>
      <c r="X184" s="17"/>
      <c r="Y184" s="16"/>
      <c r="Z184" s="17"/>
      <c r="AA184" s="16"/>
      <c r="AB184" s="17"/>
      <c r="AC184" s="16"/>
      <c r="AD184" s="121"/>
      <c r="AE184" s="16"/>
      <c r="AF184" s="115"/>
      <c r="AG184" s="111"/>
      <c r="AH184" s="139"/>
      <c r="AI184" s="16"/>
      <c r="AJ184" s="115"/>
      <c r="AK184" s="107"/>
    </row>
    <row r="185" spans="1:37" ht="16.5" customHeight="1" x14ac:dyDescent="0.2">
      <c r="A185" s="6"/>
      <c r="B185" s="135">
        <f t="shared" si="59"/>
        <v>35</v>
      </c>
      <c r="C185" s="135">
        <f>'Kelas XII'!C177</f>
        <v>0</v>
      </c>
      <c r="D185" s="253" t="str">
        <f>'Kelas XII'!D177</f>
        <v xml:space="preserve">     </v>
      </c>
      <c r="E185" s="16"/>
      <c r="F185" s="17"/>
      <c r="G185" s="16"/>
      <c r="H185" s="17"/>
      <c r="I185" s="16"/>
      <c r="J185" s="17"/>
      <c r="K185" s="16"/>
      <c r="L185" s="17"/>
      <c r="M185" s="16"/>
      <c r="N185" s="17"/>
      <c r="O185" s="16"/>
      <c r="P185" s="17"/>
      <c r="Q185" s="16"/>
      <c r="R185" s="17"/>
      <c r="S185" s="16"/>
      <c r="T185" s="17"/>
      <c r="U185" s="16"/>
      <c r="V185" s="17"/>
      <c r="W185" s="16"/>
      <c r="X185" s="17"/>
      <c r="Y185" s="16"/>
      <c r="Z185" s="17"/>
      <c r="AA185" s="16"/>
      <c r="AB185" s="17"/>
      <c r="AC185" s="16"/>
      <c r="AD185" s="121"/>
      <c r="AE185" s="16"/>
      <c r="AF185" s="115"/>
      <c r="AG185" s="111"/>
      <c r="AH185" s="139"/>
      <c r="AI185" s="16"/>
      <c r="AJ185" s="115"/>
      <c r="AK185" s="107"/>
    </row>
    <row r="186" spans="1:37" ht="16.5" customHeight="1" x14ac:dyDescent="0.2">
      <c r="A186" s="6"/>
      <c r="B186" s="135">
        <f t="shared" si="59"/>
        <v>36</v>
      </c>
      <c r="C186" s="135">
        <f>'Kelas XII'!C178</f>
        <v>0</v>
      </c>
      <c r="D186" s="34">
        <f>'Kelas XII'!D178</f>
        <v>0</v>
      </c>
      <c r="E186" s="16"/>
      <c r="F186" s="17"/>
      <c r="G186" s="16"/>
      <c r="H186" s="17"/>
      <c r="I186" s="16"/>
      <c r="J186" s="17"/>
      <c r="K186" s="16"/>
      <c r="L186" s="17"/>
      <c r="M186" s="16"/>
      <c r="N186" s="17"/>
      <c r="O186" s="16"/>
      <c r="P186" s="17"/>
      <c r="Q186" s="16"/>
      <c r="R186" s="17"/>
      <c r="S186" s="16"/>
      <c r="T186" s="17"/>
      <c r="U186" s="16"/>
      <c r="V186" s="17"/>
      <c r="W186" s="16"/>
      <c r="X186" s="17"/>
      <c r="Y186" s="16"/>
      <c r="Z186" s="17"/>
      <c r="AA186" s="16"/>
      <c r="AB186" s="17"/>
      <c r="AC186" s="16"/>
      <c r="AD186" s="121"/>
      <c r="AE186" s="16"/>
      <c r="AF186" s="115"/>
      <c r="AG186" s="111"/>
      <c r="AH186" s="139"/>
      <c r="AI186" s="16"/>
      <c r="AJ186" s="115"/>
      <c r="AK186" s="107"/>
    </row>
    <row r="187" spans="1:37" ht="16.5" customHeight="1" thickBot="1" x14ac:dyDescent="0.25">
      <c r="A187" s="6"/>
      <c r="B187" s="143">
        <f t="shared" si="59"/>
        <v>37</v>
      </c>
      <c r="C187" s="143">
        <f>'Kelas XII'!C179</f>
        <v>0</v>
      </c>
      <c r="D187" s="147">
        <f>'Kelas XII'!D179</f>
        <v>0</v>
      </c>
      <c r="E187" s="18"/>
      <c r="F187" s="19"/>
      <c r="G187" s="18"/>
      <c r="H187" s="19"/>
      <c r="I187" s="18"/>
      <c r="J187" s="19"/>
      <c r="K187" s="18"/>
      <c r="L187" s="19"/>
      <c r="M187" s="18"/>
      <c r="N187" s="19"/>
      <c r="O187" s="18"/>
      <c r="P187" s="19"/>
      <c r="Q187" s="18"/>
      <c r="R187" s="19"/>
      <c r="S187" s="18"/>
      <c r="T187" s="19"/>
      <c r="U187" s="18"/>
      <c r="V187" s="19"/>
      <c r="W187" s="18"/>
      <c r="X187" s="19"/>
      <c r="Y187" s="18"/>
      <c r="Z187" s="19"/>
      <c r="AA187" s="18"/>
      <c r="AB187" s="19"/>
      <c r="AC187" s="18"/>
      <c r="AD187" s="122"/>
      <c r="AE187" s="18"/>
      <c r="AF187" s="116"/>
      <c r="AG187" s="112"/>
      <c r="AH187" s="140"/>
      <c r="AI187" s="18"/>
      <c r="AJ187" s="116"/>
      <c r="AK187" s="107"/>
    </row>
    <row r="188" spans="1:37" ht="16.5" customHeight="1" x14ac:dyDescent="0.2">
      <c r="A188" s="6"/>
      <c r="B188" s="6"/>
      <c r="C188" s="20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149"/>
      <c r="AK188" s="6"/>
    </row>
    <row r="189" spans="1:37" ht="16.5" customHeight="1" thickBo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150"/>
      <c r="AK189" s="6"/>
    </row>
    <row r="190" spans="1:37" ht="16.5" customHeight="1" x14ac:dyDescent="0.2">
      <c r="A190" s="6"/>
      <c r="B190" s="279"/>
      <c r="C190" s="280"/>
      <c r="D190" s="283" t="s">
        <v>3</v>
      </c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84"/>
      <c r="AB190" s="284"/>
      <c r="AC190" s="284"/>
      <c r="AD190" s="284"/>
      <c r="AE190" s="284"/>
      <c r="AF190" s="284"/>
      <c r="AG190" s="284"/>
      <c r="AH190" s="284"/>
      <c r="AI190" s="284"/>
      <c r="AJ190" s="285"/>
      <c r="AK190" s="107"/>
    </row>
    <row r="191" spans="1:37" ht="16.5" customHeight="1" x14ac:dyDescent="0.2">
      <c r="A191" s="6"/>
      <c r="B191" s="281"/>
      <c r="C191" s="282"/>
      <c r="D191" s="286" t="s">
        <v>4</v>
      </c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87"/>
      <c r="AB191" s="287"/>
      <c r="AC191" s="287"/>
      <c r="AD191" s="287"/>
      <c r="AE191" s="287"/>
      <c r="AF191" s="287"/>
      <c r="AG191" s="287"/>
      <c r="AH191" s="287"/>
      <c r="AI191" s="287"/>
      <c r="AJ191" s="288"/>
      <c r="AK191" s="107"/>
    </row>
    <row r="192" spans="1:37" ht="16.5" customHeight="1" x14ac:dyDescent="0.2">
      <c r="A192" s="6"/>
      <c r="B192" s="281"/>
      <c r="C192" s="282"/>
      <c r="D192" s="286" t="s">
        <v>547</v>
      </c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87"/>
      <c r="AB192" s="287"/>
      <c r="AC192" s="287"/>
      <c r="AD192" s="287"/>
      <c r="AE192" s="287"/>
      <c r="AF192" s="287"/>
      <c r="AG192" s="287"/>
      <c r="AH192" s="287"/>
      <c r="AI192" s="287"/>
      <c r="AJ192" s="288"/>
      <c r="AK192" s="107"/>
    </row>
    <row r="193" spans="1:37" ht="16.5" customHeight="1" thickBot="1" x14ac:dyDescent="0.25">
      <c r="A193" s="6"/>
      <c r="B193" s="281"/>
      <c r="C193" s="282"/>
      <c r="D193" s="289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0"/>
      <c r="P193" s="290"/>
      <c r="Q193" s="290"/>
      <c r="R193" s="290"/>
      <c r="S193" s="290"/>
      <c r="T193" s="290"/>
      <c r="U193" s="290"/>
      <c r="V193" s="290"/>
      <c r="W193" s="290"/>
      <c r="X193" s="290"/>
      <c r="Y193" s="290"/>
      <c r="Z193" s="290"/>
      <c r="AA193" s="290"/>
      <c r="AB193" s="290"/>
      <c r="AC193" s="290"/>
      <c r="AD193" s="290"/>
      <c r="AE193" s="290"/>
      <c r="AF193" s="290"/>
      <c r="AG193" s="290"/>
      <c r="AH193" s="290"/>
      <c r="AI193" s="290"/>
      <c r="AJ193" s="291"/>
      <c r="AK193" s="107"/>
    </row>
    <row r="194" spans="1:37" ht="16.5" customHeight="1" thickBot="1" x14ac:dyDescent="0.25">
      <c r="A194" s="6"/>
      <c r="B194" s="292"/>
      <c r="C194" s="293"/>
      <c r="D194" s="9" t="s">
        <v>516</v>
      </c>
      <c r="E194" s="10" t="s">
        <v>11</v>
      </c>
      <c r="F194" s="10"/>
      <c r="G194" s="10"/>
      <c r="H194" s="10"/>
      <c r="I194" s="10"/>
      <c r="J194" s="149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 t="s">
        <v>5</v>
      </c>
      <c r="AB194" s="10"/>
      <c r="AC194" s="299" t="s">
        <v>523</v>
      </c>
      <c r="AD194" s="299"/>
      <c r="AE194" s="299"/>
      <c r="AF194" s="299"/>
      <c r="AG194" s="299"/>
      <c r="AH194" s="299"/>
      <c r="AI194" s="299"/>
      <c r="AJ194" s="300"/>
      <c r="AK194" s="107"/>
    </row>
    <row r="195" spans="1:37" ht="16.5" customHeight="1" thickBot="1" x14ac:dyDescent="0.25">
      <c r="A195" s="6"/>
      <c r="B195" s="294" t="s">
        <v>6</v>
      </c>
      <c r="C195" s="294"/>
      <c r="D195" s="295" t="s">
        <v>7</v>
      </c>
      <c r="E195" s="292"/>
      <c r="F195" s="298"/>
      <c r="G195" s="298"/>
      <c r="H195" s="298"/>
      <c r="I195" s="298"/>
      <c r="J195" s="298"/>
      <c r="K195" s="298"/>
      <c r="L195" s="298"/>
      <c r="M195" s="298"/>
      <c r="N195" s="298"/>
      <c r="O195" s="298"/>
      <c r="P195" s="298"/>
      <c r="Q195" s="298"/>
      <c r="R195" s="298"/>
      <c r="S195" s="298"/>
      <c r="T195" s="298"/>
      <c r="U195" s="298"/>
      <c r="V195" s="298"/>
      <c r="W195" s="298"/>
      <c r="X195" s="298"/>
      <c r="Y195" s="298"/>
      <c r="Z195" s="298"/>
      <c r="AA195" s="298"/>
      <c r="AB195" s="298"/>
      <c r="AC195" s="298"/>
      <c r="AD195" s="298"/>
      <c r="AE195" s="298"/>
      <c r="AF195" s="298"/>
      <c r="AG195" s="298"/>
      <c r="AH195" s="298"/>
      <c r="AI195" s="298"/>
      <c r="AJ195" s="293"/>
      <c r="AK195" s="107"/>
    </row>
    <row r="196" spans="1:37" ht="16.5" customHeight="1" thickBot="1" x14ac:dyDescent="0.25">
      <c r="A196" s="6"/>
      <c r="B196" s="295" t="s">
        <v>8</v>
      </c>
      <c r="C196" s="295" t="s">
        <v>9</v>
      </c>
      <c r="D196" s="296"/>
      <c r="E196" s="292">
        <f>E8</f>
        <v>17</v>
      </c>
      <c r="F196" s="298"/>
      <c r="G196" s="292">
        <f>E196+1</f>
        <v>18</v>
      </c>
      <c r="H196" s="298"/>
      <c r="I196" s="292">
        <f t="shared" ref="I196" si="60">G196+1</f>
        <v>19</v>
      </c>
      <c r="J196" s="298"/>
      <c r="K196" s="292">
        <f t="shared" ref="K196" si="61">I196+1</f>
        <v>20</v>
      </c>
      <c r="L196" s="298"/>
      <c r="M196" s="292">
        <f t="shared" ref="M196" si="62">K196+1</f>
        <v>21</v>
      </c>
      <c r="N196" s="298"/>
      <c r="O196" s="292">
        <f t="shared" ref="O196" si="63">M196+1</f>
        <v>22</v>
      </c>
      <c r="P196" s="298"/>
      <c r="Q196" s="292">
        <f t="shared" ref="Q196" si="64">O196+1</f>
        <v>23</v>
      </c>
      <c r="R196" s="298"/>
      <c r="S196" s="292">
        <f t="shared" ref="S196" si="65">Q196+1</f>
        <v>24</v>
      </c>
      <c r="T196" s="298"/>
      <c r="U196" s="292">
        <f t="shared" ref="U196" si="66">S196+1</f>
        <v>25</v>
      </c>
      <c r="V196" s="298"/>
      <c r="W196" s="292">
        <f t="shared" ref="W196" si="67">U196+1</f>
        <v>26</v>
      </c>
      <c r="X196" s="298"/>
      <c r="Y196" s="292">
        <f t="shared" ref="Y196" si="68">W196+1</f>
        <v>27</v>
      </c>
      <c r="Z196" s="298"/>
      <c r="AA196" s="292">
        <f t="shared" ref="AA196" si="69">Y196+1</f>
        <v>28</v>
      </c>
      <c r="AB196" s="298"/>
      <c r="AC196" s="292">
        <f t="shared" ref="AC196" si="70">AA196+1</f>
        <v>29</v>
      </c>
      <c r="AD196" s="298"/>
      <c r="AE196" s="292">
        <f t="shared" ref="AE196" si="71">AC196+1</f>
        <v>30</v>
      </c>
      <c r="AF196" s="298"/>
      <c r="AG196" s="292">
        <f t="shared" ref="AG196" si="72">AE196+1</f>
        <v>31</v>
      </c>
      <c r="AH196" s="298"/>
      <c r="AI196" s="292">
        <f t="shared" ref="AI196" si="73">AG196+1</f>
        <v>32</v>
      </c>
      <c r="AJ196" s="298"/>
      <c r="AK196" s="107"/>
    </row>
    <row r="197" spans="1:37" ht="21.75" customHeight="1" thickBot="1" x14ac:dyDescent="0.25">
      <c r="A197" s="6"/>
      <c r="B197" s="297"/>
      <c r="C197" s="297"/>
      <c r="D197" s="297"/>
      <c r="E197" s="108" t="s">
        <v>13</v>
      </c>
      <c r="F197" s="108" t="s">
        <v>14</v>
      </c>
      <c r="G197" s="108" t="s">
        <v>13</v>
      </c>
      <c r="H197" s="108" t="s">
        <v>14</v>
      </c>
      <c r="I197" s="108" t="s">
        <v>13</v>
      </c>
      <c r="J197" s="108" t="s">
        <v>14</v>
      </c>
      <c r="K197" s="108" t="s">
        <v>13</v>
      </c>
      <c r="L197" s="108" t="s">
        <v>14</v>
      </c>
      <c r="M197" s="108" t="s">
        <v>13</v>
      </c>
      <c r="N197" s="108" t="s">
        <v>14</v>
      </c>
      <c r="O197" s="108" t="s">
        <v>13</v>
      </c>
      <c r="P197" s="108" t="s">
        <v>14</v>
      </c>
      <c r="Q197" s="108" t="s">
        <v>13</v>
      </c>
      <c r="R197" s="108" t="s">
        <v>14</v>
      </c>
      <c r="S197" s="108" t="s">
        <v>13</v>
      </c>
      <c r="T197" s="108" t="s">
        <v>14</v>
      </c>
      <c r="U197" s="108" t="s">
        <v>13</v>
      </c>
      <c r="V197" s="108" t="s">
        <v>14</v>
      </c>
      <c r="W197" s="108" t="s">
        <v>13</v>
      </c>
      <c r="X197" s="108" t="s">
        <v>14</v>
      </c>
      <c r="Y197" s="108" t="s">
        <v>13</v>
      </c>
      <c r="Z197" s="108" t="s">
        <v>14</v>
      </c>
      <c r="AA197" s="108" t="s">
        <v>13</v>
      </c>
      <c r="AB197" s="108" t="s">
        <v>14</v>
      </c>
      <c r="AC197" s="108" t="s">
        <v>13</v>
      </c>
      <c r="AD197" s="108" t="s">
        <v>14</v>
      </c>
      <c r="AE197" s="108" t="s">
        <v>13</v>
      </c>
      <c r="AF197" s="108" t="s">
        <v>14</v>
      </c>
      <c r="AG197" s="108" t="s">
        <v>13</v>
      </c>
      <c r="AH197" s="108" t="s">
        <v>14</v>
      </c>
      <c r="AI197" s="108" t="s">
        <v>13</v>
      </c>
      <c r="AJ197" s="108" t="s">
        <v>14</v>
      </c>
      <c r="AK197" s="107"/>
    </row>
    <row r="198" spans="1:37" ht="16.5" customHeight="1" x14ac:dyDescent="0.2">
      <c r="A198" s="6"/>
      <c r="B198" s="21">
        <v>1</v>
      </c>
      <c r="C198" s="22">
        <f>'Kelas XII'!C187</f>
        <v>16020</v>
      </c>
      <c r="D198" s="117" t="str">
        <f>'Kelas XII'!D187</f>
        <v>ADINDA BILQIST AINIYA FURHA</v>
      </c>
      <c r="E198" s="12"/>
      <c r="F198" s="13"/>
      <c r="G198" s="12"/>
      <c r="H198" s="13"/>
      <c r="I198" s="12"/>
      <c r="J198" s="13"/>
      <c r="K198" s="12"/>
      <c r="L198" s="13"/>
      <c r="M198" s="12"/>
      <c r="N198" s="13"/>
      <c r="O198" s="12"/>
      <c r="P198" s="13"/>
      <c r="Q198" s="12"/>
      <c r="R198" s="13"/>
      <c r="S198" s="12"/>
      <c r="T198" s="13"/>
      <c r="U198" s="12"/>
      <c r="V198" s="13"/>
      <c r="W198" s="12"/>
      <c r="X198" s="13"/>
      <c r="Y198" s="12"/>
      <c r="Z198" s="13"/>
      <c r="AA198" s="12"/>
      <c r="AB198" s="13"/>
      <c r="AC198" s="12"/>
      <c r="AD198" s="13"/>
      <c r="AE198" s="12"/>
      <c r="AF198" s="13"/>
      <c r="AG198" s="12"/>
      <c r="AH198" s="119"/>
      <c r="AI198" s="118"/>
      <c r="AJ198" s="113"/>
      <c r="AK198" s="107"/>
    </row>
    <row r="199" spans="1:37" ht="16.5" customHeight="1" x14ac:dyDescent="0.2">
      <c r="A199" s="6"/>
      <c r="B199" s="135">
        <f t="shared" ref="B199:B234" si="74">B198+1</f>
        <v>2</v>
      </c>
      <c r="C199" s="135">
        <f>'Kelas XII'!C188</f>
        <v>16046</v>
      </c>
      <c r="D199" s="117" t="str">
        <f>'Kelas XII'!D188</f>
        <v>AFIFAH NUR FADHILAH</v>
      </c>
      <c r="E199" s="14"/>
      <c r="F199" s="15"/>
      <c r="G199" s="14"/>
      <c r="H199" s="15"/>
      <c r="I199" s="14"/>
      <c r="J199" s="15"/>
      <c r="K199" s="14"/>
      <c r="L199" s="15"/>
      <c r="M199" s="14"/>
      <c r="N199" s="15"/>
      <c r="O199" s="14"/>
      <c r="P199" s="15"/>
      <c r="Q199" s="14"/>
      <c r="R199" s="15"/>
      <c r="S199" s="14"/>
      <c r="T199" s="15"/>
      <c r="U199" s="14"/>
      <c r="V199" s="15"/>
      <c r="W199" s="14"/>
      <c r="X199" s="15"/>
      <c r="Y199" s="14"/>
      <c r="Z199" s="15"/>
      <c r="AA199" s="14"/>
      <c r="AB199" s="15"/>
      <c r="AC199" s="14"/>
      <c r="AD199" s="15"/>
      <c r="AE199" s="14"/>
      <c r="AF199" s="15"/>
      <c r="AG199" s="14"/>
      <c r="AH199" s="120"/>
      <c r="AI199" s="14"/>
      <c r="AJ199" s="114"/>
      <c r="AK199" s="107"/>
    </row>
    <row r="200" spans="1:37" ht="16.5" customHeight="1" x14ac:dyDescent="0.2">
      <c r="A200" s="6"/>
      <c r="B200" s="135">
        <f t="shared" si="74"/>
        <v>3</v>
      </c>
      <c r="C200" s="135">
        <f>'Kelas XII'!C189</f>
        <v>16021</v>
      </c>
      <c r="D200" s="117" t="str">
        <f>'Kelas XII'!D189</f>
        <v>AFINA SAVA RUSYDA</v>
      </c>
      <c r="E200" s="14"/>
      <c r="F200" s="15"/>
      <c r="G200" s="14"/>
      <c r="H200" s="15"/>
      <c r="I200" s="14"/>
      <c r="J200" s="15"/>
      <c r="K200" s="14"/>
      <c r="L200" s="15"/>
      <c r="M200" s="14"/>
      <c r="N200" s="15"/>
      <c r="O200" s="14"/>
      <c r="P200" s="15"/>
      <c r="Q200" s="14"/>
      <c r="R200" s="15"/>
      <c r="S200" s="14"/>
      <c r="T200" s="15"/>
      <c r="U200" s="14"/>
      <c r="V200" s="15"/>
      <c r="W200" s="14"/>
      <c r="X200" s="15"/>
      <c r="Y200" s="14"/>
      <c r="Z200" s="15"/>
      <c r="AA200" s="14"/>
      <c r="AB200" s="15"/>
      <c r="AC200" s="14"/>
      <c r="AD200" s="15"/>
      <c r="AE200" s="14"/>
      <c r="AF200" s="15"/>
      <c r="AG200" s="14"/>
      <c r="AH200" s="120"/>
      <c r="AI200" s="14"/>
      <c r="AJ200" s="114"/>
      <c r="AK200" s="107"/>
    </row>
    <row r="201" spans="1:37" ht="16.5" customHeight="1" x14ac:dyDescent="0.2">
      <c r="A201" s="6"/>
      <c r="B201" s="135">
        <f t="shared" si="74"/>
        <v>4</v>
      </c>
      <c r="C201" s="135">
        <f>'Kelas XII'!C190</f>
        <v>15962</v>
      </c>
      <c r="D201" s="117" t="str">
        <f>'Kelas XII'!D190</f>
        <v>AISYAH CITRA ANGEL</v>
      </c>
      <c r="E201" s="14"/>
      <c r="F201" s="15"/>
      <c r="G201" s="14"/>
      <c r="H201" s="15"/>
      <c r="I201" s="14"/>
      <c r="J201" s="15"/>
      <c r="K201" s="14"/>
      <c r="L201" s="15"/>
      <c r="M201" s="14"/>
      <c r="N201" s="15"/>
      <c r="O201" s="14"/>
      <c r="P201" s="15"/>
      <c r="Q201" s="14"/>
      <c r="R201" s="15"/>
      <c r="S201" s="14"/>
      <c r="T201" s="15"/>
      <c r="U201" s="14"/>
      <c r="V201" s="15"/>
      <c r="W201" s="14"/>
      <c r="X201" s="15"/>
      <c r="Y201" s="14"/>
      <c r="Z201" s="15"/>
      <c r="AA201" s="14"/>
      <c r="AB201" s="15"/>
      <c r="AC201" s="14"/>
      <c r="AD201" s="15"/>
      <c r="AE201" s="14"/>
      <c r="AF201" s="15"/>
      <c r="AG201" s="14"/>
      <c r="AH201" s="120"/>
      <c r="AI201" s="14"/>
      <c r="AJ201" s="114"/>
      <c r="AK201" s="107"/>
    </row>
    <row r="202" spans="1:37" ht="16.5" customHeight="1" x14ac:dyDescent="0.2">
      <c r="A202" s="6"/>
      <c r="B202" s="135">
        <f t="shared" si="74"/>
        <v>5</v>
      </c>
      <c r="C202" s="135">
        <f>'Kelas XII'!C191</f>
        <v>16024</v>
      </c>
      <c r="D202" s="117" t="str">
        <f>'Kelas XII'!D191</f>
        <v>AMANTA IBTISAM ERIAN MUMTAZ</v>
      </c>
      <c r="E202" s="14"/>
      <c r="F202" s="15"/>
      <c r="G202" s="14"/>
      <c r="H202" s="15"/>
      <c r="I202" s="14"/>
      <c r="J202" s="15"/>
      <c r="K202" s="14"/>
      <c r="L202" s="15"/>
      <c r="M202" s="14"/>
      <c r="N202" s="15"/>
      <c r="O202" s="14"/>
      <c r="P202" s="15"/>
      <c r="Q202" s="14"/>
      <c r="R202" s="15"/>
      <c r="S202" s="14"/>
      <c r="T202" s="15"/>
      <c r="U202" s="14"/>
      <c r="V202" s="15"/>
      <c r="W202" s="14"/>
      <c r="X202" s="15"/>
      <c r="Y202" s="14"/>
      <c r="Z202" s="15"/>
      <c r="AA202" s="14"/>
      <c r="AB202" s="15"/>
      <c r="AC202" s="14"/>
      <c r="AD202" s="15"/>
      <c r="AE202" s="14"/>
      <c r="AF202" s="15"/>
      <c r="AG202" s="14"/>
      <c r="AH202" s="120"/>
      <c r="AI202" s="14"/>
      <c r="AJ202" s="114"/>
      <c r="AK202" s="107"/>
    </row>
    <row r="203" spans="1:37" ht="16.5" customHeight="1" x14ac:dyDescent="0.2">
      <c r="A203" s="6"/>
      <c r="B203" s="135">
        <f t="shared" si="74"/>
        <v>6</v>
      </c>
      <c r="C203" s="135">
        <f>'Kelas XII'!C192</f>
        <v>16025</v>
      </c>
      <c r="D203" s="117" t="str">
        <f>'Kelas XII'!D192</f>
        <v>AQILA</v>
      </c>
      <c r="E203" s="14"/>
      <c r="F203" s="15"/>
      <c r="G203" s="14"/>
      <c r="H203" s="15"/>
      <c r="I203" s="14"/>
      <c r="J203" s="15"/>
      <c r="K203" s="14"/>
      <c r="L203" s="15"/>
      <c r="M203" s="14"/>
      <c r="N203" s="15"/>
      <c r="O203" s="14"/>
      <c r="P203" s="15"/>
      <c r="Q203" s="14"/>
      <c r="R203" s="15"/>
      <c r="S203" s="14"/>
      <c r="T203" s="15"/>
      <c r="U203" s="14"/>
      <c r="V203" s="15"/>
      <c r="W203" s="14"/>
      <c r="X203" s="15"/>
      <c r="Y203" s="14"/>
      <c r="Z203" s="15"/>
      <c r="AA203" s="14"/>
      <c r="AB203" s="15"/>
      <c r="AC203" s="14"/>
      <c r="AD203" s="15"/>
      <c r="AE203" s="14"/>
      <c r="AF203" s="15"/>
      <c r="AG203" s="14"/>
      <c r="AH203" s="120"/>
      <c r="AI203" s="14"/>
      <c r="AJ203" s="114"/>
      <c r="AK203" s="107"/>
    </row>
    <row r="204" spans="1:37" ht="16.5" customHeight="1" x14ac:dyDescent="0.2">
      <c r="A204" s="6"/>
      <c r="B204" s="135">
        <f t="shared" si="74"/>
        <v>7</v>
      </c>
      <c r="C204" s="135">
        <f>'Kelas XII'!C193</f>
        <v>16026</v>
      </c>
      <c r="D204" s="117" t="str">
        <f>'Kelas XII'!D193</f>
        <v>AQILA FARASA KHANZA JA'CUB</v>
      </c>
      <c r="E204" s="14"/>
      <c r="F204" s="15"/>
      <c r="G204" s="14"/>
      <c r="H204" s="15"/>
      <c r="I204" s="14"/>
      <c r="J204" s="15"/>
      <c r="K204" s="14"/>
      <c r="L204" s="15"/>
      <c r="M204" s="14"/>
      <c r="N204" s="15"/>
      <c r="O204" s="14"/>
      <c r="P204" s="15"/>
      <c r="Q204" s="14"/>
      <c r="R204" s="15"/>
      <c r="S204" s="14"/>
      <c r="T204" s="15"/>
      <c r="U204" s="14"/>
      <c r="V204" s="15"/>
      <c r="W204" s="14"/>
      <c r="X204" s="15"/>
      <c r="Y204" s="14"/>
      <c r="Z204" s="15"/>
      <c r="AA204" s="14"/>
      <c r="AB204" s="15"/>
      <c r="AC204" s="14"/>
      <c r="AD204" s="15"/>
      <c r="AE204" s="14"/>
      <c r="AF204" s="15"/>
      <c r="AG204" s="14"/>
      <c r="AH204" s="120"/>
      <c r="AI204" s="14"/>
      <c r="AJ204" s="114"/>
      <c r="AK204" s="107"/>
    </row>
    <row r="205" spans="1:37" ht="16.5" customHeight="1" x14ac:dyDescent="0.2">
      <c r="A205" s="6"/>
      <c r="B205" s="135">
        <f t="shared" si="74"/>
        <v>8</v>
      </c>
      <c r="C205" s="135">
        <f>'Kelas XII'!C194</f>
        <v>15964</v>
      </c>
      <c r="D205" s="117" t="str">
        <f>'Kelas XII'!D194</f>
        <v>ASIAH NAZMIN LATHIFAH HAMID</v>
      </c>
      <c r="E205" s="14"/>
      <c r="F205" s="15"/>
      <c r="G205" s="14"/>
      <c r="H205" s="15"/>
      <c r="I205" s="14"/>
      <c r="J205" s="15"/>
      <c r="K205" s="14"/>
      <c r="L205" s="15"/>
      <c r="M205" s="14"/>
      <c r="N205" s="15"/>
      <c r="O205" s="14"/>
      <c r="P205" s="15"/>
      <c r="Q205" s="14"/>
      <c r="R205" s="15"/>
      <c r="S205" s="14"/>
      <c r="T205" s="15"/>
      <c r="U205" s="14"/>
      <c r="V205" s="15"/>
      <c r="W205" s="14"/>
      <c r="X205" s="15"/>
      <c r="Y205" s="14"/>
      <c r="Z205" s="15"/>
      <c r="AA205" s="14"/>
      <c r="AB205" s="15"/>
      <c r="AC205" s="14"/>
      <c r="AD205" s="15"/>
      <c r="AE205" s="14"/>
      <c r="AF205" s="15"/>
      <c r="AG205" s="14"/>
      <c r="AH205" s="120"/>
      <c r="AI205" s="14"/>
      <c r="AJ205" s="114"/>
      <c r="AK205" s="107"/>
    </row>
    <row r="206" spans="1:37" ht="16.5" customHeight="1" x14ac:dyDescent="0.2">
      <c r="A206" s="6"/>
      <c r="B206" s="135">
        <f t="shared" si="74"/>
        <v>9</v>
      </c>
      <c r="C206" s="135">
        <f>'Kelas XII'!C195</f>
        <v>15965</v>
      </c>
      <c r="D206" s="117" t="str">
        <f>'Kelas XII'!D195</f>
        <v>AULIA RESTY INDIERA PUTRI</v>
      </c>
      <c r="E206" s="14"/>
      <c r="F206" s="15"/>
      <c r="G206" s="14"/>
      <c r="H206" s="15"/>
      <c r="I206" s="14"/>
      <c r="J206" s="15"/>
      <c r="K206" s="14"/>
      <c r="L206" s="15"/>
      <c r="M206" s="14"/>
      <c r="N206" s="15"/>
      <c r="O206" s="14"/>
      <c r="P206" s="15"/>
      <c r="Q206" s="14"/>
      <c r="R206" s="15"/>
      <c r="S206" s="14"/>
      <c r="T206" s="15"/>
      <c r="U206" s="14"/>
      <c r="V206" s="15"/>
      <c r="W206" s="14"/>
      <c r="X206" s="15"/>
      <c r="Y206" s="14"/>
      <c r="Z206" s="15"/>
      <c r="AA206" s="14"/>
      <c r="AB206" s="15"/>
      <c r="AC206" s="14"/>
      <c r="AD206" s="15"/>
      <c r="AE206" s="14"/>
      <c r="AF206" s="15"/>
      <c r="AG206" s="14"/>
      <c r="AH206" s="120"/>
      <c r="AI206" s="14"/>
      <c r="AJ206" s="114"/>
      <c r="AK206" s="107"/>
    </row>
    <row r="207" spans="1:37" ht="16.5" customHeight="1" x14ac:dyDescent="0.2">
      <c r="A207" s="6"/>
      <c r="B207" s="135">
        <f t="shared" si="74"/>
        <v>10</v>
      </c>
      <c r="C207" s="135">
        <f>'Kelas XII'!C196</f>
        <v>16029</v>
      </c>
      <c r="D207" s="117" t="str">
        <f>'Kelas XII'!D196</f>
        <v>AULIN VENNESA VERONIXA</v>
      </c>
      <c r="E207" s="14"/>
      <c r="F207" s="15"/>
      <c r="G207" s="14"/>
      <c r="H207" s="15"/>
      <c r="I207" s="14"/>
      <c r="J207" s="15"/>
      <c r="K207" s="14"/>
      <c r="L207" s="15"/>
      <c r="M207" s="14"/>
      <c r="N207" s="15"/>
      <c r="O207" s="14"/>
      <c r="P207" s="15"/>
      <c r="Q207" s="14"/>
      <c r="R207" s="15"/>
      <c r="S207" s="14"/>
      <c r="T207" s="15"/>
      <c r="U207" s="14"/>
      <c r="V207" s="15"/>
      <c r="W207" s="14"/>
      <c r="X207" s="15"/>
      <c r="Y207" s="14"/>
      <c r="Z207" s="15"/>
      <c r="AA207" s="14"/>
      <c r="AB207" s="15"/>
      <c r="AC207" s="14"/>
      <c r="AD207" s="15"/>
      <c r="AE207" s="14"/>
      <c r="AF207" s="15"/>
      <c r="AG207" s="14"/>
      <c r="AH207" s="120"/>
      <c r="AI207" s="14"/>
      <c r="AJ207" s="114"/>
      <c r="AK207" s="107"/>
    </row>
    <row r="208" spans="1:37" ht="16.5" customHeight="1" x14ac:dyDescent="0.2">
      <c r="A208" s="6"/>
      <c r="B208" s="135">
        <f t="shared" si="74"/>
        <v>11</v>
      </c>
      <c r="C208" s="135">
        <f>'Kelas XII'!C197</f>
        <v>16031</v>
      </c>
      <c r="D208" s="117" t="str">
        <f>'Kelas XII'!D197</f>
        <v>CARREL YUMNALIA RAMADHANI WURIANSYAH</v>
      </c>
      <c r="E208" s="14"/>
      <c r="F208" s="15"/>
      <c r="G208" s="14"/>
      <c r="H208" s="15"/>
      <c r="I208" s="14"/>
      <c r="J208" s="15"/>
      <c r="K208" s="14"/>
      <c r="L208" s="15"/>
      <c r="M208" s="14"/>
      <c r="N208" s="15"/>
      <c r="O208" s="14"/>
      <c r="P208" s="15"/>
      <c r="Q208" s="14"/>
      <c r="R208" s="15"/>
      <c r="S208" s="14"/>
      <c r="T208" s="15"/>
      <c r="U208" s="14"/>
      <c r="V208" s="15"/>
      <c r="W208" s="14"/>
      <c r="X208" s="15"/>
      <c r="Y208" s="14"/>
      <c r="Z208" s="15"/>
      <c r="AA208" s="14"/>
      <c r="AB208" s="15"/>
      <c r="AC208" s="14"/>
      <c r="AD208" s="15"/>
      <c r="AE208" s="14"/>
      <c r="AF208" s="15"/>
      <c r="AG208" s="14"/>
      <c r="AH208" s="120"/>
      <c r="AI208" s="14"/>
      <c r="AJ208" s="114"/>
      <c r="AK208" s="107"/>
    </row>
    <row r="209" spans="1:37" ht="16.5" customHeight="1" x14ac:dyDescent="0.2">
      <c r="A209" s="6"/>
      <c r="B209" s="135">
        <f t="shared" si="74"/>
        <v>12</v>
      </c>
      <c r="C209" s="135">
        <f>'Kelas XII'!C198</f>
        <v>15967</v>
      </c>
      <c r="D209" s="117" t="str">
        <f>'Kelas XII'!D198</f>
        <v>DAYU NAJWA MINHAJA</v>
      </c>
      <c r="E209" s="14"/>
      <c r="F209" s="15"/>
      <c r="G209" s="14"/>
      <c r="H209" s="15"/>
      <c r="I209" s="14"/>
      <c r="J209" s="15"/>
      <c r="K209" s="14"/>
      <c r="L209" s="15"/>
      <c r="M209" s="14"/>
      <c r="N209" s="15"/>
      <c r="O209" s="14"/>
      <c r="P209" s="15"/>
      <c r="Q209" s="14"/>
      <c r="R209" s="15"/>
      <c r="S209" s="14"/>
      <c r="T209" s="15"/>
      <c r="U209" s="14"/>
      <c r="V209" s="15"/>
      <c r="W209" s="14"/>
      <c r="X209" s="15"/>
      <c r="Y209" s="14"/>
      <c r="Z209" s="15"/>
      <c r="AA209" s="14"/>
      <c r="AB209" s="15"/>
      <c r="AC209" s="14"/>
      <c r="AD209" s="15"/>
      <c r="AE209" s="14"/>
      <c r="AF209" s="15"/>
      <c r="AG209" s="14"/>
      <c r="AH209" s="120"/>
      <c r="AI209" s="14"/>
      <c r="AJ209" s="114"/>
      <c r="AK209" s="107"/>
    </row>
    <row r="210" spans="1:37" ht="16.5" customHeight="1" x14ac:dyDescent="0.2">
      <c r="A210" s="6"/>
      <c r="B210" s="135">
        <f t="shared" si="74"/>
        <v>13</v>
      </c>
      <c r="C210" s="135">
        <f>'Kelas XII'!C199</f>
        <v>16050</v>
      </c>
      <c r="D210" s="117" t="str">
        <f>'Kelas XII'!D199</f>
        <v>DEFINCA PERMATA WIRAHAYUNINGRAT</v>
      </c>
      <c r="E210" s="14"/>
      <c r="F210" s="15"/>
      <c r="G210" s="14"/>
      <c r="H210" s="15"/>
      <c r="I210" s="14"/>
      <c r="J210" s="15"/>
      <c r="K210" s="14"/>
      <c r="L210" s="15"/>
      <c r="M210" s="14"/>
      <c r="N210" s="15"/>
      <c r="O210" s="14"/>
      <c r="P210" s="15"/>
      <c r="Q210" s="14"/>
      <c r="R210" s="15"/>
      <c r="S210" s="14"/>
      <c r="T210" s="15"/>
      <c r="U210" s="14"/>
      <c r="V210" s="15"/>
      <c r="W210" s="14"/>
      <c r="X210" s="15"/>
      <c r="Y210" s="14"/>
      <c r="Z210" s="15"/>
      <c r="AA210" s="14"/>
      <c r="AB210" s="15"/>
      <c r="AC210" s="14"/>
      <c r="AD210" s="15"/>
      <c r="AE210" s="14"/>
      <c r="AF210" s="15"/>
      <c r="AG210" s="14"/>
      <c r="AH210" s="120"/>
      <c r="AI210" s="14"/>
      <c r="AJ210" s="114"/>
      <c r="AK210" s="107"/>
    </row>
    <row r="211" spans="1:37" ht="16.5" customHeight="1" x14ac:dyDescent="0.2">
      <c r="A211" s="6"/>
      <c r="B211" s="135">
        <f t="shared" si="74"/>
        <v>14</v>
      </c>
      <c r="C211" s="135">
        <f>'Kelas XII'!C200</f>
        <v>16051</v>
      </c>
      <c r="D211" s="117" t="str">
        <f>'Kelas XII'!D200</f>
        <v>DESRINA RISMA SAFIRA</v>
      </c>
      <c r="E211" s="14"/>
      <c r="F211" s="15"/>
      <c r="G211" s="14"/>
      <c r="H211" s="15"/>
      <c r="I211" s="14"/>
      <c r="J211" s="15"/>
      <c r="K211" s="14"/>
      <c r="L211" s="15"/>
      <c r="M211" s="14"/>
      <c r="N211" s="15"/>
      <c r="O211" s="14"/>
      <c r="P211" s="15"/>
      <c r="Q211" s="14"/>
      <c r="R211" s="15"/>
      <c r="S211" s="14"/>
      <c r="T211" s="15"/>
      <c r="U211" s="14"/>
      <c r="V211" s="15"/>
      <c r="W211" s="14"/>
      <c r="X211" s="15"/>
      <c r="Y211" s="14"/>
      <c r="Z211" s="15"/>
      <c r="AA211" s="14"/>
      <c r="AB211" s="15"/>
      <c r="AC211" s="14"/>
      <c r="AD211" s="15"/>
      <c r="AE211" s="14"/>
      <c r="AF211" s="15"/>
      <c r="AG211" s="14"/>
      <c r="AH211" s="120"/>
      <c r="AI211" s="14"/>
      <c r="AJ211" s="114"/>
      <c r="AK211" s="107"/>
    </row>
    <row r="212" spans="1:37" ht="16.5" customHeight="1" x14ac:dyDescent="0.2">
      <c r="A212" s="6"/>
      <c r="B212" s="135">
        <f t="shared" si="74"/>
        <v>15</v>
      </c>
      <c r="C212" s="135">
        <f>'Kelas XII'!C201</f>
        <v>15995</v>
      </c>
      <c r="D212" s="117" t="str">
        <f>'Kelas XII'!D201</f>
        <v>DESY ANA KUSUMA AYU</v>
      </c>
      <c r="E212" s="14"/>
      <c r="F212" s="15"/>
      <c r="G212" s="14"/>
      <c r="H212" s="15"/>
      <c r="I212" s="14"/>
      <c r="J212" s="15"/>
      <c r="K212" s="14"/>
      <c r="L212" s="15"/>
      <c r="M212" s="14"/>
      <c r="N212" s="15"/>
      <c r="O212" s="14"/>
      <c r="P212" s="15"/>
      <c r="Q212" s="14"/>
      <c r="R212" s="15"/>
      <c r="S212" s="14"/>
      <c r="T212" s="15"/>
      <c r="U212" s="14"/>
      <c r="V212" s="15"/>
      <c r="W212" s="14"/>
      <c r="X212" s="15"/>
      <c r="Y212" s="14"/>
      <c r="Z212" s="15"/>
      <c r="AA212" s="14"/>
      <c r="AB212" s="15"/>
      <c r="AC212" s="14"/>
      <c r="AD212" s="15"/>
      <c r="AE212" s="14"/>
      <c r="AF212" s="15"/>
      <c r="AG212" s="14"/>
      <c r="AH212" s="120"/>
      <c r="AI212" s="14"/>
      <c r="AJ212" s="114"/>
      <c r="AK212" s="107"/>
    </row>
    <row r="213" spans="1:37" ht="16.5" customHeight="1" x14ac:dyDescent="0.2">
      <c r="A213" s="6"/>
      <c r="B213" s="135">
        <f t="shared" si="74"/>
        <v>16</v>
      </c>
      <c r="C213" s="135">
        <f>'Kelas XII'!C202</f>
        <v>16052</v>
      </c>
      <c r="D213" s="117" t="str">
        <f>'Kelas XII'!D202</f>
        <v>DYANDRA SHAQIINA WIDYARINI</v>
      </c>
      <c r="E213" s="14"/>
      <c r="F213" s="15"/>
      <c r="G213" s="14"/>
      <c r="H213" s="15"/>
      <c r="I213" s="14"/>
      <c r="J213" s="15"/>
      <c r="K213" s="14"/>
      <c r="L213" s="15"/>
      <c r="M213" s="14"/>
      <c r="N213" s="15"/>
      <c r="O213" s="14"/>
      <c r="P213" s="15"/>
      <c r="Q213" s="14"/>
      <c r="R213" s="15"/>
      <c r="S213" s="14"/>
      <c r="T213" s="15"/>
      <c r="U213" s="14"/>
      <c r="V213" s="15"/>
      <c r="W213" s="14"/>
      <c r="X213" s="15"/>
      <c r="Y213" s="14"/>
      <c r="Z213" s="15"/>
      <c r="AA213" s="14"/>
      <c r="AB213" s="15"/>
      <c r="AC213" s="14"/>
      <c r="AD213" s="15"/>
      <c r="AE213" s="14"/>
      <c r="AF213" s="15"/>
      <c r="AG213" s="14"/>
      <c r="AH213" s="120"/>
      <c r="AI213" s="14"/>
      <c r="AJ213" s="114"/>
      <c r="AK213" s="107"/>
    </row>
    <row r="214" spans="1:37" ht="16.5" customHeight="1" x14ac:dyDescent="0.2">
      <c r="A214" s="6"/>
      <c r="B214" s="135">
        <f t="shared" si="74"/>
        <v>17</v>
      </c>
      <c r="C214" s="135">
        <f>'Kelas XII'!C203</f>
        <v>15998</v>
      </c>
      <c r="D214" s="117" t="str">
        <f>'Kelas XII'!D203</f>
        <v>ELYZIA QHUTTRONADA MUAFIROH</v>
      </c>
      <c r="E214" s="14"/>
      <c r="F214" s="15"/>
      <c r="G214" s="14"/>
      <c r="H214" s="15"/>
      <c r="I214" s="14"/>
      <c r="J214" s="15"/>
      <c r="K214" s="14"/>
      <c r="L214" s="15"/>
      <c r="M214" s="14"/>
      <c r="N214" s="15"/>
      <c r="O214" s="14"/>
      <c r="P214" s="15"/>
      <c r="Q214" s="14"/>
      <c r="R214" s="15"/>
      <c r="S214" s="14"/>
      <c r="T214" s="15"/>
      <c r="U214" s="14"/>
      <c r="V214" s="15"/>
      <c r="W214" s="14"/>
      <c r="X214" s="15"/>
      <c r="Y214" s="14"/>
      <c r="Z214" s="15"/>
      <c r="AA214" s="14"/>
      <c r="AB214" s="15"/>
      <c r="AC214" s="14"/>
      <c r="AD214" s="15"/>
      <c r="AE214" s="14"/>
      <c r="AF214" s="15"/>
      <c r="AG214" s="14"/>
      <c r="AH214" s="120"/>
      <c r="AI214" s="14"/>
      <c r="AJ214" s="114"/>
      <c r="AK214" s="107"/>
    </row>
    <row r="215" spans="1:37" ht="16.5" customHeight="1" x14ac:dyDescent="0.2">
      <c r="A215" s="6"/>
      <c r="B215" s="135">
        <f t="shared" si="74"/>
        <v>18</v>
      </c>
      <c r="C215" s="135">
        <f>'Kelas XII'!C204</f>
        <v>16055</v>
      </c>
      <c r="D215" s="117" t="str">
        <f>'Kelas XII'!D204</f>
        <v>GIFA AHLA AMFATA</v>
      </c>
      <c r="E215" s="14"/>
      <c r="F215" s="15"/>
      <c r="G215" s="14"/>
      <c r="H215" s="15"/>
      <c r="I215" s="14"/>
      <c r="J215" s="15"/>
      <c r="K215" s="14"/>
      <c r="L215" s="15"/>
      <c r="M215" s="14"/>
      <c r="N215" s="15"/>
      <c r="O215" s="14"/>
      <c r="P215" s="15"/>
      <c r="Q215" s="14"/>
      <c r="R215" s="15"/>
      <c r="S215" s="14"/>
      <c r="T215" s="15"/>
      <c r="U215" s="14"/>
      <c r="V215" s="15"/>
      <c r="W215" s="14"/>
      <c r="X215" s="15"/>
      <c r="Y215" s="14"/>
      <c r="Z215" s="15"/>
      <c r="AA215" s="14"/>
      <c r="AB215" s="15"/>
      <c r="AC215" s="14"/>
      <c r="AD215" s="15"/>
      <c r="AE215" s="14"/>
      <c r="AF215" s="15"/>
      <c r="AG215" s="14"/>
      <c r="AH215" s="120"/>
      <c r="AI215" s="14"/>
      <c r="AJ215" s="114"/>
      <c r="AK215" s="107"/>
    </row>
    <row r="216" spans="1:37" ht="16.5" customHeight="1" x14ac:dyDescent="0.2">
      <c r="A216" s="6"/>
      <c r="B216" s="135">
        <f t="shared" si="74"/>
        <v>19</v>
      </c>
      <c r="C216" s="135">
        <f>'Kelas XII'!C205</f>
        <v>16057</v>
      </c>
      <c r="D216" s="117" t="str">
        <f>'Kelas XII'!D205</f>
        <v>HAFNA ILMI NAFISAH MAS'UD</v>
      </c>
      <c r="E216" s="14"/>
      <c r="F216" s="15"/>
      <c r="G216" s="14"/>
      <c r="H216" s="15"/>
      <c r="I216" s="14"/>
      <c r="J216" s="15"/>
      <c r="K216" s="14"/>
      <c r="L216" s="15"/>
      <c r="M216" s="14"/>
      <c r="N216" s="15"/>
      <c r="O216" s="14"/>
      <c r="P216" s="15"/>
      <c r="Q216" s="14"/>
      <c r="R216" s="15"/>
      <c r="S216" s="14"/>
      <c r="T216" s="15"/>
      <c r="U216" s="14"/>
      <c r="V216" s="15"/>
      <c r="W216" s="14"/>
      <c r="X216" s="15"/>
      <c r="Y216" s="14"/>
      <c r="Z216" s="15"/>
      <c r="AA216" s="14"/>
      <c r="AB216" s="15"/>
      <c r="AC216" s="14"/>
      <c r="AD216" s="15"/>
      <c r="AE216" s="14"/>
      <c r="AF216" s="15"/>
      <c r="AG216" s="14"/>
      <c r="AH216" s="120"/>
      <c r="AI216" s="14"/>
      <c r="AJ216" s="114"/>
      <c r="AK216" s="107"/>
    </row>
    <row r="217" spans="1:37" ht="16.5" customHeight="1" x14ac:dyDescent="0.2">
      <c r="A217" s="6"/>
      <c r="B217" s="135">
        <f t="shared" si="74"/>
        <v>20</v>
      </c>
      <c r="C217" s="135">
        <f>'Kelas XII'!C206</f>
        <v>16061</v>
      </c>
      <c r="D217" s="117" t="str">
        <f>'Kelas XII'!D206</f>
        <v>JESIKA KIRANA LARASATI</v>
      </c>
      <c r="E217" s="14"/>
      <c r="F217" s="15"/>
      <c r="G217" s="14"/>
      <c r="H217" s="15"/>
      <c r="I217" s="14"/>
      <c r="J217" s="15"/>
      <c r="K217" s="14"/>
      <c r="L217" s="15"/>
      <c r="M217" s="14"/>
      <c r="N217" s="15"/>
      <c r="O217" s="14"/>
      <c r="P217" s="15"/>
      <c r="Q217" s="14"/>
      <c r="R217" s="15"/>
      <c r="S217" s="14"/>
      <c r="T217" s="15"/>
      <c r="U217" s="14"/>
      <c r="V217" s="15"/>
      <c r="W217" s="14"/>
      <c r="X217" s="15"/>
      <c r="Y217" s="14"/>
      <c r="Z217" s="15"/>
      <c r="AA217" s="14"/>
      <c r="AB217" s="15"/>
      <c r="AC217" s="14"/>
      <c r="AD217" s="15"/>
      <c r="AE217" s="14"/>
      <c r="AF217" s="15"/>
      <c r="AG217" s="14"/>
      <c r="AH217" s="120"/>
      <c r="AI217" s="14"/>
      <c r="AJ217" s="114"/>
      <c r="AK217" s="107"/>
    </row>
    <row r="218" spans="1:37" ht="16.5" customHeight="1" x14ac:dyDescent="0.2">
      <c r="A218" s="6"/>
      <c r="B218" s="135">
        <f t="shared" si="74"/>
        <v>21</v>
      </c>
      <c r="C218" s="135">
        <f>'Kelas XII'!C207</f>
        <v>15972</v>
      </c>
      <c r="D218" s="117" t="str">
        <f>'Kelas XII'!D207</f>
        <v>KHOLBITA ZAHRA</v>
      </c>
      <c r="E218" s="14"/>
      <c r="F218" s="15"/>
      <c r="G218" s="14"/>
      <c r="H218" s="15"/>
      <c r="I218" s="14"/>
      <c r="J218" s="15"/>
      <c r="K218" s="14"/>
      <c r="L218" s="15"/>
      <c r="M218" s="14"/>
      <c r="N218" s="15"/>
      <c r="O218" s="14"/>
      <c r="P218" s="15"/>
      <c r="Q218" s="14"/>
      <c r="R218" s="15"/>
      <c r="S218" s="14"/>
      <c r="T218" s="15"/>
      <c r="U218" s="14"/>
      <c r="V218" s="15"/>
      <c r="W218" s="14"/>
      <c r="X218" s="15"/>
      <c r="Y218" s="14"/>
      <c r="Z218" s="15"/>
      <c r="AA218" s="14"/>
      <c r="AB218" s="15"/>
      <c r="AC218" s="14"/>
      <c r="AD218" s="15"/>
      <c r="AE218" s="14"/>
      <c r="AF218" s="15"/>
      <c r="AG218" s="14"/>
      <c r="AH218" s="120"/>
      <c r="AI218" s="14"/>
      <c r="AJ218" s="114"/>
      <c r="AK218" s="107"/>
    </row>
    <row r="219" spans="1:37" ht="16.5" customHeight="1" x14ac:dyDescent="0.2">
      <c r="A219" s="6"/>
      <c r="B219" s="135">
        <f t="shared" si="74"/>
        <v>22</v>
      </c>
      <c r="C219" s="135">
        <f>'Kelas XII'!C208</f>
        <v>16004</v>
      </c>
      <c r="D219" s="117" t="str">
        <f>'Kelas XII'!D208</f>
        <v>LUQMANA ILMA AZZAHRA</v>
      </c>
      <c r="E219" s="14"/>
      <c r="F219" s="15"/>
      <c r="G219" s="14"/>
      <c r="H219" s="15"/>
      <c r="I219" s="14"/>
      <c r="J219" s="15"/>
      <c r="K219" s="14"/>
      <c r="L219" s="15"/>
      <c r="M219" s="14"/>
      <c r="N219" s="15"/>
      <c r="O219" s="14"/>
      <c r="P219" s="15"/>
      <c r="Q219" s="14"/>
      <c r="R219" s="15"/>
      <c r="S219" s="14"/>
      <c r="T219" s="15"/>
      <c r="U219" s="14"/>
      <c r="V219" s="15"/>
      <c r="W219" s="14"/>
      <c r="X219" s="15"/>
      <c r="Y219" s="14"/>
      <c r="Z219" s="15"/>
      <c r="AA219" s="14"/>
      <c r="AB219" s="15"/>
      <c r="AC219" s="14"/>
      <c r="AD219" s="15"/>
      <c r="AE219" s="14"/>
      <c r="AF219" s="15"/>
      <c r="AG219" s="14"/>
      <c r="AH219" s="120"/>
      <c r="AI219" s="14"/>
      <c r="AJ219" s="114"/>
      <c r="AK219" s="107"/>
    </row>
    <row r="220" spans="1:37" ht="16.5" customHeight="1" x14ac:dyDescent="0.2">
      <c r="A220" s="6"/>
      <c r="B220" s="135">
        <f t="shared" si="74"/>
        <v>23</v>
      </c>
      <c r="C220" s="135">
        <f>'Kelas XII'!C209</f>
        <v>16064</v>
      </c>
      <c r="D220" s="117" t="str">
        <f>'Kelas XII'!D209</f>
        <v>NABILA SYIFA RAMZIYYAH</v>
      </c>
      <c r="E220" s="14"/>
      <c r="F220" s="15"/>
      <c r="G220" s="14"/>
      <c r="H220" s="15"/>
      <c r="I220" s="14"/>
      <c r="J220" s="15"/>
      <c r="K220" s="14"/>
      <c r="L220" s="15"/>
      <c r="M220" s="14"/>
      <c r="N220" s="15"/>
      <c r="O220" s="14"/>
      <c r="P220" s="15"/>
      <c r="Q220" s="14"/>
      <c r="R220" s="15"/>
      <c r="S220" s="14"/>
      <c r="T220" s="15"/>
      <c r="U220" s="14"/>
      <c r="V220" s="15"/>
      <c r="W220" s="14"/>
      <c r="X220" s="15"/>
      <c r="Y220" s="14"/>
      <c r="Z220" s="15"/>
      <c r="AA220" s="14"/>
      <c r="AB220" s="15"/>
      <c r="AC220" s="14"/>
      <c r="AD220" s="15"/>
      <c r="AE220" s="14"/>
      <c r="AF220" s="15"/>
      <c r="AG220" s="14"/>
      <c r="AH220" s="120"/>
      <c r="AI220" s="14"/>
      <c r="AJ220" s="114"/>
      <c r="AK220" s="107"/>
    </row>
    <row r="221" spans="1:37" ht="16.5" customHeight="1" x14ac:dyDescent="0.2">
      <c r="A221" s="6"/>
      <c r="B221" s="135">
        <f t="shared" si="74"/>
        <v>24</v>
      </c>
      <c r="C221" s="135">
        <f>'Kelas XII'!C210</f>
        <v>15977</v>
      </c>
      <c r="D221" s="117" t="str">
        <f>'Kelas XII'!D210</f>
        <v>NAURA ZAHIN ASSYIFANI</v>
      </c>
      <c r="E221" s="14"/>
      <c r="F221" s="15"/>
      <c r="G221" s="14"/>
      <c r="H221" s="15"/>
      <c r="I221" s="14"/>
      <c r="J221" s="15"/>
      <c r="K221" s="14"/>
      <c r="L221" s="15"/>
      <c r="M221" s="14"/>
      <c r="N221" s="15"/>
      <c r="O221" s="14"/>
      <c r="P221" s="15"/>
      <c r="Q221" s="14"/>
      <c r="R221" s="15"/>
      <c r="S221" s="14"/>
      <c r="T221" s="15"/>
      <c r="U221" s="14"/>
      <c r="V221" s="15"/>
      <c r="W221" s="14"/>
      <c r="X221" s="15"/>
      <c r="Y221" s="14"/>
      <c r="Z221" s="15"/>
      <c r="AA221" s="14"/>
      <c r="AB221" s="15"/>
      <c r="AC221" s="14"/>
      <c r="AD221" s="15"/>
      <c r="AE221" s="14"/>
      <c r="AF221" s="15"/>
      <c r="AG221" s="14"/>
      <c r="AH221" s="120"/>
      <c r="AI221" s="14"/>
      <c r="AJ221" s="114"/>
      <c r="AK221" s="107"/>
    </row>
    <row r="222" spans="1:37" ht="16.5" customHeight="1" x14ac:dyDescent="0.2">
      <c r="A222" s="6"/>
      <c r="B222" s="135">
        <f t="shared" si="74"/>
        <v>25</v>
      </c>
      <c r="C222" s="135">
        <f>'Kelas XII'!C211</f>
        <v>16038</v>
      </c>
      <c r="D222" s="117" t="str">
        <f>'Kelas XII'!D211</f>
        <v>RACHMA AULIA ZILMI KAFAH</v>
      </c>
      <c r="E222" s="14"/>
      <c r="F222" s="15"/>
      <c r="G222" s="14"/>
      <c r="H222" s="15"/>
      <c r="I222" s="14"/>
      <c r="J222" s="15"/>
      <c r="K222" s="14"/>
      <c r="L222" s="15"/>
      <c r="M222" s="14"/>
      <c r="N222" s="15"/>
      <c r="O222" s="14"/>
      <c r="P222" s="15"/>
      <c r="Q222" s="14"/>
      <c r="R222" s="15"/>
      <c r="S222" s="14"/>
      <c r="T222" s="15"/>
      <c r="U222" s="14"/>
      <c r="V222" s="15"/>
      <c r="W222" s="14"/>
      <c r="X222" s="15"/>
      <c r="Y222" s="14"/>
      <c r="Z222" s="15"/>
      <c r="AA222" s="14"/>
      <c r="AB222" s="15"/>
      <c r="AC222" s="14"/>
      <c r="AD222" s="15"/>
      <c r="AE222" s="14"/>
      <c r="AF222" s="15"/>
      <c r="AG222" s="14"/>
      <c r="AH222" s="120"/>
      <c r="AI222" s="14"/>
      <c r="AJ222" s="114"/>
      <c r="AK222" s="107"/>
    </row>
    <row r="223" spans="1:37" ht="16.5" customHeight="1" x14ac:dyDescent="0.2">
      <c r="A223" s="6"/>
      <c r="B223" s="135">
        <f t="shared" si="74"/>
        <v>26</v>
      </c>
      <c r="C223" s="135">
        <f>'Kelas XII'!C212</f>
        <v>15979</v>
      </c>
      <c r="D223" s="117" t="str">
        <f>'Kelas XII'!D212</f>
        <v>RAHIEL LAYYA LIYUDZA</v>
      </c>
      <c r="E223" s="14"/>
      <c r="F223" s="15"/>
      <c r="G223" s="14"/>
      <c r="H223" s="15"/>
      <c r="I223" s="14"/>
      <c r="J223" s="15"/>
      <c r="K223" s="14"/>
      <c r="L223" s="15"/>
      <c r="M223" s="14"/>
      <c r="N223" s="15"/>
      <c r="O223" s="14"/>
      <c r="P223" s="15"/>
      <c r="Q223" s="14"/>
      <c r="R223" s="15"/>
      <c r="S223" s="14"/>
      <c r="T223" s="15"/>
      <c r="U223" s="14"/>
      <c r="V223" s="15"/>
      <c r="W223" s="14"/>
      <c r="X223" s="15"/>
      <c r="Y223" s="14"/>
      <c r="Z223" s="15"/>
      <c r="AA223" s="14"/>
      <c r="AB223" s="15"/>
      <c r="AC223" s="14"/>
      <c r="AD223" s="15"/>
      <c r="AE223" s="14"/>
      <c r="AF223" s="15"/>
      <c r="AG223" s="14"/>
      <c r="AH223" s="120"/>
      <c r="AI223" s="14"/>
      <c r="AJ223" s="114"/>
      <c r="AK223" s="107"/>
    </row>
    <row r="224" spans="1:37" ht="16.5" customHeight="1" x14ac:dyDescent="0.2">
      <c r="A224" s="6"/>
      <c r="B224" s="135">
        <f t="shared" si="74"/>
        <v>27</v>
      </c>
      <c r="C224" s="135">
        <f>'Kelas XII'!C213</f>
        <v>16039</v>
      </c>
      <c r="D224" s="117" t="str">
        <f>'Kelas XII'!D213</f>
        <v>RATU VANESSHA YUI MUSTIKA</v>
      </c>
      <c r="E224" s="14"/>
      <c r="F224" s="15"/>
      <c r="G224" s="14"/>
      <c r="H224" s="15"/>
      <c r="I224" s="14"/>
      <c r="J224" s="15"/>
      <c r="K224" s="14"/>
      <c r="L224" s="15"/>
      <c r="M224" s="14"/>
      <c r="N224" s="15"/>
      <c r="O224" s="14"/>
      <c r="P224" s="15"/>
      <c r="Q224" s="14"/>
      <c r="R224" s="15"/>
      <c r="S224" s="14"/>
      <c r="T224" s="15"/>
      <c r="U224" s="14"/>
      <c r="V224" s="15"/>
      <c r="W224" s="14"/>
      <c r="X224" s="15"/>
      <c r="Y224" s="14"/>
      <c r="Z224" s="15"/>
      <c r="AA224" s="14"/>
      <c r="AB224" s="15"/>
      <c r="AC224" s="14"/>
      <c r="AD224" s="15"/>
      <c r="AE224" s="14"/>
      <c r="AF224" s="15"/>
      <c r="AG224" s="14"/>
      <c r="AH224" s="120"/>
      <c r="AI224" s="14"/>
      <c r="AJ224" s="114"/>
      <c r="AK224" s="107"/>
    </row>
    <row r="225" spans="1:37" ht="16.5" customHeight="1" x14ac:dyDescent="0.2">
      <c r="A225" s="6"/>
      <c r="B225" s="135">
        <f t="shared" si="74"/>
        <v>28</v>
      </c>
      <c r="C225" s="135">
        <f>'Kelas XII'!C214</f>
        <v>16009</v>
      </c>
      <c r="D225" s="117" t="str">
        <f>'Kelas XII'!D214</f>
        <v>RIA SELVIA DEWI</v>
      </c>
      <c r="E225" s="16"/>
      <c r="F225" s="17"/>
      <c r="G225" s="16"/>
      <c r="H225" s="17"/>
      <c r="I225" s="16"/>
      <c r="J225" s="17"/>
      <c r="K225" s="16"/>
      <c r="L225" s="17"/>
      <c r="M225" s="16"/>
      <c r="N225" s="17"/>
      <c r="O225" s="16"/>
      <c r="P225" s="17"/>
      <c r="Q225" s="16"/>
      <c r="R225" s="17"/>
      <c r="S225" s="16"/>
      <c r="T225" s="17"/>
      <c r="U225" s="16"/>
      <c r="V225" s="17"/>
      <c r="W225" s="16"/>
      <c r="X225" s="17"/>
      <c r="Y225" s="16"/>
      <c r="Z225" s="17"/>
      <c r="AA225" s="16"/>
      <c r="AB225" s="17"/>
      <c r="AC225" s="16"/>
      <c r="AD225" s="17"/>
      <c r="AE225" s="16"/>
      <c r="AF225" s="17"/>
      <c r="AG225" s="16"/>
      <c r="AH225" s="121"/>
      <c r="AI225" s="16"/>
      <c r="AJ225" s="115"/>
      <c r="AK225" s="107"/>
    </row>
    <row r="226" spans="1:37" ht="16.5" customHeight="1" x14ac:dyDescent="0.2">
      <c r="A226" s="6"/>
      <c r="B226" s="135">
        <f t="shared" si="74"/>
        <v>29</v>
      </c>
      <c r="C226" s="135">
        <f>'Kelas XII'!C215</f>
        <v>16010</v>
      </c>
      <c r="D226" s="117" t="str">
        <f>'Kelas XII'!D215</f>
        <v>RIFANNY MAULA SYIFA'</v>
      </c>
      <c r="E226" s="16"/>
      <c r="F226" s="17"/>
      <c r="G226" s="16"/>
      <c r="H226" s="17"/>
      <c r="I226" s="16"/>
      <c r="J226" s="17"/>
      <c r="K226" s="16"/>
      <c r="L226" s="17"/>
      <c r="M226" s="16"/>
      <c r="N226" s="17"/>
      <c r="O226" s="16"/>
      <c r="P226" s="17"/>
      <c r="Q226" s="16"/>
      <c r="R226" s="17"/>
      <c r="S226" s="16"/>
      <c r="T226" s="17"/>
      <c r="U226" s="16"/>
      <c r="V226" s="17"/>
      <c r="W226" s="16"/>
      <c r="X226" s="17"/>
      <c r="Y226" s="16"/>
      <c r="Z226" s="17"/>
      <c r="AA226" s="16"/>
      <c r="AB226" s="17"/>
      <c r="AC226" s="16"/>
      <c r="AD226" s="17"/>
      <c r="AE226" s="16"/>
      <c r="AF226" s="17"/>
      <c r="AG226" s="16"/>
      <c r="AH226" s="121"/>
      <c r="AI226" s="16"/>
      <c r="AJ226" s="115"/>
      <c r="AK226" s="107"/>
    </row>
    <row r="227" spans="1:37" ht="16.5" customHeight="1" x14ac:dyDescent="0.2">
      <c r="A227" s="6"/>
      <c r="B227" s="135">
        <f t="shared" si="74"/>
        <v>30</v>
      </c>
      <c r="C227" s="135">
        <f>'Kelas XII'!C216</f>
        <v>16041</v>
      </c>
      <c r="D227" s="117" t="str">
        <f>'Kelas XII'!D216</f>
        <v>RIRIN RAHMAWATI</v>
      </c>
      <c r="E227" s="16"/>
      <c r="F227" s="17"/>
      <c r="G227" s="16"/>
      <c r="H227" s="17"/>
      <c r="I227" s="16"/>
      <c r="J227" s="17"/>
      <c r="K227" s="16"/>
      <c r="L227" s="17"/>
      <c r="M227" s="16"/>
      <c r="N227" s="17"/>
      <c r="O227" s="16"/>
      <c r="P227" s="17"/>
      <c r="Q227" s="16"/>
      <c r="R227" s="17"/>
      <c r="S227" s="16"/>
      <c r="T227" s="17"/>
      <c r="U227" s="16"/>
      <c r="V227" s="17"/>
      <c r="W227" s="16"/>
      <c r="X227" s="17"/>
      <c r="Y227" s="16"/>
      <c r="Z227" s="17"/>
      <c r="AA227" s="16"/>
      <c r="AB227" s="17"/>
      <c r="AC227" s="16"/>
      <c r="AD227" s="17"/>
      <c r="AE227" s="16"/>
      <c r="AF227" s="17"/>
      <c r="AG227" s="16"/>
      <c r="AH227" s="121"/>
      <c r="AI227" s="16"/>
      <c r="AJ227" s="115"/>
      <c r="AK227" s="107"/>
    </row>
    <row r="228" spans="1:37" ht="16.5" customHeight="1" x14ac:dyDescent="0.2">
      <c r="A228" s="6"/>
      <c r="B228" s="135">
        <f t="shared" si="74"/>
        <v>31</v>
      </c>
      <c r="C228" s="135">
        <f>'Kelas XII'!C217</f>
        <v>16070</v>
      </c>
      <c r="D228" s="117" t="str">
        <f>'Kelas XII'!D217</f>
        <v>RIZKA ZAHRIL AULIA</v>
      </c>
      <c r="E228" s="16"/>
      <c r="F228" s="17"/>
      <c r="G228" s="16"/>
      <c r="H228" s="17"/>
      <c r="I228" s="16"/>
      <c r="J228" s="17"/>
      <c r="K228" s="16"/>
      <c r="L228" s="17"/>
      <c r="M228" s="16"/>
      <c r="N228" s="17"/>
      <c r="O228" s="16"/>
      <c r="P228" s="17"/>
      <c r="Q228" s="16"/>
      <c r="R228" s="17"/>
      <c r="S228" s="16"/>
      <c r="T228" s="17"/>
      <c r="U228" s="16"/>
      <c r="V228" s="17"/>
      <c r="W228" s="16"/>
      <c r="X228" s="17"/>
      <c r="Y228" s="16"/>
      <c r="Z228" s="17"/>
      <c r="AA228" s="16"/>
      <c r="AB228" s="17"/>
      <c r="AC228" s="16"/>
      <c r="AD228" s="17"/>
      <c r="AE228" s="16"/>
      <c r="AF228" s="17"/>
      <c r="AG228" s="16"/>
      <c r="AH228" s="121"/>
      <c r="AI228" s="16"/>
      <c r="AJ228" s="115"/>
      <c r="AK228" s="107"/>
    </row>
    <row r="229" spans="1:37" ht="16.5" customHeight="1" x14ac:dyDescent="0.2">
      <c r="A229" s="6"/>
      <c r="B229" s="135">
        <f t="shared" si="74"/>
        <v>32</v>
      </c>
      <c r="C229" s="135">
        <f>'Kelas XII'!C218</f>
        <v>16071</v>
      </c>
      <c r="D229" s="117" t="str">
        <f>'Kelas XII'!D218</f>
        <v>SAKINA NURUS SALMA</v>
      </c>
      <c r="E229" s="16"/>
      <c r="F229" s="17"/>
      <c r="G229" s="16"/>
      <c r="H229" s="17"/>
      <c r="I229" s="16"/>
      <c r="J229" s="17"/>
      <c r="K229" s="16"/>
      <c r="L229" s="17"/>
      <c r="M229" s="16"/>
      <c r="N229" s="17"/>
      <c r="O229" s="16"/>
      <c r="P229" s="17"/>
      <c r="Q229" s="16"/>
      <c r="R229" s="17"/>
      <c r="S229" s="16"/>
      <c r="T229" s="17"/>
      <c r="U229" s="16"/>
      <c r="V229" s="17"/>
      <c r="W229" s="16"/>
      <c r="X229" s="17"/>
      <c r="Y229" s="16"/>
      <c r="Z229" s="17"/>
      <c r="AA229" s="16"/>
      <c r="AB229" s="17"/>
      <c r="AC229" s="16"/>
      <c r="AD229" s="17"/>
      <c r="AE229" s="16"/>
      <c r="AF229" s="17"/>
      <c r="AG229" s="16"/>
      <c r="AH229" s="121"/>
      <c r="AI229" s="16"/>
      <c r="AJ229" s="115"/>
      <c r="AK229" s="107"/>
    </row>
    <row r="230" spans="1:37" ht="16.5" customHeight="1" x14ac:dyDescent="0.2">
      <c r="A230" s="6"/>
      <c r="B230" s="135">
        <f t="shared" si="74"/>
        <v>33</v>
      </c>
      <c r="C230" s="135">
        <f>'Kelas XII'!C219</f>
        <v>16043</v>
      </c>
      <c r="D230" s="117" t="str">
        <f>'Kelas XII'!D219</f>
        <v>SALSABILA AZ ZAHRA</v>
      </c>
      <c r="E230" s="16"/>
      <c r="F230" s="17"/>
      <c r="G230" s="16"/>
      <c r="H230" s="17"/>
      <c r="I230" s="16"/>
      <c r="J230" s="17"/>
      <c r="K230" s="16"/>
      <c r="L230" s="17"/>
      <c r="M230" s="16"/>
      <c r="N230" s="17"/>
      <c r="O230" s="16"/>
      <c r="P230" s="17"/>
      <c r="Q230" s="16"/>
      <c r="R230" s="17"/>
      <c r="S230" s="16"/>
      <c r="T230" s="17"/>
      <c r="U230" s="16"/>
      <c r="V230" s="17"/>
      <c r="W230" s="16"/>
      <c r="X230" s="17"/>
      <c r="Y230" s="16"/>
      <c r="Z230" s="17"/>
      <c r="AA230" s="16"/>
      <c r="AB230" s="17"/>
      <c r="AC230" s="16"/>
      <c r="AD230" s="17"/>
      <c r="AE230" s="16"/>
      <c r="AF230" s="17"/>
      <c r="AG230" s="16"/>
      <c r="AH230" s="121"/>
      <c r="AI230" s="16"/>
      <c r="AJ230" s="115"/>
      <c r="AK230" s="107"/>
    </row>
    <row r="231" spans="1:37" ht="16.5" customHeight="1" x14ac:dyDescent="0.2">
      <c r="A231" s="6"/>
      <c r="B231" s="135">
        <f t="shared" si="74"/>
        <v>34</v>
      </c>
      <c r="C231" s="135">
        <f>'Kelas XII'!C220</f>
        <v>16017</v>
      </c>
      <c r="D231" s="117" t="str">
        <f>'Kelas XII'!D220</f>
        <v>YUMNA AMELIA PUTRI</v>
      </c>
      <c r="E231" s="16"/>
      <c r="F231" s="17"/>
      <c r="G231" s="16"/>
      <c r="H231" s="17"/>
      <c r="I231" s="16"/>
      <c r="J231" s="17"/>
      <c r="K231" s="16"/>
      <c r="L231" s="17"/>
      <c r="M231" s="16"/>
      <c r="N231" s="17"/>
      <c r="O231" s="16"/>
      <c r="P231" s="17"/>
      <c r="Q231" s="16"/>
      <c r="R231" s="17"/>
      <c r="S231" s="16"/>
      <c r="T231" s="17"/>
      <c r="U231" s="16"/>
      <c r="V231" s="17"/>
      <c r="W231" s="16"/>
      <c r="X231" s="17"/>
      <c r="Y231" s="16"/>
      <c r="Z231" s="17"/>
      <c r="AA231" s="16"/>
      <c r="AB231" s="17"/>
      <c r="AC231" s="16"/>
      <c r="AD231" s="17"/>
      <c r="AE231" s="16"/>
      <c r="AF231" s="17"/>
      <c r="AG231" s="16"/>
      <c r="AH231" s="121"/>
      <c r="AI231" s="16"/>
      <c r="AJ231" s="115"/>
      <c r="AK231" s="107"/>
    </row>
    <row r="232" spans="1:37" ht="16.5" customHeight="1" x14ac:dyDescent="0.2">
      <c r="A232" s="6"/>
      <c r="B232" s="135">
        <f t="shared" si="74"/>
        <v>35</v>
      </c>
      <c r="C232" s="135">
        <f>'Kelas XII'!C221</f>
        <v>16018</v>
      </c>
      <c r="D232" s="117" t="str">
        <f>'Kelas XII'!D221</f>
        <v>ZAHROTUL FITRI KHASANAH</v>
      </c>
      <c r="E232" s="16"/>
      <c r="F232" s="17"/>
      <c r="G232" s="16"/>
      <c r="H232" s="17"/>
      <c r="I232" s="16"/>
      <c r="J232" s="17"/>
      <c r="K232" s="16"/>
      <c r="L232" s="17"/>
      <c r="M232" s="16"/>
      <c r="N232" s="17"/>
      <c r="O232" s="16"/>
      <c r="P232" s="17"/>
      <c r="Q232" s="16"/>
      <c r="R232" s="17"/>
      <c r="S232" s="16"/>
      <c r="T232" s="17"/>
      <c r="U232" s="16"/>
      <c r="V232" s="17"/>
      <c r="W232" s="16"/>
      <c r="X232" s="17"/>
      <c r="Y232" s="16"/>
      <c r="Z232" s="17"/>
      <c r="AA232" s="16"/>
      <c r="AB232" s="17"/>
      <c r="AC232" s="16"/>
      <c r="AD232" s="17"/>
      <c r="AE232" s="16"/>
      <c r="AF232" s="17"/>
      <c r="AG232" s="16"/>
      <c r="AH232" s="121"/>
      <c r="AI232" s="16"/>
      <c r="AJ232" s="115"/>
      <c r="AK232" s="107"/>
    </row>
    <row r="233" spans="1:37" ht="16.5" customHeight="1" x14ac:dyDescent="0.2">
      <c r="A233" s="6"/>
      <c r="B233" s="135">
        <f t="shared" si="74"/>
        <v>36</v>
      </c>
      <c r="C233" s="135">
        <f>'Kelas XII'!C222</f>
        <v>15988</v>
      </c>
      <c r="D233" s="117" t="str">
        <f>'Kelas XII'!D222</f>
        <v>ZERRIN KHALILA FATIKHATUL 'IZZA</v>
      </c>
      <c r="E233" s="16"/>
      <c r="F233" s="17"/>
      <c r="G233" s="16"/>
      <c r="H233" s="17"/>
      <c r="I233" s="16"/>
      <c r="J233" s="17"/>
      <c r="K233" s="16"/>
      <c r="L233" s="17"/>
      <c r="M233" s="16"/>
      <c r="N233" s="17"/>
      <c r="O233" s="16"/>
      <c r="P233" s="17"/>
      <c r="Q233" s="16"/>
      <c r="R233" s="17"/>
      <c r="S233" s="16"/>
      <c r="T233" s="17"/>
      <c r="U233" s="16"/>
      <c r="V233" s="17"/>
      <c r="W233" s="16"/>
      <c r="X233" s="17"/>
      <c r="Y233" s="16"/>
      <c r="Z233" s="17"/>
      <c r="AA233" s="16"/>
      <c r="AB233" s="17"/>
      <c r="AC233" s="16"/>
      <c r="AD233" s="17"/>
      <c r="AE233" s="16"/>
      <c r="AF233" s="17"/>
      <c r="AG233" s="16"/>
      <c r="AH233" s="121"/>
      <c r="AI233" s="16"/>
      <c r="AJ233" s="115"/>
      <c r="AK233" s="107"/>
    </row>
    <row r="234" spans="1:37" ht="16.5" customHeight="1" thickBot="1" x14ac:dyDescent="0.25">
      <c r="A234" s="6"/>
      <c r="B234" s="143">
        <f t="shared" si="74"/>
        <v>37</v>
      </c>
      <c r="C234" s="143">
        <f>'Kelas XII'!C223</f>
        <v>0</v>
      </c>
      <c r="D234" s="145">
        <f>'Kelas XII'!D223</f>
        <v>0</v>
      </c>
      <c r="E234" s="18"/>
      <c r="F234" s="19"/>
      <c r="G234" s="18"/>
      <c r="H234" s="19"/>
      <c r="I234" s="18"/>
      <c r="J234" s="19"/>
      <c r="K234" s="18"/>
      <c r="L234" s="19"/>
      <c r="M234" s="18"/>
      <c r="N234" s="19"/>
      <c r="O234" s="18"/>
      <c r="P234" s="19"/>
      <c r="Q234" s="18"/>
      <c r="R234" s="19"/>
      <c r="S234" s="18"/>
      <c r="T234" s="19"/>
      <c r="U234" s="18"/>
      <c r="V234" s="19"/>
      <c r="W234" s="18"/>
      <c r="X234" s="19"/>
      <c r="Y234" s="18"/>
      <c r="Z234" s="19"/>
      <c r="AA234" s="18"/>
      <c r="AB234" s="19"/>
      <c r="AC234" s="18"/>
      <c r="AD234" s="19"/>
      <c r="AE234" s="18"/>
      <c r="AF234" s="19"/>
      <c r="AG234" s="18"/>
      <c r="AH234" s="122"/>
      <c r="AI234" s="18"/>
      <c r="AJ234" s="116"/>
      <c r="AK234" s="107"/>
    </row>
    <row r="235" spans="1:37" ht="16.5" customHeight="1" x14ac:dyDescent="0.2">
      <c r="A235" s="6"/>
      <c r="B235" s="8"/>
      <c r="C235" s="20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149"/>
      <c r="AK235" s="6"/>
    </row>
    <row r="236" spans="1:37" ht="16.5" customHeight="1" thickBot="1" x14ac:dyDescent="0.25">
      <c r="A236" s="6"/>
      <c r="B236" s="6"/>
      <c r="C236" s="20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150"/>
      <c r="AK236" s="6"/>
    </row>
    <row r="237" spans="1:37" ht="16.5" customHeight="1" x14ac:dyDescent="0.2">
      <c r="A237" s="6"/>
      <c r="B237" s="279"/>
      <c r="C237" s="280"/>
      <c r="D237" s="283" t="s">
        <v>3</v>
      </c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  <c r="AA237" s="284"/>
      <c r="AB237" s="284"/>
      <c r="AC237" s="284"/>
      <c r="AD237" s="284"/>
      <c r="AE237" s="284"/>
      <c r="AF237" s="284"/>
      <c r="AG237" s="284"/>
      <c r="AH237" s="284"/>
      <c r="AI237" s="284"/>
      <c r="AJ237" s="285"/>
      <c r="AK237" s="107"/>
    </row>
    <row r="238" spans="1:37" ht="16.5" customHeight="1" x14ac:dyDescent="0.2">
      <c r="A238" s="6"/>
      <c r="B238" s="281"/>
      <c r="C238" s="282"/>
      <c r="D238" s="286" t="s">
        <v>4</v>
      </c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87"/>
      <c r="AB238" s="287"/>
      <c r="AC238" s="287"/>
      <c r="AD238" s="287"/>
      <c r="AE238" s="287"/>
      <c r="AF238" s="287"/>
      <c r="AG238" s="287"/>
      <c r="AH238" s="287"/>
      <c r="AI238" s="287"/>
      <c r="AJ238" s="288"/>
      <c r="AK238" s="107"/>
    </row>
    <row r="239" spans="1:37" ht="16.5" customHeight="1" x14ac:dyDescent="0.2">
      <c r="A239" s="6"/>
      <c r="B239" s="281"/>
      <c r="C239" s="282"/>
      <c r="D239" s="286" t="s">
        <v>547</v>
      </c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87"/>
      <c r="AB239" s="287"/>
      <c r="AC239" s="287"/>
      <c r="AD239" s="287"/>
      <c r="AE239" s="287"/>
      <c r="AF239" s="287"/>
      <c r="AG239" s="287"/>
      <c r="AH239" s="287"/>
      <c r="AI239" s="287"/>
      <c r="AJ239" s="288"/>
      <c r="AK239" s="107"/>
    </row>
    <row r="240" spans="1:37" ht="16.5" customHeight="1" thickBot="1" x14ac:dyDescent="0.25">
      <c r="A240" s="6"/>
      <c r="B240" s="281"/>
      <c r="C240" s="282"/>
      <c r="D240" s="289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0"/>
      <c r="P240" s="290"/>
      <c r="Q240" s="290"/>
      <c r="R240" s="290"/>
      <c r="S240" s="290"/>
      <c r="T240" s="290"/>
      <c r="U240" s="290"/>
      <c r="V240" s="290"/>
      <c r="W240" s="290"/>
      <c r="X240" s="290"/>
      <c r="Y240" s="290"/>
      <c r="Z240" s="290"/>
      <c r="AA240" s="290"/>
      <c r="AB240" s="290"/>
      <c r="AC240" s="290"/>
      <c r="AD240" s="290"/>
      <c r="AE240" s="290"/>
      <c r="AF240" s="290"/>
      <c r="AG240" s="290"/>
      <c r="AH240" s="290"/>
      <c r="AI240" s="290"/>
      <c r="AJ240" s="291"/>
      <c r="AK240" s="107"/>
    </row>
    <row r="241" spans="1:37" ht="16.5" customHeight="1" thickBot="1" x14ac:dyDescent="0.25">
      <c r="A241" s="6"/>
      <c r="B241" s="292"/>
      <c r="C241" s="293"/>
      <c r="D241" s="9" t="s">
        <v>254</v>
      </c>
      <c r="E241" s="10" t="s">
        <v>11</v>
      </c>
      <c r="F241" s="10"/>
      <c r="G241" s="10"/>
      <c r="H241" s="10"/>
      <c r="I241" s="10"/>
      <c r="J241" s="149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 t="s">
        <v>5</v>
      </c>
      <c r="AB241" s="10"/>
      <c r="AC241" s="10" t="s">
        <v>524</v>
      </c>
      <c r="AD241" s="10"/>
      <c r="AE241" s="10"/>
      <c r="AF241" s="10"/>
      <c r="AG241" s="10"/>
      <c r="AH241" s="10"/>
      <c r="AI241" s="10"/>
      <c r="AJ241" s="158"/>
      <c r="AK241" s="107"/>
    </row>
    <row r="242" spans="1:37" ht="16.5" customHeight="1" thickBot="1" x14ac:dyDescent="0.25">
      <c r="A242" s="6"/>
      <c r="B242" s="294" t="s">
        <v>6</v>
      </c>
      <c r="C242" s="294"/>
      <c r="D242" s="295" t="s">
        <v>7</v>
      </c>
      <c r="E242" s="292"/>
      <c r="F242" s="298"/>
      <c r="G242" s="298"/>
      <c r="H242" s="298"/>
      <c r="I242" s="298"/>
      <c r="J242" s="298"/>
      <c r="K242" s="298"/>
      <c r="L242" s="298"/>
      <c r="M242" s="298"/>
      <c r="N242" s="298"/>
      <c r="O242" s="298"/>
      <c r="P242" s="298"/>
      <c r="Q242" s="298"/>
      <c r="R242" s="298"/>
      <c r="S242" s="298"/>
      <c r="T242" s="298"/>
      <c r="U242" s="298"/>
      <c r="V242" s="298"/>
      <c r="W242" s="298"/>
      <c r="X242" s="298"/>
      <c r="Y242" s="298"/>
      <c r="Z242" s="298"/>
      <c r="AA242" s="298"/>
      <c r="AB242" s="298"/>
      <c r="AC242" s="298"/>
      <c r="AD242" s="298"/>
      <c r="AE242" s="298"/>
      <c r="AF242" s="298"/>
      <c r="AG242" s="298"/>
      <c r="AH242" s="298"/>
      <c r="AI242" s="298"/>
      <c r="AJ242" s="293"/>
      <c r="AK242" s="107"/>
    </row>
    <row r="243" spans="1:37" ht="16.5" customHeight="1" thickBot="1" x14ac:dyDescent="0.25">
      <c r="A243" s="6"/>
      <c r="B243" s="295" t="s">
        <v>8</v>
      </c>
      <c r="C243" s="295" t="s">
        <v>9</v>
      </c>
      <c r="D243" s="296"/>
      <c r="E243" s="292">
        <f>E8</f>
        <v>17</v>
      </c>
      <c r="F243" s="298"/>
      <c r="G243" s="292">
        <f>E243+1</f>
        <v>18</v>
      </c>
      <c r="H243" s="298"/>
      <c r="I243" s="292">
        <f t="shared" ref="I243" si="75">G243+1</f>
        <v>19</v>
      </c>
      <c r="J243" s="298"/>
      <c r="K243" s="292">
        <f t="shared" ref="K243" si="76">I243+1</f>
        <v>20</v>
      </c>
      <c r="L243" s="298"/>
      <c r="M243" s="292">
        <f t="shared" ref="M243" si="77">K243+1</f>
        <v>21</v>
      </c>
      <c r="N243" s="298"/>
      <c r="O243" s="292">
        <f t="shared" ref="O243" si="78">M243+1</f>
        <v>22</v>
      </c>
      <c r="P243" s="298"/>
      <c r="Q243" s="292">
        <f t="shared" ref="Q243" si="79">O243+1</f>
        <v>23</v>
      </c>
      <c r="R243" s="298"/>
      <c r="S243" s="292">
        <f t="shared" ref="S243" si="80">Q243+1</f>
        <v>24</v>
      </c>
      <c r="T243" s="298"/>
      <c r="U243" s="292">
        <f t="shared" ref="U243" si="81">S243+1</f>
        <v>25</v>
      </c>
      <c r="V243" s="298"/>
      <c r="W243" s="292">
        <f t="shared" ref="W243" si="82">U243+1</f>
        <v>26</v>
      </c>
      <c r="X243" s="298"/>
      <c r="Y243" s="292">
        <f t="shared" ref="Y243" si="83">W243+1</f>
        <v>27</v>
      </c>
      <c r="Z243" s="298"/>
      <c r="AA243" s="292">
        <f t="shared" ref="AA243" si="84">Y243+1</f>
        <v>28</v>
      </c>
      <c r="AB243" s="298"/>
      <c r="AC243" s="292">
        <f t="shared" ref="AC243" si="85">AA243+1</f>
        <v>29</v>
      </c>
      <c r="AD243" s="298"/>
      <c r="AE243" s="292">
        <f t="shared" ref="AE243" si="86">AC243+1</f>
        <v>30</v>
      </c>
      <c r="AF243" s="298"/>
      <c r="AG243" s="292">
        <f t="shared" ref="AG243" si="87">AE243+1</f>
        <v>31</v>
      </c>
      <c r="AH243" s="298"/>
      <c r="AI243" s="292">
        <f t="shared" ref="AI243" si="88">AG243+1</f>
        <v>32</v>
      </c>
      <c r="AJ243" s="298"/>
      <c r="AK243" s="107"/>
    </row>
    <row r="244" spans="1:37" ht="23.25" customHeight="1" thickBot="1" x14ac:dyDescent="0.25">
      <c r="A244" s="6"/>
      <c r="B244" s="297"/>
      <c r="C244" s="297"/>
      <c r="D244" s="297"/>
      <c r="E244" s="108" t="s">
        <v>13</v>
      </c>
      <c r="F244" s="108" t="s">
        <v>14</v>
      </c>
      <c r="G244" s="108" t="s">
        <v>13</v>
      </c>
      <c r="H244" s="108" t="s">
        <v>14</v>
      </c>
      <c r="I244" s="108" t="s">
        <v>13</v>
      </c>
      <c r="J244" s="108" t="s">
        <v>14</v>
      </c>
      <c r="K244" s="108" t="s">
        <v>13</v>
      </c>
      <c r="L244" s="108" t="s">
        <v>14</v>
      </c>
      <c r="M244" s="108" t="s">
        <v>13</v>
      </c>
      <c r="N244" s="108" t="s">
        <v>14</v>
      </c>
      <c r="O244" s="108" t="s">
        <v>13</v>
      </c>
      <c r="P244" s="108" t="s">
        <v>14</v>
      </c>
      <c r="Q244" s="108" t="s">
        <v>13</v>
      </c>
      <c r="R244" s="108" t="s">
        <v>14</v>
      </c>
      <c r="S244" s="108" t="s">
        <v>13</v>
      </c>
      <c r="T244" s="108" t="s">
        <v>14</v>
      </c>
      <c r="U244" s="108" t="s">
        <v>13</v>
      </c>
      <c r="V244" s="108" t="s">
        <v>14</v>
      </c>
      <c r="W244" s="108" t="s">
        <v>13</v>
      </c>
      <c r="X244" s="108" t="s">
        <v>14</v>
      </c>
      <c r="Y244" s="108" t="s">
        <v>13</v>
      </c>
      <c r="Z244" s="108" t="s">
        <v>14</v>
      </c>
      <c r="AA244" s="108" t="s">
        <v>13</v>
      </c>
      <c r="AB244" s="108" t="s">
        <v>14</v>
      </c>
      <c r="AC244" s="108" t="s">
        <v>13</v>
      </c>
      <c r="AD244" s="108" t="s">
        <v>14</v>
      </c>
      <c r="AE244" s="108" t="s">
        <v>13</v>
      </c>
      <c r="AF244" s="108" t="s">
        <v>14</v>
      </c>
      <c r="AG244" s="108" t="s">
        <v>13</v>
      </c>
      <c r="AH244" s="108" t="s">
        <v>14</v>
      </c>
      <c r="AI244" s="108" t="s">
        <v>13</v>
      </c>
      <c r="AJ244" s="108" t="s">
        <v>14</v>
      </c>
      <c r="AK244" s="107"/>
    </row>
    <row r="245" spans="1:37" ht="16.5" customHeight="1" x14ac:dyDescent="0.2">
      <c r="A245" s="6"/>
      <c r="B245" s="148">
        <v>1</v>
      </c>
      <c r="C245" s="22">
        <f>'Kelas XII'!C233</f>
        <v>15992</v>
      </c>
      <c r="D245" s="34" t="str">
        <f>'Kelas XII'!D233</f>
        <v>AUFA ANGGUN FAYYADHAH</v>
      </c>
      <c r="E245" s="12"/>
      <c r="F245" s="13"/>
      <c r="G245" s="12"/>
      <c r="H245" s="13"/>
      <c r="I245" s="12"/>
      <c r="J245" s="13"/>
      <c r="K245" s="12"/>
      <c r="L245" s="13"/>
      <c r="M245" s="12"/>
      <c r="N245" s="13"/>
      <c r="O245" s="12"/>
      <c r="P245" s="13"/>
      <c r="Q245" s="12"/>
      <c r="R245" s="13"/>
      <c r="S245" s="12"/>
      <c r="T245" s="13"/>
      <c r="U245" s="12"/>
      <c r="V245" s="13"/>
      <c r="W245" s="12"/>
      <c r="X245" s="13"/>
      <c r="Y245" s="12"/>
      <c r="Z245" s="13"/>
      <c r="AA245" s="12"/>
      <c r="AB245" s="13"/>
      <c r="AC245" s="12"/>
      <c r="AD245" s="119"/>
      <c r="AE245" s="118"/>
      <c r="AF245" s="136"/>
      <c r="AG245" s="109"/>
      <c r="AH245" s="137"/>
      <c r="AI245" s="118"/>
      <c r="AJ245" s="109"/>
      <c r="AK245" s="107"/>
    </row>
    <row r="246" spans="1:37" ht="16.5" customHeight="1" x14ac:dyDescent="0.2">
      <c r="A246" s="6"/>
      <c r="B246" s="11">
        <f t="shared" ref="B246:B278" si="89">B245+1</f>
        <v>2</v>
      </c>
      <c r="C246" s="135">
        <f>'Kelas XII'!C234</f>
        <v>16048</v>
      </c>
      <c r="D246" s="34" t="str">
        <f>'Kelas XII'!D234</f>
        <v>CALYA WIDYA PUTRI WIBOWO</v>
      </c>
      <c r="E246" s="14"/>
      <c r="F246" s="15"/>
      <c r="G246" s="14"/>
      <c r="H246" s="15"/>
      <c r="I246" s="14"/>
      <c r="J246" s="15"/>
      <c r="K246" s="14"/>
      <c r="L246" s="15"/>
      <c r="M246" s="14"/>
      <c r="N246" s="15"/>
      <c r="O246" s="14"/>
      <c r="P246" s="15"/>
      <c r="Q246" s="14"/>
      <c r="R246" s="15"/>
      <c r="S246" s="14"/>
      <c r="T246" s="15"/>
      <c r="U246" s="14"/>
      <c r="V246" s="15"/>
      <c r="W246" s="14"/>
      <c r="X246" s="15"/>
      <c r="Y246" s="14"/>
      <c r="Z246" s="15"/>
      <c r="AA246" s="14"/>
      <c r="AB246" s="15"/>
      <c r="AC246" s="14"/>
      <c r="AD246" s="120"/>
      <c r="AE246" s="14"/>
      <c r="AF246" s="114"/>
      <c r="AG246" s="110"/>
      <c r="AH246" s="138"/>
      <c r="AI246" s="14"/>
      <c r="AJ246" s="110"/>
      <c r="AK246" s="107"/>
    </row>
    <row r="247" spans="1:37" ht="16.5" customHeight="1" x14ac:dyDescent="0.2">
      <c r="A247" s="6"/>
      <c r="B247" s="11">
        <f t="shared" si="89"/>
        <v>3</v>
      </c>
      <c r="C247" s="135">
        <f>'Kelas XII'!C235</f>
        <v>16054</v>
      </c>
      <c r="D247" s="34" t="str">
        <f>'Kelas XII'!D235</f>
        <v>GANES ANINDYA</v>
      </c>
      <c r="E247" s="14"/>
      <c r="F247" s="15"/>
      <c r="G247" s="14"/>
      <c r="H247" s="15"/>
      <c r="I247" s="14"/>
      <c r="J247" s="15"/>
      <c r="K247" s="14"/>
      <c r="L247" s="15"/>
      <c r="M247" s="14"/>
      <c r="N247" s="15"/>
      <c r="O247" s="14"/>
      <c r="P247" s="15"/>
      <c r="Q247" s="14"/>
      <c r="R247" s="15"/>
      <c r="S247" s="14"/>
      <c r="T247" s="15"/>
      <c r="U247" s="14"/>
      <c r="V247" s="15"/>
      <c r="W247" s="14"/>
      <c r="X247" s="15"/>
      <c r="Y247" s="14"/>
      <c r="Z247" s="15"/>
      <c r="AA247" s="14"/>
      <c r="AB247" s="15"/>
      <c r="AC247" s="14"/>
      <c r="AD247" s="120"/>
      <c r="AE247" s="14"/>
      <c r="AF247" s="114"/>
      <c r="AG247" s="110"/>
      <c r="AH247" s="138"/>
      <c r="AI247" s="14"/>
      <c r="AJ247" s="110"/>
      <c r="AK247" s="107"/>
    </row>
    <row r="248" spans="1:37" ht="16.5" customHeight="1" x14ac:dyDescent="0.2">
      <c r="A248" s="6"/>
      <c r="B248" s="11">
        <f t="shared" si="89"/>
        <v>4</v>
      </c>
      <c r="C248" s="135">
        <f>'Kelas XII'!C236</f>
        <v>15969</v>
      </c>
      <c r="D248" s="34" t="str">
        <f>'Kelas XII'!D236</f>
        <v>GITA JAZA'ANIL HUSNA</v>
      </c>
      <c r="E248" s="14"/>
      <c r="F248" s="15"/>
      <c r="G248" s="14"/>
      <c r="H248" s="15"/>
      <c r="I248" s="14"/>
      <c r="J248" s="15"/>
      <c r="K248" s="14"/>
      <c r="L248" s="15"/>
      <c r="M248" s="14"/>
      <c r="N248" s="15"/>
      <c r="O248" s="14"/>
      <c r="P248" s="15"/>
      <c r="Q248" s="14"/>
      <c r="R248" s="15"/>
      <c r="S248" s="14"/>
      <c r="T248" s="15"/>
      <c r="U248" s="14"/>
      <c r="V248" s="15"/>
      <c r="W248" s="14"/>
      <c r="X248" s="15"/>
      <c r="Y248" s="14"/>
      <c r="Z248" s="15"/>
      <c r="AA248" s="14"/>
      <c r="AB248" s="15"/>
      <c r="AC248" s="14"/>
      <c r="AD248" s="120"/>
      <c r="AE248" s="14"/>
      <c r="AF248" s="114"/>
      <c r="AG248" s="110"/>
      <c r="AH248" s="138"/>
      <c r="AI248" s="14"/>
      <c r="AJ248" s="110"/>
      <c r="AK248" s="107"/>
    </row>
    <row r="249" spans="1:37" ht="16.5" customHeight="1" x14ac:dyDescent="0.2">
      <c r="A249" s="6"/>
      <c r="B249" s="11">
        <f t="shared" si="89"/>
        <v>5</v>
      </c>
      <c r="C249" s="135">
        <f>'Kelas XII'!C237</f>
        <v>16056</v>
      </c>
      <c r="D249" s="34" t="str">
        <f>'Kelas XII'!D237</f>
        <v>HABIBATI NASYWA SALSABILA</v>
      </c>
      <c r="E249" s="14"/>
      <c r="F249" s="15"/>
      <c r="G249" s="14"/>
      <c r="H249" s="15"/>
      <c r="I249" s="14"/>
      <c r="J249" s="15"/>
      <c r="K249" s="14"/>
      <c r="L249" s="15"/>
      <c r="M249" s="14"/>
      <c r="N249" s="15"/>
      <c r="O249" s="14"/>
      <c r="P249" s="15"/>
      <c r="Q249" s="14"/>
      <c r="R249" s="15"/>
      <c r="S249" s="14"/>
      <c r="T249" s="15"/>
      <c r="U249" s="14"/>
      <c r="V249" s="15"/>
      <c r="W249" s="14"/>
      <c r="X249" s="15"/>
      <c r="Y249" s="14"/>
      <c r="Z249" s="15"/>
      <c r="AA249" s="14"/>
      <c r="AB249" s="15"/>
      <c r="AC249" s="14"/>
      <c r="AD249" s="120"/>
      <c r="AE249" s="14"/>
      <c r="AF249" s="114"/>
      <c r="AG249" s="110"/>
      <c r="AH249" s="138"/>
      <c r="AI249" s="14"/>
      <c r="AJ249" s="110"/>
      <c r="AK249" s="107"/>
    </row>
    <row r="250" spans="1:37" ht="16.5" customHeight="1" x14ac:dyDescent="0.2">
      <c r="A250" s="6"/>
      <c r="B250" s="11">
        <f t="shared" si="89"/>
        <v>6</v>
      </c>
      <c r="C250" s="135">
        <f>'Kelas XII'!C238</f>
        <v>16062</v>
      </c>
      <c r="D250" s="34" t="str">
        <f>'Kelas XII'!D238</f>
        <v>KAEYSA AMIRA FALEEHA</v>
      </c>
      <c r="E250" s="14"/>
      <c r="F250" s="15"/>
      <c r="G250" s="14"/>
      <c r="H250" s="15"/>
      <c r="I250" s="14"/>
      <c r="J250" s="15"/>
      <c r="K250" s="14"/>
      <c r="L250" s="15"/>
      <c r="M250" s="14"/>
      <c r="N250" s="15"/>
      <c r="O250" s="14"/>
      <c r="P250" s="15"/>
      <c r="Q250" s="14"/>
      <c r="R250" s="15"/>
      <c r="S250" s="14"/>
      <c r="T250" s="15"/>
      <c r="U250" s="14"/>
      <c r="V250" s="15"/>
      <c r="W250" s="14"/>
      <c r="X250" s="15"/>
      <c r="Y250" s="14"/>
      <c r="Z250" s="15"/>
      <c r="AA250" s="14"/>
      <c r="AB250" s="15"/>
      <c r="AC250" s="14"/>
      <c r="AD250" s="120"/>
      <c r="AE250" s="14"/>
      <c r="AF250" s="114"/>
      <c r="AG250" s="110"/>
      <c r="AH250" s="138"/>
      <c r="AI250" s="14"/>
      <c r="AJ250" s="110"/>
      <c r="AK250" s="107"/>
    </row>
    <row r="251" spans="1:37" ht="16.5" customHeight="1" x14ac:dyDescent="0.2">
      <c r="A251" s="6"/>
      <c r="B251" s="11">
        <f t="shared" si="89"/>
        <v>7</v>
      </c>
      <c r="C251" s="135">
        <f>'Kelas XII'!C239</f>
        <v>15970</v>
      </c>
      <c r="D251" s="34" t="str">
        <f>'Kelas XII'!D239</f>
        <v>KAILAZAHRA LAZUARDANI</v>
      </c>
      <c r="E251" s="14"/>
      <c r="F251" s="15"/>
      <c r="G251" s="14"/>
      <c r="H251" s="15"/>
      <c r="I251" s="14"/>
      <c r="J251" s="15"/>
      <c r="K251" s="14"/>
      <c r="L251" s="15"/>
      <c r="M251" s="14"/>
      <c r="N251" s="15"/>
      <c r="O251" s="14"/>
      <c r="P251" s="15"/>
      <c r="Q251" s="14"/>
      <c r="R251" s="15"/>
      <c r="S251" s="14"/>
      <c r="T251" s="15"/>
      <c r="U251" s="14"/>
      <c r="V251" s="15"/>
      <c r="W251" s="14"/>
      <c r="X251" s="15"/>
      <c r="Y251" s="14"/>
      <c r="Z251" s="15"/>
      <c r="AA251" s="14"/>
      <c r="AB251" s="15"/>
      <c r="AC251" s="14"/>
      <c r="AD251" s="120"/>
      <c r="AE251" s="14"/>
      <c r="AF251" s="114"/>
      <c r="AG251" s="110"/>
      <c r="AH251" s="138"/>
      <c r="AI251" s="14"/>
      <c r="AJ251" s="110"/>
      <c r="AK251" s="107"/>
    </row>
    <row r="252" spans="1:37" ht="16.5" customHeight="1" x14ac:dyDescent="0.2">
      <c r="A252" s="6"/>
      <c r="B252" s="11">
        <f t="shared" si="89"/>
        <v>8</v>
      </c>
      <c r="C252" s="135">
        <f>'Kelas XII'!C240</f>
        <v>16035</v>
      </c>
      <c r="D252" s="34" t="str">
        <f>'Kelas XII'!D240</f>
        <v>KHANSA ANNIKA FATIN</v>
      </c>
      <c r="E252" s="14"/>
      <c r="F252" s="15"/>
      <c r="G252" s="14"/>
      <c r="H252" s="15"/>
      <c r="I252" s="14"/>
      <c r="J252" s="15"/>
      <c r="K252" s="14"/>
      <c r="L252" s="15"/>
      <c r="M252" s="14"/>
      <c r="N252" s="15"/>
      <c r="O252" s="14"/>
      <c r="P252" s="15"/>
      <c r="Q252" s="14"/>
      <c r="R252" s="15"/>
      <c r="S252" s="14"/>
      <c r="T252" s="15"/>
      <c r="U252" s="14"/>
      <c r="V252" s="15"/>
      <c r="W252" s="14"/>
      <c r="X252" s="15"/>
      <c r="Y252" s="14"/>
      <c r="Z252" s="15"/>
      <c r="AA252" s="14"/>
      <c r="AB252" s="15"/>
      <c r="AC252" s="14"/>
      <c r="AD252" s="120"/>
      <c r="AE252" s="14"/>
      <c r="AF252" s="114"/>
      <c r="AG252" s="110"/>
      <c r="AH252" s="138"/>
      <c r="AI252" s="14"/>
      <c r="AJ252" s="110"/>
      <c r="AK252" s="107"/>
    </row>
    <row r="253" spans="1:37" ht="16.5" customHeight="1" x14ac:dyDescent="0.2">
      <c r="A253" s="6"/>
      <c r="B253" s="11">
        <f t="shared" si="89"/>
        <v>9</v>
      </c>
      <c r="C253" s="135">
        <f>'Kelas XII'!C241</f>
        <v>16003</v>
      </c>
      <c r="D253" s="34" t="str">
        <f>'Kelas XII'!D241</f>
        <v>KHAYLA AISYA HERMAWAN</v>
      </c>
      <c r="E253" s="14"/>
      <c r="F253" s="15"/>
      <c r="G253" s="14"/>
      <c r="H253" s="15"/>
      <c r="I253" s="14"/>
      <c r="J253" s="15"/>
      <c r="K253" s="14"/>
      <c r="L253" s="15"/>
      <c r="M253" s="14"/>
      <c r="N253" s="15"/>
      <c r="O253" s="14"/>
      <c r="P253" s="15"/>
      <c r="Q253" s="14"/>
      <c r="R253" s="15"/>
      <c r="S253" s="14"/>
      <c r="T253" s="15"/>
      <c r="U253" s="14"/>
      <c r="V253" s="15"/>
      <c r="W253" s="14"/>
      <c r="X253" s="15"/>
      <c r="Y253" s="14"/>
      <c r="Z253" s="15"/>
      <c r="AA253" s="14"/>
      <c r="AB253" s="15"/>
      <c r="AC253" s="14"/>
      <c r="AD253" s="120"/>
      <c r="AE253" s="14"/>
      <c r="AF253" s="114"/>
      <c r="AG253" s="110"/>
      <c r="AH253" s="138"/>
      <c r="AI253" s="14"/>
      <c r="AJ253" s="110"/>
      <c r="AK253" s="107"/>
    </row>
    <row r="254" spans="1:37" ht="16.5" customHeight="1" x14ac:dyDescent="0.2">
      <c r="A254" s="6"/>
      <c r="B254" s="11">
        <f t="shared" si="89"/>
        <v>10</v>
      </c>
      <c r="C254" s="135">
        <f>'Kelas XII'!C242</f>
        <v>15974</v>
      </c>
      <c r="D254" s="34" t="str">
        <f>'Kelas XII'!D242</f>
        <v>MAIDAH INSANI KHARIMAH</v>
      </c>
      <c r="E254" s="14"/>
      <c r="F254" s="15"/>
      <c r="G254" s="14"/>
      <c r="H254" s="15"/>
      <c r="I254" s="14"/>
      <c r="J254" s="15"/>
      <c r="K254" s="14"/>
      <c r="L254" s="15"/>
      <c r="M254" s="14"/>
      <c r="N254" s="15"/>
      <c r="O254" s="14"/>
      <c r="P254" s="15"/>
      <c r="Q254" s="14"/>
      <c r="R254" s="15"/>
      <c r="S254" s="14"/>
      <c r="T254" s="15"/>
      <c r="U254" s="14"/>
      <c r="V254" s="15"/>
      <c r="W254" s="14"/>
      <c r="X254" s="15"/>
      <c r="Y254" s="14"/>
      <c r="Z254" s="15"/>
      <c r="AA254" s="14"/>
      <c r="AB254" s="15"/>
      <c r="AC254" s="14"/>
      <c r="AD254" s="120"/>
      <c r="AE254" s="14"/>
      <c r="AF254" s="114"/>
      <c r="AG254" s="110"/>
      <c r="AH254" s="138"/>
      <c r="AI254" s="14"/>
      <c r="AJ254" s="110"/>
      <c r="AK254" s="107"/>
    </row>
    <row r="255" spans="1:37" ht="16.5" customHeight="1" x14ac:dyDescent="0.2">
      <c r="A255" s="6"/>
      <c r="B255" s="11">
        <f t="shared" si="89"/>
        <v>11</v>
      </c>
      <c r="C255" s="135">
        <f>'Kelas XII'!C243</f>
        <v>16005</v>
      </c>
      <c r="D255" s="34" t="str">
        <f>'Kelas XII'!D243</f>
        <v>NAHDAH AULYA KUSUMA WARDANI</v>
      </c>
      <c r="E255" s="14"/>
      <c r="F255" s="15"/>
      <c r="G255" s="14"/>
      <c r="H255" s="15"/>
      <c r="I255" s="14"/>
      <c r="J255" s="15"/>
      <c r="K255" s="14"/>
      <c r="L255" s="15"/>
      <c r="M255" s="14"/>
      <c r="N255" s="15"/>
      <c r="O255" s="14"/>
      <c r="P255" s="15"/>
      <c r="Q255" s="14"/>
      <c r="R255" s="15"/>
      <c r="S255" s="14"/>
      <c r="T255" s="15"/>
      <c r="U255" s="14"/>
      <c r="V255" s="15"/>
      <c r="W255" s="14"/>
      <c r="X255" s="15"/>
      <c r="Y255" s="14"/>
      <c r="Z255" s="15"/>
      <c r="AA255" s="14"/>
      <c r="AB255" s="15"/>
      <c r="AC255" s="14"/>
      <c r="AD255" s="120"/>
      <c r="AE255" s="14"/>
      <c r="AF255" s="114"/>
      <c r="AG255" s="110"/>
      <c r="AH255" s="138"/>
      <c r="AI255" s="14"/>
      <c r="AJ255" s="110"/>
      <c r="AK255" s="107"/>
    </row>
    <row r="256" spans="1:37" ht="16.5" customHeight="1" x14ac:dyDescent="0.2">
      <c r="A256" s="6"/>
      <c r="B256" s="11">
        <f t="shared" si="89"/>
        <v>12</v>
      </c>
      <c r="C256" s="135">
        <f>'Kelas XII'!C244</f>
        <v>16007</v>
      </c>
      <c r="D256" s="34" t="str">
        <f>'Kelas XII'!D244</f>
        <v>NASJWA AUBREY CLEARITA</v>
      </c>
      <c r="E256" s="14"/>
      <c r="F256" s="15"/>
      <c r="G256" s="14"/>
      <c r="H256" s="15"/>
      <c r="I256" s="14"/>
      <c r="J256" s="15"/>
      <c r="K256" s="14"/>
      <c r="L256" s="15"/>
      <c r="M256" s="14"/>
      <c r="N256" s="15"/>
      <c r="O256" s="14"/>
      <c r="P256" s="15"/>
      <c r="Q256" s="14"/>
      <c r="R256" s="15"/>
      <c r="S256" s="14"/>
      <c r="T256" s="15"/>
      <c r="U256" s="14"/>
      <c r="V256" s="15"/>
      <c r="W256" s="14"/>
      <c r="X256" s="15"/>
      <c r="Y256" s="14"/>
      <c r="Z256" s="15"/>
      <c r="AA256" s="14"/>
      <c r="AB256" s="15"/>
      <c r="AC256" s="14"/>
      <c r="AD256" s="120"/>
      <c r="AE256" s="14"/>
      <c r="AF256" s="114"/>
      <c r="AG256" s="110"/>
      <c r="AH256" s="138"/>
      <c r="AI256" s="14"/>
      <c r="AJ256" s="110"/>
      <c r="AK256" s="107"/>
    </row>
    <row r="257" spans="1:37" ht="16.5" customHeight="1" x14ac:dyDescent="0.2">
      <c r="A257" s="6"/>
      <c r="B257" s="11">
        <f t="shared" si="89"/>
        <v>13</v>
      </c>
      <c r="C257" s="135">
        <f>'Kelas XII'!C245</f>
        <v>16065</v>
      </c>
      <c r="D257" s="34" t="str">
        <f>'Kelas XII'!D245</f>
        <v>NEYSA RAYA ZANETA</v>
      </c>
      <c r="E257" s="14"/>
      <c r="F257" s="15"/>
      <c r="G257" s="14"/>
      <c r="H257" s="15"/>
      <c r="I257" s="14"/>
      <c r="J257" s="15"/>
      <c r="K257" s="14"/>
      <c r="L257" s="15"/>
      <c r="M257" s="14"/>
      <c r="N257" s="15"/>
      <c r="O257" s="14"/>
      <c r="P257" s="15"/>
      <c r="Q257" s="14"/>
      <c r="R257" s="15"/>
      <c r="S257" s="14"/>
      <c r="T257" s="15"/>
      <c r="U257" s="14"/>
      <c r="V257" s="15"/>
      <c r="W257" s="14"/>
      <c r="X257" s="15"/>
      <c r="Y257" s="14"/>
      <c r="Z257" s="15"/>
      <c r="AA257" s="14"/>
      <c r="AB257" s="15"/>
      <c r="AC257" s="14"/>
      <c r="AD257" s="120"/>
      <c r="AE257" s="14"/>
      <c r="AF257" s="114"/>
      <c r="AG257" s="110"/>
      <c r="AH257" s="138"/>
      <c r="AI257" s="14"/>
      <c r="AJ257" s="110"/>
      <c r="AK257" s="107"/>
    </row>
    <row r="258" spans="1:37" ht="16.5" customHeight="1" x14ac:dyDescent="0.2">
      <c r="A258" s="6"/>
      <c r="B258" s="11">
        <f t="shared" si="89"/>
        <v>14</v>
      </c>
      <c r="C258" s="135">
        <f>'Kelas XII'!C246</f>
        <v>16008</v>
      </c>
      <c r="D258" s="34" t="str">
        <f>'Kelas XII'!D246</f>
        <v>NI'MATUS SHOLICHAH</v>
      </c>
      <c r="E258" s="14"/>
      <c r="F258" s="15"/>
      <c r="G258" s="14"/>
      <c r="H258" s="15"/>
      <c r="I258" s="14"/>
      <c r="J258" s="15"/>
      <c r="K258" s="14"/>
      <c r="L258" s="15"/>
      <c r="M258" s="14"/>
      <c r="N258" s="15"/>
      <c r="O258" s="14"/>
      <c r="P258" s="15"/>
      <c r="Q258" s="14"/>
      <c r="R258" s="15"/>
      <c r="S258" s="14"/>
      <c r="T258" s="15"/>
      <c r="U258" s="14"/>
      <c r="V258" s="15"/>
      <c r="W258" s="14"/>
      <c r="X258" s="15"/>
      <c r="Y258" s="14"/>
      <c r="Z258" s="15"/>
      <c r="AA258" s="14"/>
      <c r="AB258" s="15"/>
      <c r="AC258" s="14"/>
      <c r="AD258" s="120"/>
      <c r="AE258" s="14"/>
      <c r="AF258" s="114"/>
      <c r="AG258" s="110"/>
      <c r="AH258" s="138"/>
      <c r="AI258" s="14"/>
      <c r="AJ258" s="110"/>
      <c r="AK258" s="107"/>
    </row>
    <row r="259" spans="1:37" ht="16.5" customHeight="1" x14ac:dyDescent="0.2">
      <c r="A259" s="6"/>
      <c r="B259" s="11">
        <f t="shared" si="89"/>
        <v>15</v>
      </c>
      <c r="C259" s="135">
        <f>'Kelas XII'!C247</f>
        <v>15978</v>
      </c>
      <c r="D259" s="34" t="str">
        <f>'Kelas XII'!D247</f>
        <v>PUTRI ELSA ANGGRAINI</v>
      </c>
      <c r="E259" s="14"/>
      <c r="F259" s="15"/>
      <c r="G259" s="14"/>
      <c r="H259" s="15"/>
      <c r="I259" s="14"/>
      <c r="J259" s="15"/>
      <c r="K259" s="14"/>
      <c r="L259" s="15"/>
      <c r="M259" s="14"/>
      <c r="N259" s="15"/>
      <c r="O259" s="14"/>
      <c r="P259" s="15"/>
      <c r="Q259" s="14"/>
      <c r="R259" s="15"/>
      <c r="S259" s="14"/>
      <c r="T259" s="15"/>
      <c r="U259" s="14"/>
      <c r="V259" s="15"/>
      <c r="W259" s="14"/>
      <c r="X259" s="15"/>
      <c r="Y259" s="14"/>
      <c r="Z259" s="15"/>
      <c r="AA259" s="14"/>
      <c r="AB259" s="15"/>
      <c r="AC259" s="14"/>
      <c r="AD259" s="120"/>
      <c r="AE259" s="14"/>
      <c r="AF259" s="114"/>
      <c r="AG259" s="110"/>
      <c r="AH259" s="138"/>
      <c r="AI259" s="14"/>
      <c r="AJ259" s="110"/>
      <c r="AK259" s="107"/>
    </row>
    <row r="260" spans="1:37" ht="16.5" customHeight="1" x14ac:dyDescent="0.2">
      <c r="A260" s="6"/>
      <c r="B260" s="11">
        <f t="shared" si="89"/>
        <v>16</v>
      </c>
      <c r="C260" s="135">
        <f>'Kelas XII'!C248</f>
        <v>16040</v>
      </c>
      <c r="D260" s="34" t="str">
        <f>'Kelas XII'!D248</f>
        <v>RICHA SILVIE AL-FATH</v>
      </c>
      <c r="E260" s="14"/>
      <c r="F260" s="15"/>
      <c r="G260" s="14"/>
      <c r="H260" s="15"/>
      <c r="I260" s="14"/>
      <c r="J260" s="15"/>
      <c r="K260" s="14"/>
      <c r="L260" s="15"/>
      <c r="M260" s="14"/>
      <c r="N260" s="15"/>
      <c r="O260" s="14"/>
      <c r="P260" s="15"/>
      <c r="Q260" s="14"/>
      <c r="R260" s="15"/>
      <c r="S260" s="14"/>
      <c r="T260" s="15"/>
      <c r="U260" s="14"/>
      <c r="V260" s="15"/>
      <c r="W260" s="14"/>
      <c r="X260" s="15"/>
      <c r="Y260" s="14"/>
      <c r="Z260" s="15"/>
      <c r="AA260" s="14"/>
      <c r="AB260" s="15"/>
      <c r="AC260" s="14"/>
      <c r="AD260" s="120"/>
      <c r="AE260" s="14"/>
      <c r="AF260" s="114"/>
      <c r="AG260" s="110"/>
      <c r="AH260" s="138"/>
      <c r="AI260" s="14"/>
      <c r="AJ260" s="110"/>
      <c r="AK260" s="107"/>
    </row>
    <row r="261" spans="1:37" ht="16.5" customHeight="1" x14ac:dyDescent="0.2">
      <c r="A261" s="6"/>
      <c r="B261" s="11">
        <f t="shared" si="89"/>
        <v>17</v>
      </c>
      <c r="C261" s="135">
        <f>'Kelas XII'!C249</f>
        <v>16011</v>
      </c>
      <c r="D261" s="34" t="str">
        <f>'Kelas XII'!D249</f>
        <v>RINA FITRI RAHAYU</v>
      </c>
      <c r="E261" s="14"/>
      <c r="F261" s="15"/>
      <c r="G261" s="14"/>
      <c r="H261" s="15"/>
      <c r="I261" s="14"/>
      <c r="J261" s="15"/>
      <c r="K261" s="14"/>
      <c r="L261" s="15"/>
      <c r="M261" s="14"/>
      <c r="N261" s="15"/>
      <c r="O261" s="14"/>
      <c r="P261" s="15"/>
      <c r="Q261" s="14"/>
      <c r="R261" s="15"/>
      <c r="S261" s="14"/>
      <c r="T261" s="15"/>
      <c r="U261" s="14"/>
      <c r="V261" s="15"/>
      <c r="W261" s="14"/>
      <c r="X261" s="15"/>
      <c r="Y261" s="14"/>
      <c r="Z261" s="15"/>
      <c r="AA261" s="14"/>
      <c r="AB261" s="15"/>
      <c r="AC261" s="14"/>
      <c r="AD261" s="120"/>
      <c r="AE261" s="14"/>
      <c r="AF261" s="114"/>
      <c r="AG261" s="110"/>
      <c r="AH261" s="138"/>
      <c r="AI261" s="14"/>
      <c r="AJ261" s="110"/>
      <c r="AK261" s="107"/>
    </row>
    <row r="262" spans="1:37" ht="16.5" customHeight="1" x14ac:dyDescent="0.2">
      <c r="A262" s="6"/>
      <c r="B262" s="11">
        <f t="shared" si="89"/>
        <v>18</v>
      </c>
      <c r="C262" s="135">
        <f>'Kelas XII'!C250</f>
        <v>15982</v>
      </c>
      <c r="D262" s="34" t="str">
        <f>'Kelas XII'!D250</f>
        <v>SHARIVA AQILA SAJIDA ALVI</v>
      </c>
      <c r="E262" s="14"/>
      <c r="F262" s="15"/>
      <c r="G262" s="14"/>
      <c r="H262" s="15"/>
      <c r="I262" s="14"/>
      <c r="J262" s="15"/>
      <c r="K262" s="14"/>
      <c r="L262" s="15"/>
      <c r="M262" s="14"/>
      <c r="N262" s="15"/>
      <c r="O262" s="14"/>
      <c r="P262" s="15"/>
      <c r="Q262" s="14"/>
      <c r="R262" s="15"/>
      <c r="S262" s="14"/>
      <c r="T262" s="15"/>
      <c r="U262" s="14"/>
      <c r="V262" s="15"/>
      <c r="W262" s="14"/>
      <c r="X262" s="15"/>
      <c r="Y262" s="14"/>
      <c r="Z262" s="15"/>
      <c r="AA262" s="14"/>
      <c r="AB262" s="15"/>
      <c r="AC262" s="14"/>
      <c r="AD262" s="120"/>
      <c r="AE262" s="14"/>
      <c r="AF262" s="114"/>
      <c r="AG262" s="110"/>
      <c r="AH262" s="138"/>
      <c r="AI262" s="14"/>
      <c r="AJ262" s="110"/>
      <c r="AK262" s="107"/>
    </row>
    <row r="263" spans="1:37" ht="16.5" customHeight="1" x14ac:dyDescent="0.2">
      <c r="A263" s="6"/>
      <c r="B263" s="11">
        <f t="shared" si="89"/>
        <v>19</v>
      </c>
      <c r="C263" s="135">
        <f>'Kelas XII'!C251</f>
        <v>15983</v>
      </c>
      <c r="D263" s="34" t="str">
        <f>'Kelas XII'!D251</f>
        <v>SHINTA RAHMA AZIZAH</v>
      </c>
      <c r="E263" s="14"/>
      <c r="F263" s="15"/>
      <c r="G263" s="14"/>
      <c r="H263" s="15"/>
      <c r="I263" s="14"/>
      <c r="J263" s="15"/>
      <c r="K263" s="14"/>
      <c r="L263" s="15"/>
      <c r="M263" s="14"/>
      <c r="N263" s="15"/>
      <c r="O263" s="14"/>
      <c r="P263" s="15"/>
      <c r="Q263" s="14"/>
      <c r="R263" s="15"/>
      <c r="S263" s="14"/>
      <c r="T263" s="15"/>
      <c r="U263" s="14"/>
      <c r="V263" s="15"/>
      <c r="W263" s="14"/>
      <c r="X263" s="15"/>
      <c r="Y263" s="14"/>
      <c r="Z263" s="15"/>
      <c r="AA263" s="14"/>
      <c r="AB263" s="15"/>
      <c r="AC263" s="14"/>
      <c r="AD263" s="120"/>
      <c r="AE263" s="14"/>
      <c r="AF263" s="114"/>
      <c r="AG263" s="110"/>
      <c r="AH263" s="138"/>
      <c r="AI263" s="14"/>
      <c r="AJ263" s="110"/>
      <c r="AK263" s="107"/>
    </row>
    <row r="264" spans="1:37" ht="16.5" customHeight="1" x14ac:dyDescent="0.2">
      <c r="A264" s="6"/>
      <c r="B264" s="11">
        <f t="shared" si="89"/>
        <v>20</v>
      </c>
      <c r="C264" s="135">
        <f>'Kelas XII'!C252</f>
        <v>16072</v>
      </c>
      <c r="D264" s="34" t="str">
        <f>'Kelas XII'!D252</f>
        <v>SITI ATMINAH HASNI</v>
      </c>
      <c r="E264" s="14"/>
      <c r="F264" s="15"/>
      <c r="G264" s="14"/>
      <c r="H264" s="15"/>
      <c r="I264" s="14"/>
      <c r="J264" s="15"/>
      <c r="K264" s="14"/>
      <c r="L264" s="15"/>
      <c r="M264" s="14"/>
      <c r="N264" s="15"/>
      <c r="O264" s="14"/>
      <c r="P264" s="15"/>
      <c r="Q264" s="14"/>
      <c r="R264" s="15"/>
      <c r="S264" s="14"/>
      <c r="T264" s="15"/>
      <c r="U264" s="14"/>
      <c r="V264" s="15"/>
      <c r="W264" s="14"/>
      <c r="X264" s="15"/>
      <c r="Y264" s="14"/>
      <c r="Z264" s="15"/>
      <c r="AA264" s="14"/>
      <c r="AB264" s="15"/>
      <c r="AC264" s="14"/>
      <c r="AD264" s="120"/>
      <c r="AE264" s="14"/>
      <c r="AF264" s="114"/>
      <c r="AG264" s="110"/>
      <c r="AH264" s="138"/>
      <c r="AI264" s="14"/>
      <c r="AJ264" s="110"/>
      <c r="AK264" s="107"/>
    </row>
    <row r="265" spans="1:37" ht="16.5" customHeight="1" x14ac:dyDescent="0.2">
      <c r="A265" s="6"/>
      <c r="B265" s="11">
        <f t="shared" si="89"/>
        <v>21</v>
      </c>
      <c r="C265" s="135">
        <f>'Kelas XII'!C253</f>
        <v>16013</v>
      </c>
      <c r="D265" s="34" t="str">
        <f>'Kelas XII'!D253</f>
        <v>SYARIFATUL AULIA ISMAYATEN</v>
      </c>
      <c r="E265" s="14"/>
      <c r="F265" s="15"/>
      <c r="G265" s="14"/>
      <c r="H265" s="15"/>
      <c r="I265" s="14"/>
      <c r="J265" s="15"/>
      <c r="K265" s="14"/>
      <c r="L265" s="15"/>
      <c r="M265" s="14"/>
      <c r="N265" s="15"/>
      <c r="O265" s="14"/>
      <c r="P265" s="15"/>
      <c r="Q265" s="14"/>
      <c r="R265" s="15"/>
      <c r="S265" s="14"/>
      <c r="T265" s="15"/>
      <c r="U265" s="14"/>
      <c r="V265" s="15"/>
      <c r="W265" s="14"/>
      <c r="X265" s="15"/>
      <c r="Y265" s="14"/>
      <c r="Z265" s="15"/>
      <c r="AA265" s="14"/>
      <c r="AB265" s="15"/>
      <c r="AC265" s="14"/>
      <c r="AD265" s="120"/>
      <c r="AE265" s="14"/>
      <c r="AF265" s="114"/>
      <c r="AG265" s="110"/>
      <c r="AH265" s="138"/>
      <c r="AI265" s="14"/>
      <c r="AJ265" s="110"/>
      <c r="AK265" s="107"/>
    </row>
    <row r="266" spans="1:37" ht="16.5" customHeight="1" x14ac:dyDescent="0.2">
      <c r="A266" s="6"/>
      <c r="B266" s="11">
        <f t="shared" si="89"/>
        <v>22</v>
      </c>
      <c r="C266" s="135">
        <f>'Kelas XII'!C254</f>
        <v>16074</v>
      </c>
      <c r="D266" s="34" t="str">
        <f>'Kelas XII'!D254</f>
        <v>TATA AZEEZA</v>
      </c>
      <c r="E266" s="14"/>
      <c r="F266" s="15"/>
      <c r="G266" s="14"/>
      <c r="H266" s="15"/>
      <c r="I266" s="14"/>
      <c r="J266" s="15"/>
      <c r="K266" s="14"/>
      <c r="L266" s="15"/>
      <c r="M266" s="14"/>
      <c r="N266" s="15"/>
      <c r="O266" s="14"/>
      <c r="P266" s="15"/>
      <c r="Q266" s="14"/>
      <c r="R266" s="15"/>
      <c r="S266" s="14"/>
      <c r="T266" s="15"/>
      <c r="U266" s="14"/>
      <c r="V266" s="15"/>
      <c r="W266" s="14"/>
      <c r="X266" s="15"/>
      <c r="Y266" s="14"/>
      <c r="Z266" s="15"/>
      <c r="AA266" s="14"/>
      <c r="AB266" s="15"/>
      <c r="AC266" s="14"/>
      <c r="AD266" s="120"/>
      <c r="AE266" s="14"/>
      <c r="AF266" s="114"/>
      <c r="AG266" s="110"/>
      <c r="AH266" s="138"/>
      <c r="AI266" s="14"/>
      <c r="AJ266" s="110"/>
      <c r="AK266" s="107"/>
    </row>
    <row r="267" spans="1:37" ht="16.5" customHeight="1" x14ac:dyDescent="0.2">
      <c r="A267" s="6"/>
      <c r="B267" s="11">
        <f t="shared" si="89"/>
        <v>23</v>
      </c>
      <c r="C267" s="135">
        <f>'Kelas XII'!C255</f>
        <v>16014</v>
      </c>
      <c r="D267" s="34" t="str">
        <f>'Kelas XII'!D255</f>
        <v>TSAABITAH BRILLIANT CHOLISTIE</v>
      </c>
      <c r="E267" s="14"/>
      <c r="F267" s="15"/>
      <c r="G267" s="14"/>
      <c r="H267" s="15"/>
      <c r="I267" s="14"/>
      <c r="J267" s="15"/>
      <c r="K267" s="14"/>
      <c r="L267" s="15"/>
      <c r="M267" s="14"/>
      <c r="N267" s="15"/>
      <c r="O267" s="14"/>
      <c r="P267" s="15"/>
      <c r="Q267" s="14"/>
      <c r="R267" s="15"/>
      <c r="S267" s="14"/>
      <c r="T267" s="15"/>
      <c r="U267" s="14"/>
      <c r="V267" s="15"/>
      <c r="W267" s="14"/>
      <c r="X267" s="15"/>
      <c r="Y267" s="14"/>
      <c r="Z267" s="15"/>
      <c r="AA267" s="14"/>
      <c r="AB267" s="15"/>
      <c r="AC267" s="14"/>
      <c r="AD267" s="120"/>
      <c r="AE267" s="14"/>
      <c r="AF267" s="114"/>
      <c r="AG267" s="110"/>
      <c r="AH267" s="138"/>
      <c r="AI267" s="14"/>
      <c r="AJ267" s="110"/>
      <c r="AK267" s="107"/>
    </row>
    <row r="268" spans="1:37" ht="16.5" customHeight="1" x14ac:dyDescent="0.2">
      <c r="A268" s="6"/>
      <c r="B268" s="11">
        <f t="shared" si="89"/>
        <v>24</v>
      </c>
      <c r="C268" s="135">
        <f>'Kelas XII'!C256</f>
        <v>15987</v>
      </c>
      <c r="D268" s="34" t="str">
        <f>'Kelas XII'!D256</f>
        <v>ZAHIRA TALITA ATHIFA</v>
      </c>
      <c r="E268" s="14"/>
      <c r="F268" s="15"/>
      <c r="G268" s="14"/>
      <c r="H268" s="15"/>
      <c r="I268" s="14"/>
      <c r="J268" s="15"/>
      <c r="K268" s="14"/>
      <c r="L268" s="15"/>
      <c r="M268" s="14"/>
      <c r="N268" s="15"/>
      <c r="O268" s="14"/>
      <c r="P268" s="15"/>
      <c r="Q268" s="14"/>
      <c r="R268" s="15"/>
      <c r="S268" s="14"/>
      <c r="T268" s="15"/>
      <c r="U268" s="14"/>
      <c r="V268" s="15"/>
      <c r="W268" s="14"/>
      <c r="X268" s="15"/>
      <c r="Y268" s="14"/>
      <c r="Z268" s="15"/>
      <c r="AA268" s="14"/>
      <c r="AB268" s="15"/>
      <c r="AC268" s="14"/>
      <c r="AD268" s="120"/>
      <c r="AE268" s="14"/>
      <c r="AF268" s="114"/>
      <c r="AG268" s="110"/>
      <c r="AH268" s="138"/>
      <c r="AI268" s="14"/>
      <c r="AJ268" s="110"/>
      <c r="AK268" s="107"/>
    </row>
    <row r="269" spans="1:37" ht="16.5" customHeight="1" x14ac:dyDescent="0.2">
      <c r="A269" s="6"/>
      <c r="B269" s="11">
        <f t="shared" si="89"/>
        <v>25</v>
      </c>
      <c r="C269" s="135">
        <f>'Kelas XII'!C257</f>
        <v>16045</v>
      </c>
      <c r="D269" s="34" t="str">
        <f>'Kelas XII'!D257</f>
        <v>ZAHRA TALITA DZAKIRA</v>
      </c>
      <c r="E269" s="14"/>
      <c r="F269" s="15"/>
      <c r="G269" s="14"/>
      <c r="H269" s="15"/>
      <c r="I269" s="14"/>
      <c r="J269" s="15"/>
      <c r="K269" s="14"/>
      <c r="L269" s="15"/>
      <c r="M269" s="14"/>
      <c r="N269" s="15"/>
      <c r="O269" s="14"/>
      <c r="P269" s="15"/>
      <c r="Q269" s="14"/>
      <c r="R269" s="15"/>
      <c r="S269" s="14"/>
      <c r="T269" s="15"/>
      <c r="U269" s="14"/>
      <c r="V269" s="15"/>
      <c r="W269" s="14"/>
      <c r="X269" s="15"/>
      <c r="Y269" s="14"/>
      <c r="Z269" s="15"/>
      <c r="AA269" s="14"/>
      <c r="AB269" s="15"/>
      <c r="AC269" s="14"/>
      <c r="AD269" s="120"/>
      <c r="AE269" s="14"/>
      <c r="AF269" s="114"/>
      <c r="AG269" s="110"/>
      <c r="AH269" s="138"/>
      <c r="AI269" s="14"/>
      <c r="AJ269" s="110"/>
      <c r="AK269" s="107"/>
    </row>
    <row r="270" spans="1:37" ht="16.5" customHeight="1" x14ac:dyDescent="0.2">
      <c r="A270" s="6"/>
      <c r="B270" s="11">
        <f t="shared" si="89"/>
        <v>26</v>
      </c>
      <c r="C270" s="135">
        <f>'Kelas XII'!C258</f>
        <v>16019</v>
      </c>
      <c r="D270" s="34" t="str">
        <f>'Kelas XII'!D258</f>
        <v>ZAHWA ALMIRA TUNGGA DEWI</v>
      </c>
      <c r="E270" s="14"/>
      <c r="F270" s="15"/>
      <c r="G270" s="14"/>
      <c r="H270" s="15"/>
      <c r="I270" s="14"/>
      <c r="J270" s="15"/>
      <c r="K270" s="14"/>
      <c r="L270" s="15"/>
      <c r="M270" s="14"/>
      <c r="N270" s="15"/>
      <c r="O270" s="14"/>
      <c r="P270" s="15"/>
      <c r="Q270" s="14"/>
      <c r="R270" s="15"/>
      <c r="S270" s="14"/>
      <c r="T270" s="15"/>
      <c r="U270" s="14"/>
      <c r="V270" s="15"/>
      <c r="W270" s="14"/>
      <c r="X270" s="15"/>
      <c r="Y270" s="14"/>
      <c r="Z270" s="15"/>
      <c r="AA270" s="14"/>
      <c r="AB270" s="15"/>
      <c r="AC270" s="14"/>
      <c r="AD270" s="120"/>
      <c r="AE270" s="14"/>
      <c r="AF270" s="114"/>
      <c r="AG270" s="110"/>
      <c r="AH270" s="138"/>
      <c r="AI270" s="14"/>
      <c r="AJ270" s="110"/>
      <c r="AK270" s="107"/>
    </row>
    <row r="271" spans="1:37" ht="16.5" customHeight="1" x14ac:dyDescent="0.2">
      <c r="A271" s="6"/>
      <c r="B271" s="11">
        <f t="shared" si="89"/>
        <v>27</v>
      </c>
      <c r="C271" s="135">
        <f>'Kelas XII'!C259</f>
        <v>0</v>
      </c>
      <c r="D271" s="34">
        <f>'Kelas XII'!D259</f>
        <v>0</v>
      </c>
      <c r="E271" s="14"/>
      <c r="F271" s="15"/>
      <c r="G271" s="14"/>
      <c r="H271" s="15"/>
      <c r="I271" s="14"/>
      <c r="J271" s="15"/>
      <c r="K271" s="14"/>
      <c r="L271" s="15"/>
      <c r="M271" s="14"/>
      <c r="N271" s="15"/>
      <c r="O271" s="14"/>
      <c r="P271" s="15"/>
      <c r="Q271" s="14"/>
      <c r="R271" s="15"/>
      <c r="S271" s="14"/>
      <c r="T271" s="15"/>
      <c r="U271" s="14"/>
      <c r="V271" s="15"/>
      <c r="W271" s="14"/>
      <c r="X271" s="15"/>
      <c r="Y271" s="14"/>
      <c r="Z271" s="15"/>
      <c r="AA271" s="14"/>
      <c r="AB271" s="15"/>
      <c r="AC271" s="14"/>
      <c r="AD271" s="120"/>
      <c r="AE271" s="14"/>
      <c r="AF271" s="114"/>
      <c r="AG271" s="110"/>
      <c r="AH271" s="138"/>
      <c r="AI271" s="14"/>
      <c r="AJ271" s="110"/>
      <c r="AK271" s="107"/>
    </row>
    <row r="272" spans="1:37" ht="16.5" customHeight="1" x14ac:dyDescent="0.2">
      <c r="A272" s="6"/>
      <c r="B272" s="11">
        <f t="shared" si="89"/>
        <v>28</v>
      </c>
      <c r="C272" s="135">
        <f>'Kelas XII'!C260</f>
        <v>0</v>
      </c>
      <c r="D272" s="34">
        <f>'Kelas XII'!D260</f>
        <v>0</v>
      </c>
      <c r="E272" s="14"/>
      <c r="F272" s="15"/>
      <c r="G272" s="14"/>
      <c r="H272" s="15"/>
      <c r="I272" s="14"/>
      <c r="J272" s="15"/>
      <c r="K272" s="14"/>
      <c r="L272" s="15"/>
      <c r="M272" s="14"/>
      <c r="N272" s="15"/>
      <c r="O272" s="14"/>
      <c r="P272" s="15"/>
      <c r="Q272" s="14"/>
      <c r="R272" s="15"/>
      <c r="S272" s="14"/>
      <c r="T272" s="15"/>
      <c r="U272" s="14"/>
      <c r="V272" s="15"/>
      <c r="W272" s="14"/>
      <c r="X272" s="15"/>
      <c r="Y272" s="14"/>
      <c r="Z272" s="15"/>
      <c r="AA272" s="14"/>
      <c r="AB272" s="15"/>
      <c r="AC272" s="14"/>
      <c r="AD272" s="120"/>
      <c r="AE272" s="14"/>
      <c r="AF272" s="114"/>
      <c r="AG272" s="110"/>
      <c r="AH272" s="138"/>
      <c r="AI272" s="14"/>
      <c r="AJ272" s="110"/>
      <c r="AK272" s="107"/>
    </row>
    <row r="273" spans="1:37" ht="16.5" customHeight="1" x14ac:dyDescent="0.2">
      <c r="A273" s="6"/>
      <c r="B273" s="11">
        <f t="shared" si="89"/>
        <v>29</v>
      </c>
      <c r="C273" s="135">
        <f>'Kelas XII'!C261</f>
        <v>0</v>
      </c>
      <c r="D273" s="34">
        <f>'Kelas XII'!D261</f>
        <v>0</v>
      </c>
      <c r="E273" s="16"/>
      <c r="F273" s="17"/>
      <c r="G273" s="16"/>
      <c r="H273" s="17"/>
      <c r="I273" s="16"/>
      <c r="J273" s="17"/>
      <c r="K273" s="16"/>
      <c r="L273" s="17"/>
      <c r="M273" s="16"/>
      <c r="N273" s="17"/>
      <c r="O273" s="16"/>
      <c r="P273" s="17"/>
      <c r="Q273" s="16"/>
      <c r="R273" s="17"/>
      <c r="S273" s="16"/>
      <c r="T273" s="17"/>
      <c r="U273" s="16"/>
      <c r="V273" s="17"/>
      <c r="W273" s="16"/>
      <c r="X273" s="17"/>
      <c r="Y273" s="16"/>
      <c r="Z273" s="17"/>
      <c r="AA273" s="16"/>
      <c r="AB273" s="17"/>
      <c r="AC273" s="16"/>
      <c r="AD273" s="121"/>
      <c r="AE273" s="16"/>
      <c r="AF273" s="115"/>
      <c r="AG273" s="111"/>
      <c r="AH273" s="139"/>
      <c r="AI273" s="16"/>
      <c r="AJ273" s="111"/>
      <c r="AK273" s="107"/>
    </row>
    <row r="274" spans="1:37" ht="16.5" customHeight="1" x14ac:dyDescent="0.2">
      <c r="A274" s="6"/>
      <c r="B274" s="11">
        <f t="shared" si="89"/>
        <v>30</v>
      </c>
      <c r="C274" s="135">
        <f>'Kelas XII'!C262</f>
        <v>0</v>
      </c>
      <c r="D274" s="34">
        <f>'Kelas XII'!D262</f>
        <v>0</v>
      </c>
      <c r="E274" s="16"/>
      <c r="F274" s="17"/>
      <c r="G274" s="16"/>
      <c r="H274" s="17"/>
      <c r="I274" s="16"/>
      <c r="J274" s="17"/>
      <c r="K274" s="16"/>
      <c r="L274" s="17"/>
      <c r="M274" s="16"/>
      <c r="N274" s="17"/>
      <c r="O274" s="16"/>
      <c r="P274" s="17"/>
      <c r="Q274" s="16"/>
      <c r="R274" s="17"/>
      <c r="S274" s="16"/>
      <c r="T274" s="17"/>
      <c r="U274" s="16"/>
      <c r="V274" s="17"/>
      <c r="W274" s="16"/>
      <c r="X274" s="17"/>
      <c r="Y274" s="16"/>
      <c r="Z274" s="17"/>
      <c r="AA274" s="16"/>
      <c r="AB274" s="17"/>
      <c r="AC274" s="16"/>
      <c r="AD274" s="121"/>
      <c r="AE274" s="16"/>
      <c r="AF274" s="115"/>
      <c r="AG274" s="111"/>
      <c r="AH274" s="139"/>
      <c r="AI274" s="16"/>
      <c r="AJ274" s="111"/>
      <c r="AK274" s="107"/>
    </row>
    <row r="275" spans="1:37" ht="16.5" customHeight="1" x14ac:dyDescent="0.2">
      <c r="A275" s="6"/>
      <c r="B275" s="11">
        <f t="shared" si="89"/>
        <v>31</v>
      </c>
      <c r="C275" s="135">
        <f>'Kelas XII'!C263</f>
        <v>0</v>
      </c>
      <c r="D275" s="34">
        <f>'Kelas XII'!D263</f>
        <v>0</v>
      </c>
      <c r="E275" s="16"/>
      <c r="F275" s="17"/>
      <c r="G275" s="16"/>
      <c r="H275" s="17"/>
      <c r="I275" s="16"/>
      <c r="J275" s="17"/>
      <c r="K275" s="16"/>
      <c r="L275" s="17"/>
      <c r="M275" s="16"/>
      <c r="N275" s="17"/>
      <c r="O275" s="16"/>
      <c r="P275" s="17"/>
      <c r="Q275" s="16"/>
      <c r="R275" s="17"/>
      <c r="S275" s="16"/>
      <c r="T275" s="17"/>
      <c r="U275" s="16"/>
      <c r="V275" s="17"/>
      <c r="W275" s="16"/>
      <c r="X275" s="17"/>
      <c r="Y275" s="16"/>
      <c r="Z275" s="17"/>
      <c r="AA275" s="16"/>
      <c r="AB275" s="17"/>
      <c r="AC275" s="16"/>
      <c r="AD275" s="121"/>
      <c r="AE275" s="16"/>
      <c r="AF275" s="115"/>
      <c r="AG275" s="111"/>
      <c r="AH275" s="139"/>
      <c r="AI275" s="16"/>
      <c r="AJ275" s="111"/>
      <c r="AK275" s="107"/>
    </row>
    <row r="276" spans="1:37" ht="16.5" customHeight="1" x14ac:dyDescent="0.2">
      <c r="A276" s="6"/>
      <c r="B276" s="11">
        <f t="shared" si="89"/>
        <v>32</v>
      </c>
      <c r="C276" s="135">
        <f>'Kelas XII'!C264</f>
        <v>0</v>
      </c>
      <c r="D276" s="34">
        <f>'Kelas XII'!D264</f>
        <v>0</v>
      </c>
      <c r="E276" s="16"/>
      <c r="F276" s="17"/>
      <c r="G276" s="16"/>
      <c r="H276" s="17"/>
      <c r="I276" s="16"/>
      <c r="J276" s="17"/>
      <c r="K276" s="16"/>
      <c r="L276" s="17"/>
      <c r="M276" s="16"/>
      <c r="N276" s="17"/>
      <c r="O276" s="16"/>
      <c r="P276" s="17"/>
      <c r="Q276" s="16"/>
      <c r="R276" s="17"/>
      <c r="S276" s="16"/>
      <c r="T276" s="17"/>
      <c r="U276" s="16"/>
      <c r="V276" s="17"/>
      <c r="W276" s="16"/>
      <c r="X276" s="17"/>
      <c r="Y276" s="16"/>
      <c r="Z276" s="17"/>
      <c r="AA276" s="16"/>
      <c r="AB276" s="17"/>
      <c r="AC276" s="16"/>
      <c r="AD276" s="121"/>
      <c r="AE276" s="16"/>
      <c r="AF276" s="115"/>
      <c r="AG276" s="111"/>
      <c r="AH276" s="139"/>
      <c r="AI276" s="16"/>
      <c r="AJ276" s="111"/>
      <c r="AK276" s="107"/>
    </row>
    <row r="277" spans="1:37" ht="16.5" customHeight="1" x14ac:dyDescent="0.2">
      <c r="A277" s="6"/>
      <c r="B277" s="11">
        <f t="shared" si="89"/>
        <v>33</v>
      </c>
      <c r="C277" s="135">
        <f>'Kelas XII'!C265</f>
        <v>0</v>
      </c>
      <c r="D277" s="34">
        <f>'Kelas XII'!D265</f>
        <v>0</v>
      </c>
      <c r="E277" s="16"/>
      <c r="F277" s="17"/>
      <c r="G277" s="16"/>
      <c r="H277" s="17"/>
      <c r="I277" s="16"/>
      <c r="J277" s="17"/>
      <c r="K277" s="16"/>
      <c r="L277" s="17"/>
      <c r="M277" s="16"/>
      <c r="N277" s="17"/>
      <c r="O277" s="16"/>
      <c r="P277" s="17"/>
      <c r="Q277" s="16"/>
      <c r="R277" s="17"/>
      <c r="S277" s="16"/>
      <c r="T277" s="17"/>
      <c r="U277" s="16"/>
      <c r="V277" s="17"/>
      <c r="W277" s="16"/>
      <c r="X277" s="17"/>
      <c r="Y277" s="16"/>
      <c r="Z277" s="17"/>
      <c r="AA277" s="16"/>
      <c r="AB277" s="17"/>
      <c r="AC277" s="16"/>
      <c r="AD277" s="121"/>
      <c r="AE277" s="16"/>
      <c r="AF277" s="115"/>
      <c r="AG277" s="111"/>
      <c r="AH277" s="139"/>
      <c r="AI277" s="16"/>
      <c r="AJ277" s="111"/>
      <c r="AK277" s="107"/>
    </row>
    <row r="278" spans="1:37" ht="16.5" customHeight="1" thickBot="1" x14ac:dyDescent="0.25">
      <c r="A278" s="6"/>
      <c r="B278" s="48">
        <f t="shared" si="89"/>
        <v>34</v>
      </c>
      <c r="C278" s="143">
        <f>'Kelas XII'!C266</f>
        <v>0</v>
      </c>
      <c r="D278" s="147">
        <f>'Kelas XII'!D266</f>
        <v>0</v>
      </c>
      <c r="E278" s="18"/>
      <c r="F278" s="19"/>
      <c r="G278" s="18"/>
      <c r="H278" s="19"/>
      <c r="I278" s="18"/>
      <c r="J278" s="19"/>
      <c r="K278" s="18"/>
      <c r="L278" s="19"/>
      <c r="M278" s="18"/>
      <c r="N278" s="19"/>
      <c r="O278" s="18"/>
      <c r="P278" s="19"/>
      <c r="Q278" s="18"/>
      <c r="R278" s="19"/>
      <c r="S278" s="18"/>
      <c r="T278" s="19"/>
      <c r="U278" s="18"/>
      <c r="V278" s="19"/>
      <c r="W278" s="18"/>
      <c r="X278" s="19"/>
      <c r="Y278" s="18"/>
      <c r="Z278" s="19"/>
      <c r="AA278" s="18"/>
      <c r="AB278" s="19"/>
      <c r="AC278" s="18"/>
      <c r="AD278" s="122"/>
      <c r="AE278" s="18"/>
      <c r="AF278" s="116"/>
      <c r="AG278" s="112"/>
      <c r="AH278" s="140"/>
      <c r="AI278" s="18"/>
      <c r="AJ278" s="112"/>
      <c r="AK278" s="107"/>
    </row>
    <row r="279" spans="1:37" ht="16.5" customHeight="1" x14ac:dyDescent="0.2">
      <c r="A279" s="6"/>
      <c r="B279" s="8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149"/>
      <c r="AK279" s="6"/>
    </row>
    <row r="280" spans="1:37" ht="16.5" customHeight="1" thickBo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150"/>
      <c r="AK280" s="6"/>
    </row>
    <row r="281" spans="1:37" ht="16.5" customHeight="1" x14ac:dyDescent="0.2">
      <c r="A281" s="6"/>
      <c r="B281" s="279"/>
      <c r="C281" s="280"/>
      <c r="D281" s="283" t="s">
        <v>3</v>
      </c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  <c r="AA281" s="284"/>
      <c r="AB281" s="284"/>
      <c r="AC281" s="284"/>
      <c r="AD281" s="284"/>
      <c r="AE281" s="284"/>
      <c r="AF281" s="284"/>
      <c r="AG281" s="284"/>
      <c r="AH281" s="284"/>
      <c r="AI281" s="284"/>
      <c r="AJ281" s="285"/>
      <c r="AK281" s="107"/>
    </row>
    <row r="282" spans="1:37" ht="16.5" customHeight="1" x14ac:dyDescent="0.2">
      <c r="A282" s="6"/>
      <c r="B282" s="281"/>
      <c r="C282" s="282"/>
      <c r="D282" s="286" t="s">
        <v>4</v>
      </c>
      <c r="E282" s="287"/>
      <c r="F282" s="287"/>
      <c r="G282" s="287"/>
      <c r="H282" s="287"/>
      <c r="I282" s="287"/>
      <c r="J282" s="287"/>
      <c r="K282" s="287"/>
      <c r="L282" s="287"/>
      <c r="M282" s="287"/>
      <c r="N282" s="287"/>
      <c r="O282" s="287"/>
      <c r="P282" s="287"/>
      <c r="Q282" s="287"/>
      <c r="R282" s="287"/>
      <c r="S282" s="287"/>
      <c r="T282" s="287"/>
      <c r="U282" s="287"/>
      <c r="V282" s="287"/>
      <c r="W282" s="287"/>
      <c r="X282" s="287"/>
      <c r="Y282" s="287"/>
      <c r="Z282" s="287"/>
      <c r="AA282" s="287"/>
      <c r="AB282" s="287"/>
      <c r="AC282" s="287"/>
      <c r="AD282" s="287"/>
      <c r="AE282" s="287"/>
      <c r="AF282" s="287"/>
      <c r="AG282" s="287"/>
      <c r="AH282" s="287"/>
      <c r="AI282" s="287"/>
      <c r="AJ282" s="288"/>
      <c r="AK282" s="107"/>
    </row>
    <row r="283" spans="1:37" ht="16.5" customHeight="1" x14ac:dyDescent="0.2">
      <c r="A283" s="6"/>
      <c r="B283" s="281"/>
      <c r="C283" s="282"/>
      <c r="D283" s="286" t="s">
        <v>547</v>
      </c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  <c r="Q283" s="287"/>
      <c r="R283" s="287"/>
      <c r="S283" s="287"/>
      <c r="T283" s="287"/>
      <c r="U283" s="287"/>
      <c r="V283" s="287"/>
      <c r="W283" s="287"/>
      <c r="X283" s="287"/>
      <c r="Y283" s="287"/>
      <c r="Z283" s="287"/>
      <c r="AA283" s="287"/>
      <c r="AB283" s="287"/>
      <c r="AC283" s="287"/>
      <c r="AD283" s="287"/>
      <c r="AE283" s="287"/>
      <c r="AF283" s="287"/>
      <c r="AG283" s="287"/>
      <c r="AH283" s="287"/>
      <c r="AI283" s="287"/>
      <c r="AJ283" s="288"/>
      <c r="AK283" s="107"/>
    </row>
    <row r="284" spans="1:37" ht="16.5" customHeight="1" thickBot="1" x14ac:dyDescent="0.25">
      <c r="A284" s="6"/>
      <c r="B284" s="281"/>
      <c r="C284" s="282"/>
      <c r="D284" s="289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290"/>
      <c r="P284" s="290"/>
      <c r="Q284" s="290"/>
      <c r="R284" s="290"/>
      <c r="S284" s="290"/>
      <c r="T284" s="290"/>
      <c r="U284" s="290"/>
      <c r="V284" s="290"/>
      <c r="W284" s="290"/>
      <c r="X284" s="290"/>
      <c r="Y284" s="290"/>
      <c r="Z284" s="290"/>
      <c r="AA284" s="290"/>
      <c r="AB284" s="290"/>
      <c r="AC284" s="290"/>
      <c r="AD284" s="290"/>
      <c r="AE284" s="290"/>
      <c r="AF284" s="290"/>
      <c r="AG284" s="290"/>
      <c r="AH284" s="290"/>
      <c r="AI284" s="290"/>
      <c r="AJ284" s="291"/>
      <c r="AK284" s="107"/>
    </row>
    <row r="285" spans="1:37" ht="16.5" customHeight="1" thickBot="1" x14ac:dyDescent="0.25">
      <c r="A285" s="6"/>
      <c r="B285" s="292"/>
      <c r="C285" s="293"/>
      <c r="D285" s="9" t="s">
        <v>255</v>
      </c>
      <c r="E285" s="10" t="s">
        <v>11</v>
      </c>
      <c r="F285" s="10"/>
      <c r="G285" s="10"/>
      <c r="H285" s="10"/>
      <c r="I285" s="10"/>
      <c r="J285" s="149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 t="s">
        <v>5</v>
      </c>
      <c r="AB285" s="10"/>
      <c r="AC285" s="10" t="s">
        <v>525</v>
      </c>
      <c r="AD285" s="10"/>
      <c r="AE285" s="10"/>
      <c r="AF285" s="10"/>
      <c r="AG285" s="10"/>
      <c r="AH285" s="10"/>
      <c r="AI285" s="10"/>
      <c r="AJ285" s="158"/>
      <c r="AK285" s="107"/>
    </row>
    <row r="286" spans="1:37" ht="16.5" customHeight="1" thickBot="1" x14ac:dyDescent="0.25">
      <c r="A286" s="6"/>
      <c r="B286" s="294" t="s">
        <v>6</v>
      </c>
      <c r="C286" s="294"/>
      <c r="D286" s="295" t="s">
        <v>7</v>
      </c>
      <c r="E286" s="292"/>
      <c r="F286" s="298"/>
      <c r="G286" s="298"/>
      <c r="H286" s="298"/>
      <c r="I286" s="298"/>
      <c r="J286" s="298"/>
      <c r="K286" s="298"/>
      <c r="L286" s="298"/>
      <c r="M286" s="298"/>
      <c r="N286" s="298"/>
      <c r="O286" s="298"/>
      <c r="P286" s="298"/>
      <c r="Q286" s="298"/>
      <c r="R286" s="298"/>
      <c r="S286" s="298"/>
      <c r="T286" s="298"/>
      <c r="U286" s="298"/>
      <c r="V286" s="298"/>
      <c r="W286" s="298"/>
      <c r="X286" s="298"/>
      <c r="Y286" s="298"/>
      <c r="Z286" s="298"/>
      <c r="AA286" s="298"/>
      <c r="AB286" s="298"/>
      <c r="AC286" s="298"/>
      <c r="AD286" s="298"/>
      <c r="AE286" s="298"/>
      <c r="AF286" s="298"/>
      <c r="AG286" s="298"/>
      <c r="AH286" s="298"/>
      <c r="AI286" s="298"/>
      <c r="AJ286" s="293"/>
      <c r="AK286" s="107"/>
    </row>
    <row r="287" spans="1:37" ht="16.5" customHeight="1" thickBot="1" x14ac:dyDescent="0.25">
      <c r="A287" s="6"/>
      <c r="B287" s="295" t="s">
        <v>8</v>
      </c>
      <c r="C287" s="295" t="s">
        <v>9</v>
      </c>
      <c r="D287" s="296"/>
      <c r="E287" s="292">
        <f>E8</f>
        <v>17</v>
      </c>
      <c r="F287" s="298"/>
      <c r="G287" s="292">
        <f>E287+1</f>
        <v>18</v>
      </c>
      <c r="H287" s="298"/>
      <c r="I287" s="292">
        <f t="shared" ref="I287" si="90">G287+1</f>
        <v>19</v>
      </c>
      <c r="J287" s="298"/>
      <c r="K287" s="292">
        <f t="shared" ref="K287" si="91">I287+1</f>
        <v>20</v>
      </c>
      <c r="L287" s="298"/>
      <c r="M287" s="292">
        <f t="shared" ref="M287" si="92">K287+1</f>
        <v>21</v>
      </c>
      <c r="N287" s="298"/>
      <c r="O287" s="292">
        <f t="shared" ref="O287" si="93">M287+1</f>
        <v>22</v>
      </c>
      <c r="P287" s="298"/>
      <c r="Q287" s="292">
        <f t="shared" ref="Q287" si="94">O287+1</f>
        <v>23</v>
      </c>
      <c r="R287" s="298"/>
      <c r="S287" s="292">
        <f t="shared" ref="S287" si="95">Q287+1</f>
        <v>24</v>
      </c>
      <c r="T287" s="298"/>
      <c r="U287" s="292">
        <f t="shared" ref="U287" si="96">S287+1</f>
        <v>25</v>
      </c>
      <c r="V287" s="298"/>
      <c r="W287" s="292">
        <f t="shared" ref="W287" si="97">U287+1</f>
        <v>26</v>
      </c>
      <c r="X287" s="298"/>
      <c r="Y287" s="292">
        <f t="shared" ref="Y287" si="98">W287+1</f>
        <v>27</v>
      </c>
      <c r="Z287" s="298"/>
      <c r="AA287" s="292">
        <f t="shared" ref="AA287" si="99">Y287+1</f>
        <v>28</v>
      </c>
      <c r="AB287" s="298"/>
      <c r="AC287" s="292">
        <f t="shared" ref="AC287" si="100">AA287+1</f>
        <v>29</v>
      </c>
      <c r="AD287" s="298"/>
      <c r="AE287" s="292">
        <f t="shared" ref="AE287" si="101">AC287+1</f>
        <v>30</v>
      </c>
      <c r="AF287" s="298"/>
      <c r="AG287" s="292">
        <f t="shared" ref="AG287" si="102">AE287+1</f>
        <v>31</v>
      </c>
      <c r="AH287" s="298"/>
      <c r="AI287" s="292">
        <f t="shared" ref="AI287" si="103">AG287+1</f>
        <v>32</v>
      </c>
      <c r="AJ287" s="298"/>
      <c r="AK287" s="107"/>
    </row>
    <row r="288" spans="1:37" ht="24.75" customHeight="1" thickBot="1" x14ac:dyDescent="0.25">
      <c r="A288" s="6"/>
      <c r="B288" s="297"/>
      <c r="C288" s="297"/>
      <c r="D288" s="297"/>
      <c r="E288" s="108" t="s">
        <v>13</v>
      </c>
      <c r="F288" s="108" t="s">
        <v>14</v>
      </c>
      <c r="G288" s="108" t="s">
        <v>13</v>
      </c>
      <c r="H288" s="108" t="s">
        <v>14</v>
      </c>
      <c r="I288" s="108" t="s">
        <v>13</v>
      </c>
      <c r="J288" s="108" t="s">
        <v>14</v>
      </c>
      <c r="K288" s="108" t="s">
        <v>13</v>
      </c>
      <c r="L288" s="108" t="s">
        <v>14</v>
      </c>
      <c r="M288" s="108" t="s">
        <v>13</v>
      </c>
      <c r="N288" s="108" t="s">
        <v>14</v>
      </c>
      <c r="O288" s="108" t="s">
        <v>13</v>
      </c>
      <c r="P288" s="108" t="s">
        <v>14</v>
      </c>
      <c r="Q288" s="108" t="s">
        <v>13</v>
      </c>
      <c r="R288" s="108" t="s">
        <v>14</v>
      </c>
      <c r="S288" s="108" t="s">
        <v>13</v>
      </c>
      <c r="T288" s="108" t="s">
        <v>14</v>
      </c>
      <c r="U288" s="108" t="s">
        <v>13</v>
      </c>
      <c r="V288" s="108" t="s">
        <v>14</v>
      </c>
      <c r="W288" s="108" t="s">
        <v>13</v>
      </c>
      <c r="X288" s="108" t="s">
        <v>14</v>
      </c>
      <c r="Y288" s="108" t="s">
        <v>13</v>
      </c>
      <c r="Z288" s="108" t="s">
        <v>14</v>
      </c>
      <c r="AA288" s="108" t="s">
        <v>13</v>
      </c>
      <c r="AB288" s="108" t="s">
        <v>14</v>
      </c>
      <c r="AC288" s="108" t="s">
        <v>13</v>
      </c>
      <c r="AD288" s="108" t="s">
        <v>14</v>
      </c>
      <c r="AE288" s="108" t="s">
        <v>13</v>
      </c>
      <c r="AF288" s="108" t="s">
        <v>14</v>
      </c>
      <c r="AG288" s="108" t="s">
        <v>13</v>
      </c>
      <c r="AH288" s="108" t="s">
        <v>14</v>
      </c>
      <c r="AI288" s="108" t="s">
        <v>13</v>
      </c>
      <c r="AJ288" s="108" t="s">
        <v>14</v>
      </c>
      <c r="AK288" s="107"/>
    </row>
    <row r="289" spans="1:37" ht="16.5" customHeight="1" x14ac:dyDescent="0.2">
      <c r="A289" s="6"/>
      <c r="B289" s="21">
        <v>1</v>
      </c>
      <c r="C289" s="22">
        <f>'Kelas XII'!C279</f>
        <v>15989</v>
      </c>
      <c r="D289" s="34" t="str">
        <f>'Kelas XII'!D279</f>
        <v>AISYAH NABILA ZAHRA</v>
      </c>
      <c r="E289" s="12"/>
      <c r="F289" s="13"/>
      <c r="G289" s="12"/>
      <c r="H289" s="13"/>
      <c r="I289" s="12"/>
      <c r="J289" s="13"/>
      <c r="K289" s="12"/>
      <c r="L289" s="13"/>
      <c r="M289" s="12"/>
      <c r="N289" s="13"/>
      <c r="O289" s="12"/>
      <c r="P289" s="13"/>
      <c r="Q289" s="12"/>
      <c r="R289" s="13"/>
      <c r="S289" s="12"/>
      <c r="T289" s="13"/>
      <c r="U289" s="12"/>
      <c r="V289" s="13"/>
      <c r="W289" s="12"/>
      <c r="X289" s="13"/>
      <c r="Y289" s="12"/>
      <c r="Z289" s="13"/>
      <c r="AA289" s="12"/>
      <c r="AB289" s="13"/>
      <c r="AC289" s="12"/>
      <c r="AD289" s="13"/>
      <c r="AE289" s="12"/>
      <c r="AF289" s="13"/>
      <c r="AG289" s="12"/>
      <c r="AH289" s="119"/>
      <c r="AI289" s="118"/>
      <c r="AJ289" s="109"/>
      <c r="AK289" s="107"/>
    </row>
    <row r="290" spans="1:37" ht="16.5" customHeight="1" x14ac:dyDescent="0.2">
      <c r="A290" s="6"/>
      <c r="B290" s="135">
        <f t="shared" ref="B290:B325" si="104">B289+1</f>
        <v>2</v>
      </c>
      <c r="C290" s="135">
        <f>'Kelas XII'!C280</f>
        <v>16023</v>
      </c>
      <c r="D290" s="34" t="str">
        <f>'Kelas XII'!D280</f>
        <v>ALYA RIFDA MOZAHRA</v>
      </c>
      <c r="E290" s="14"/>
      <c r="F290" s="15"/>
      <c r="G290" s="14"/>
      <c r="H290" s="15"/>
      <c r="I290" s="14"/>
      <c r="J290" s="15"/>
      <c r="K290" s="14"/>
      <c r="L290" s="15"/>
      <c r="M290" s="14"/>
      <c r="N290" s="15"/>
      <c r="O290" s="14"/>
      <c r="P290" s="15"/>
      <c r="Q290" s="14"/>
      <c r="R290" s="15"/>
      <c r="S290" s="14"/>
      <c r="T290" s="15"/>
      <c r="U290" s="14"/>
      <c r="V290" s="15"/>
      <c r="W290" s="14"/>
      <c r="X290" s="15"/>
      <c r="Y290" s="14"/>
      <c r="Z290" s="15"/>
      <c r="AA290" s="14"/>
      <c r="AB290" s="15"/>
      <c r="AC290" s="14"/>
      <c r="AD290" s="15"/>
      <c r="AE290" s="14"/>
      <c r="AF290" s="15"/>
      <c r="AG290" s="14"/>
      <c r="AH290" s="120"/>
      <c r="AI290" s="14"/>
      <c r="AJ290" s="110"/>
      <c r="AK290" s="107"/>
    </row>
    <row r="291" spans="1:37" ht="16.5" customHeight="1" x14ac:dyDescent="0.2">
      <c r="A291" s="6"/>
      <c r="B291" s="135">
        <f t="shared" si="104"/>
        <v>3</v>
      </c>
      <c r="C291" s="135">
        <f>'Kelas XII'!C281</f>
        <v>15991</v>
      </c>
      <c r="D291" s="34" t="str">
        <f>'Kelas XII'!D281</f>
        <v>APRILIA LUSIANA LESTARI</v>
      </c>
      <c r="E291" s="14"/>
      <c r="F291" s="15"/>
      <c r="G291" s="14"/>
      <c r="H291" s="15"/>
      <c r="I291" s="14"/>
      <c r="J291" s="15"/>
      <c r="K291" s="14"/>
      <c r="L291" s="15"/>
      <c r="M291" s="14"/>
      <c r="N291" s="15"/>
      <c r="O291" s="14"/>
      <c r="P291" s="15"/>
      <c r="Q291" s="14"/>
      <c r="R291" s="15"/>
      <c r="S291" s="14"/>
      <c r="T291" s="15"/>
      <c r="U291" s="14"/>
      <c r="V291" s="15"/>
      <c r="W291" s="14"/>
      <c r="X291" s="15"/>
      <c r="Y291" s="14"/>
      <c r="Z291" s="15"/>
      <c r="AA291" s="14"/>
      <c r="AB291" s="15"/>
      <c r="AC291" s="14"/>
      <c r="AD291" s="15"/>
      <c r="AE291" s="14"/>
      <c r="AF291" s="15"/>
      <c r="AG291" s="14"/>
      <c r="AH291" s="120"/>
      <c r="AI291" s="14"/>
      <c r="AJ291" s="110"/>
      <c r="AK291" s="107"/>
    </row>
    <row r="292" spans="1:37" ht="16.5" customHeight="1" x14ac:dyDescent="0.2">
      <c r="A292" s="6"/>
      <c r="B292" s="135">
        <f t="shared" si="104"/>
        <v>4</v>
      </c>
      <c r="C292" s="135">
        <f>'Kelas XII'!C282</f>
        <v>16027</v>
      </c>
      <c r="D292" s="34" t="str">
        <f>'Kelas XII'!D282</f>
        <v>ARIFAH NUR ZAHRAH MH</v>
      </c>
      <c r="E292" s="14"/>
      <c r="F292" s="15"/>
      <c r="G292" s="14"/>
      <c r="H292" s="15"/>
      <c r="I292" s="14"/>
      <c r="J292" s="15"/>
      <c r="K292" s="14"/>
      <c r="L292" s="15"/>
      <c r="M292" s="14"/>
      <c r="N292" s="15"/>
      <c r="O292" s="14"/>
      <c r="P292" s="15"/>
      <c r="Q292" s="14"/>
      <c r="R292" s="15"/>
      <c r="S292" s="14"/>
      <c r="T292" s="15"/>
      <c r="U292" s="14"/>
      <c r="V292" s="15"/>
      <c r="W292" s="14"/>
      <c r="X292" s="15"/>
      <c r="Y292" s="14"/>
      <c r="Z292" s="15"/>
      <c r="AA292" s="14"/>
      <c r="AB292" s="15"/>
      <c r="AC292" s="14"/>
      <c r="AD292" s="15"/>
      <c r="AE292" s="14"/>
      <c r="AF292" s="15"/>
      <c r="AG292" s="14"/>
      <c r="AH292" s="120"/>
      <c r="AI292" s="14"/>
      <c r="AJ292" s="110"/>
      <c r="AK292" s="107"/>
    </row>
    <row r="293" spans="1:37" ht="16.5" customHeight="1" x14ac:dyDescent="0.2">
      <c r="A293" s="6"/>
      <c r="B293" s="135">
        <f t="shared" si="104"/>
        <v>5</v>
      </c>
      <c r="C293" s="135">
        <f>'Kelas XII'!C283</f>
        <v>16028</v>
      </c>
      <c r="D293" s="34" t="str">
        <f>'Kelas XII'!D283</f>
        <v>ATHIRA NAURAVI EL SYAKIRA</v>
      </c>
      <c r="E293" s="14"/>
      <c r="F293" s="15"/>
      <c r="G293" s="14"/>
      <c r="H293" s="15"/>
      <c r="I293" s="14"/>
      <c r="J293" s="15"/>
      <c r="K293" s="14"/>
      <c r="L293" s="15"/>
      <c r="M293" s="14"/>
      <c r="N293" s="15"/>
      <c r="O293" s="14"/>
      <c r="P293" s="15"/>
      <c r="Q293" s="14"/>
      <c r="R293" s="15"/>
      <c r="S293" s="14"/>
      <c r="T293" s="15"/>
      <c r="U293" s="14"/>
      <c r="V293" s="15"/>
      <c r="W293" s="14"/>
      <c r="X293" s="15"/>
      <c r="Y293" s="14"/>
      <c r="Z293" s="15"/>
      <c r="AA293" s="14"/>
      <c r="AB293" s="15"/>
      <c r="AC293" s="14"/>
      <c r="AD293" s="15"/>
      <c r="AE293" s="14"/>
      <c r="AF293" s="15"/>
      <c r="AG293" s="14"/>
      <c r="AH293" s="120"/>
      <c r="AI293" s="14"/>
      <c r="AJ293" s="110"/>
      <c r="AK293" s="107"/>
    </row>
    <row r="294" spans="1:37" ht="16.5" customHeight="1" x14ac:dyDescent="0.2">
      <c r="A294" s="6"/>
      <c r="B294" s="135">
        <f t="shared" si="104"/>
        <v>6</v>
      </c>
      <c r="C294" s="135">
        <f>'Kelas XII'!C284</f>
        <v>15966</v>
      </c>
      <c r="D294" s="34" t="str">
        <f>'Kelas XII'!D284</f>
        <v>AWA NAJWA ULA</v>
      </c>
      <c r="E294" s="14"/>
      <c r="F294" s="15"/>
      <c r="G294" s="14"/>
      <c r="H294" s="15"/>
      <c r="I294" s="14"/>
      <c r="J294" s="15"/>
      <c r="K294" s="14"/>
      <c r="L294" s="15"/>
      <c r="M294" s="14"/>
      <c r="N294" s="15"/>
      <c r="O294" s="14"/>
      <c r="P294" s="15"/>
      <c r="Q294" s="14"/>
      <c r="R294" s="15"/>
      <c r="S294" s="14"/>
      <c r="T294" s="15"/>
      <c r="U294" s="14"/>
      <c r="V294" s="15"/>
      <c r="W294" s="14"/>
      <c r="X294" s="15"/>
      <c r="Y294" s="14"/>
      <c r="Z294" s="15"/>
      <c r="AA294" s="14"/>
      <c r="AB294" s="15"/>
      <c r="AC294" s="14"/>
      <c r="AD294" s="15"/>
      <c r="AE294" s="14"/>
      <c r="AF294" s="15"/>
      <c r="AG294" s="14"/>
      <c r="AH294" s="120"/>
      <c r="AI294" s="14"/>
      <c r="AJ294" s="110"/>
      <c r="AK294" s="107"/>
    </row>
    <row r="295" spans="1:37" ht="16.5" customHeight="1" x14ac:dyDescent="0.2">
      <c r="A295" s="6"/>
      <c r="B295" s="135">
        <f t="shared" si="104"/>
        <v>7</v>
      </c>
      <c r="C295" s="135">
        <f>'Kelas XII'!C285</f>
        <v>16047</v>
      </c>
      <c r="D295" s="34" t="str">
        <f>'Kelas XII'!D285</f>
        <v>AZKALUNA NARESWARI AISHA FARDANI</v>
      </c>
      <c r="E295" s="14"/>
      <c r="F295" s="15"/>
      <c r="G295" s="14"/>
      <c r="H295" s="15"/>
      <c r="I295" s="14"/>
      <c r="J295" s="15"/>
      <c r="K295" s="14"/>
      <c r="L295" s="15"/>
      <c r="M295" s="14"/>
      <c r="N295" s="15"/>
      <c r="O295" s="14"/>
      <c r="P295" s="15"/>
      <c r="Q295" s="14"/>
      <c r="R295" s="15"/>
      <c r="S295" s="14"/>
      <c r="T295" s="15"/>
      <c r="U295" s="14"/>
      <c r="V295" s="15"/>
      <c r="W295" s="14"/>
      <c r="X295" s="15"/>
      <c r="Y295" s="14"/>
      <c r="Z295" s="15"/>
      <c r="AA295" s="14"/>
      <c r="AB295" s="15"/>
      <c r="AC295" s="14"/>
      <c r="AD295" s="15"/>
      <c r="AE295" s="14"/>
      <c r="AF295" s="15"/>
      <c r="AG295" s="14"/>
      <c r="AH295" s="120"/>
      <c r="AI295" s="14"/>
      <c r="AJ295" s="110"/>
      <c r="AK295" s="107"/>
    </row>
    <row r="296" spans="1:37" ht="16.5" customHeight="1" x14ac:dyDescent="0.2">
      <c r="A296" s="6"/>
      <c r="B296" s="135">
        <f t="shared" si="104"/>
        <v>8</v>
      </c>
      <c r="C296" s="135">
        <f>'Kelas XII'!C286</f>
        <v>15996</v>
      </c>
      <c r="D296" s="34" t="str">
        <f>'Kelas XII'!D286</f>
        <v>DILLA KHOIROTUZZAHRA</v>
      </c>
      <c r="E296" s="14"/>
      <c r="F296" s="15"/>
      <c r="G296" s="14"/>
      <c r="H296" s="15"/>
      <c r="I296" s="14"/>
      <c r="J296" s="15"/>
      <c r="K296" s="14"/>
      <c r="L296" s="15"/>
      <c r="M296" s="14"/>
      <c r="N296" s="15"/>
      <c r="O296" s="14"/>
      <c r="P296" s="15"/>
      <c r="Q296" s="14"/>
      <c r="R296" s="15"/>
      <c r="S296" s="14"/>
      <c r="T296" s="15"/>
      <c r="U296" s="14"/>
      <c r="V296" s="15"/>
      <c r="W296" s="14"/>
      <c r="X296" s="15"/>
      <c r="Y296" s="14"/>
      <c r="Z296" s="15"/>
      <c r="AA296" s="14"/>
      <c r="AB296" s="15"/>
      <c r="AC296" s="14"/>
      <c r="AD296" s="15"/>
      <c r="AE296" s="14"/>
      <c r="AF296" s="15"/>
      <c r="AG296" s="14"/>
      <c r="AH296" s="120"/>
      <c r="AI296" s="14"/>
      <c r="AJ296" s="110"/>
      <c r="AK296" s="107"/>
    </row>
    <row r="297" spans="1:37" ht="16.5" customHeight="1" x14ac:dyDescent="0.2">
      <c r="A297" s="6"/>
      <c r="B297" s="135">
        <f t="shared" si="104"/>
        <v>9</v>
      </c>
      <c r="C297" s="135">
        <f>'Kelas XII'!C287</f>
        <v>16053</v>
      </c>
      <c r="D297" s="34" t="str">
        <f>'Kelas XII'!D287</f>
        <v>FATINATUR ROFI'AH SABITA HADI</v>
      </c>
      <c r="E297" s="14"/>
      <c r="F297" s="15"/>
      <c r="G297" s="14"/>
      <c r="H297" s="15"/>
      <c r="I297" s="14"/>
      <c r="J297" s="15"/>
      <c r="K297" s="14"/>
      <c r="L297" s="15"/>
      <c r="M297" s="14"/>
      <c r="N297" s="15"/>
      <c r="O297" s="14"/>
      <c r="P297" s="15"/>
      <c r="Q297" s="14"/>
      <c r="R297" s="15"/>
      <c r="S297" s="14"/>
      <c r="T297" s="15"/>
      <c r="U297" s="14"/>
      <c r="V297" s="15"/>
      <c r="W297" s="14"/>
      <c r="X297" s="15"/>
      <c r="Y297" s="14"/>
      <c r="Z297" s="15"/>
      <c r="AA297" s="14"/>
      <c r="AB297" s="15"/>
      <c r="AC297" s="14"/>
      <c r="AD297" s="15"/>
      <c r="AE297" s="14"/>
      <c r="AF297" s="15"/>
      <c r="AG297" s="14"/>
      <c r="AH297" s="120"/>
      <c r="AI297" s="14"/>
      <c r="AJ297" s="110"/>
      <c r="AK297" s="107"/>
    </row>
    <row r="298" spans="1:37" ht="16.5" customHeight="1" x14ac:dyDescent="0.2">
      <c r="A298" s="6"/>
      <c r="B298" s="135">
        <f t="shared" si="104"/>
        <v>10</v>
      </c>
      <c r="C298" s="135">
        <f>'Kelas XII'!C288</f>
        <v>16059</v>
      </c>
      <c r="D298" s="34" t="str">
        <f>'Kelas XII'!D288</f>
        <v>INDRIANI PRITANA</v>
      </c>
      <c r="E298" s="14"/>
      <c r="F298" s="15"/>
      <c r="G298" s="14"/>
      <c r="H298" s="15"/>
      <c r="I298" s="14"/>
      <c r="J298" s="15"/>
      <c r="K298" s="14"/>
      <c r="L298" s="15"/>
      <c r="M298" s="14"/>
      <c r="N298" s="15"/>
      <c r="O298" s="14"/>
      <c r="P298" s="15"/>
      <c r="Q298" s="14"/>
      <c r="R298" s="15"/>
      <c r="S298" s="14"/>
      <c r="T298" s="15"/>
      <c r="U298" s="14"/>
      <c r="V298" s="15"/>
      <c r="W298" s="14"/>
      <c r="X298" s="15"/>
      <c r="Y298" s="14"/>
      <c r="Z298" s="15"/>
      <c r="AA298" s="14"/>
      <c r="AB298" s="15"/>
      <c r="AC298" s="14"/>
      <c r="AD298" s="15"/>
      <c r="AE298" s="14"/>
      <c r="AF298" s="15"/>
      <c r="AG298" s="14"/>
      <c r="AH298" s="120"/>
      <c r="AI298" s="14"/>
      <c r="AJ298" s="110"/>
      <c r="AK298" s="107"/>
    </row>
    <row r="299" spans="1:37" ht="16.5" customHeight="1" x14ac:dyDescent="0.2">
      <c r="A299" s="6"/>
      <c r="B299" s="135">
        <f t="shared" si="104"/>
        <v>11</v>
      </c>
      <c r="C299" s="135">
        <f>'Kelas XII'!C289</f>
        <v>16033</v>
      </c>
      <c r="D299" s="34" t="str">
        <f>'Kelas XII'!D289</f>
        <v>INTAN DWI MAHARANI</v>
      </c>
      <c r="E299" s="14"/>
      <c r="F299" s="15"/>
      <c r="G299" s="14"/>
      <c r="H299" s="15"/>
      <c r="I299" s="14"/>
      <c r="J299" s="15"/>
      <c r="K299" s="14"/>
      <c r="L299" s="15"/>
      <c r="M299" s="14"/>
      <c r="N299" s="15"/>
      <c r="O299" s="14"/>
      <c r="P299" s="15"/>
      <c r="Q299" s="14"/>
      <c r="R299" s="15"/>
      <c r="S299" s="14"/>
      <c r="T299" s="15"/>
      <c r="U299" s="14"/>
      <c r="V299" s="15"/>
      <c r="W299" s="14"/>
      <c r="X299" s="15"/>
      <c r="Y299" s="14"/>
      <c r="Z299" s="15"/>
      <c r="AA299" s="14"/>
      <c r="AB299" s="15"/>
      <c r="AC299" s="14"/>
      <c r="AD299" s="15"/>
      <c r="AE299" s="14"/>
      <c r="AF299" s="15"/>
      <c r="AG299" s="14"/>
      <c r="AH299" s="120"/>
      <c r="AI299" s="14"/>
      <c r="AJ299" s="110"/>
      <c r="AK299" s="107"/>
    </row>
    <row r="300" spans="1:37" ht="16.5" customHeight="1" x14ac:dyDescent="0.2">
      <c r="A300" s="6"/>
      <c r="B300" s="135">
        <f t="shared" si="104"/>
        <v>12</v>
      </c>
      <c r="C300" s="135">
        <f>'Kelas XII'!C290</f>
        <v>16060</v>
      </c>
      <c r="D300" s="34" t="str">
        <f>'Kelas XII'!D290</f>
        <v>JASMINE AULIA RAHMAN</v>
      </c>
      <c r="E300" s="14"/>
      <c r="F300" s="15"/>
      <c r="G300" s="14"/>
      <c r="H300" s="15"/>
      <c r="I300" s="14"/>
      <c r="J300" s="15"/>
      <c r="K300" s="14"/>
      <c r="L300" s="15"/>
      <c r="M300" s="14"/>
      <c r="N300" s="15"/>
      <c r="O300" s="14"/>
      <c r="P300" s="15"/>
      <c r="Q300" s="14"/>
      <c r="R300" s="15"/>
      <c r="S300" s="14"/>
      <c r="T300" s="15"/>
      <c r="U300" s="14"/>
      <c r="V300" s="15"/>
      <c r="W300" s="14"/>
      <c r="X300" s="15"/>
      <c r="Y300" s="14"/>
      <c r="Z300" s="15"/>
      <c r="AA300" s="14"/>
      <c r="AB300" s="15"/>
      <c r="AC300" s="14"/>
      <c r="AD300" s="15"/>
      <c r="AE300" s="14"/>
      <c r="AF300" s="15"/>
      <c r="AG300" s="14"/>
      <c r="AH300" s="120"/>
      <c r="AI300" s="14"/>
      <c r="AJ300" s="110"/>
      <c r="AK300" s="107"/>
    </row>
    <row r="301" spans="1:37" ht="16.5" customHeight="1" x14ac:dyDescent="0.2">
      <c r="A301" s="6"/>
      <c r="B301" s="135">
        <f t="shared" si="104"/>
        <v>13</v>
      </c>
      <c r="C301" s="135">
        <f>'Kelas XII'!C291</f>
        <v>16001</v>
      </c>
      <c r="D301" s="34" t="str">
        <f>'Kelas XII'!D291</f>
        <v>JELITA NANDA SABELA</v>
      </c>
      <c r="E301" s="14"/>
      <c r="F301" s="15"/>
      <c r="G301" s="14"/>
      <c r="H301" s="15"/>
      <c r="I301" s="14"/>
      <c r="J301" s="15"/>
      <c r="K301" s="14"/>
      <c r="L301" s="15"/>
      <c r="M301" s="14"/>
      <c r="N301" s="15"/>
      <c r="O301" s="14"/>
      <c r="P301" s="15"/>
      <c r="Q301" s="14"/>
      <c r="R301" s="15"/>
      <c r="S301" s="14"/>
      <c r="T301" s="15"/>
      <c r="U301" s="14"/>
      <c r="V301" s="15"/>
      <c r="W301" s="14"/>
      <c r="X301" s="15"/>
      <c r="Y301" s="14"/>
      <c r="Z301" s="15"/>
      <c r="AA301" s="14"/>
      <c r="AB301" s="15"/>
      <c r="AC301" s="14"/>
      <c r="AD301" s="15"/>
      <c r="AE301" s="14"/>
      <c r="AF301" s="15"/>
      <c r="AG301" s="14"/>
      <c r="AH301" s="120"/>
      <c r="AI301" s="14"/>
      <c r="AJ301" s="110"/>
      <c r="AK301" s="107"/>
    </row>
    <row r="302" spans="1:37" ht="16.5" customHeight="1" x14ac:dyDescent="0.2">
      <c r="A302" s="6"/>
      <c r="B302" s="135">
        <f t="shared" si="104"/>
        <v>14</v>
      </c>
      <c r="C302" s="135">
        <f>'Kelas XII'!C292</f>
        <v>16063</v>
      </c>
      <c r="D302" s="34" t="str">
        <f>'Kelas XII'!D292</f>
        <v>KEISYA SHOFWA SHAFIRA</v>
      </c>
      <c r="E302" s="14"/>
      <c r="F302" s="15"/>
      <c r="G302" s="14"/>
      <c r="H302" s="15"/>
      <c r="I302" s="14"/>
      <c r="J302" s="15"/>
      <c r="K302" s="14"/>
      <c r="L302" s="15"/>
      <c r="M302" s="14"/>
      <c r="N302" s="15"/>
      <c r="O302" s="14"/>
      <c r="P302" s="15"/>
      <c r="Q302" s="14"/>
      <c r="R302" s="15"/>
      <c r="S302" s="14"/>
      <c r="T302" s="15"/>
      <c r="U302" s="14"/>
      <c r="V302" s="15"/>
      <c r="W302" s="14"/>
      <c r="X302" s="15"/>
      <c r="Y302" s="14"/>
      <c r="Z302" s="15"/>
      <c r="AA302" s="14"/>
      <c r="AB302" s="15"/>
      <c r="AC302" s="14"/>
      <c r="AD302" s="15"/>
      <c r="AE302" s="14"/>
      <c r="AF302" s="15"/>
      <c r="AG302" s="14"/>
      <c r="AH302" s="120"/>
      <c r="AI302" s="14"/>
      <c r="AJ302" s="110"/>
      <c r="AK302" s="107"/>
    </row>
    <row r="303" spans="1:37" ht="16.5" customHeight="1" x14ac:dyDescent="0.2">
      <c r="A303" s="6"/>
      <c r="B303" s="135">
        <f t="shared" si="104"/>
        <v>15</v>
      </c>
      <c r="C303" s="135">
        <f>'Kelas XII'!C293</f>
        <v>16006</v>
      </c>
      <c r="D303" s="34" t="str">
        <f>'Kelas XII'!D293</f>
        <v>NAJWA KHOFIFAH DEVANTI</v>
      </c>
      <c r="E303" s="14"/>
      <c r="F303" s="15"/>
      <c r="G303" s="14"/>
      <c r="H303" s="15"/>
      <c r="I303" s="14"/>
      <c r="J303" s="15"/>
      <c r="K303" s="14"/>
      <c r="L303" s="15"/>
      <c r="M303" s="14"/>
      <c r="N303" s="15"/>
      <c r="O303" s="14"/>
      <c r="P303" s="15"/>
      <c r="Q303" s="14"/>
      <c r="R303" s="15"/>
      <c r="S303" s="14"/>
      <c r="T303" s="15"/>
      <c r="U303" s="14"/>
      <c r="V303" s="15"/>
      <c r="W303" s="14"/>
      <c r="X303" s="15"/>
      <c r="Y303" s="14"/>
      <c r="Z303" s="15"/>
      <c r="AA303" s="14"/>
      <c r="AB303" s="15"/>
      <c r="AC303" s="14"/>
      <c r="AD303" s="15"/>
      <c r="AE303" s="14"/>
      <c r="AF303" s="15"/>
      <c r="AG303" s="14"/>
      <c r="AH303" s="120"/>
      <c r="AI303" s="14"/>
      <c r="AJ303" s="110"/>
      <c r="AK303" s="107"/>
    </row>
    <row r="304" spans="1:37" ht="16.5" customHeight="1" x14ac:dyDescent="0.2">
      <c r="A304" s="6"/>
      <c r="B304" s="135">
        <f t="shared" si="104"/>
        <v>16</v>
      </c>
      <c r="C304" s="135">
        <f>'Kelas XII'!C294</f>
        <v>16066</v>
      </c>
      <c r="D304" s="34" t="str">
        <f>'Kelas XII'!D294</f>
        <v>NITA NURDIANA</v>
      </c>
      <c r="E304" s="14"/>
      <c r="F304" s="15"/>
      <c r="G304" s="14"/>
      <c r="H304" s="15"/>
      <c r="I304" s="14"/>
      <c r="J304" s="15"/>
      <c r="K304" s="14"/>
      <c r="L304" s="15"/>
      <c r="M304" s="14"/>
      <c r="N304" s="15"/>
      <c r="O304" s="14"/>
      <c r="P304" s="15"/>
      <c r="Q304" s="14"/>
      <c r="R304" s="15"/>
      <c r="S304" s="14"/>
      <c r="T304" s="15"/>
      <c r="U304" s="14"/>
      <c r="V304" s="15"/>
      <c r="W304" s="14"/>
      <c r="X304" s="15"/>
      <c r="Y304" s="14"/>
      <c r="Z304" s="15"/>
      <c r="AA304" s="14"/>
      <c r="AB304" s="15"/>
      <c r="AC304" s="14"/>
      <c r="AD304" s="15"/>
      <c r="AE304" s="14"/>
      <c r="AF304" s="15"/>
      <c r="AG304" s="14"/>
      <c r="AH304" s="120"/>
      <c r="AI304" s="14"/>
      <c r="AJ304" s="110"/>
      <c r="AK304" s="107"/>
    </row>
    <row r="305" spans="1:37" ht="16.5" customHeight="1" x14ac:dyDescent="0.2">
      <c r="A305" s="6"/>
      <c r="B305" s="135">
        <f t="shared" si="104"/>
        <v>17</v>
      </c>
      <c r="C305" s="135">
        <f>'Kelas XII'!C295</f>
        <v>16067</v>
      </c>
      <c r="D305" s="34" t="str">
        <f>'Kelas XII'!D295</f>
        <v>QAMARINA NAFISA FAIRUZ AHMADI</v>
      </c>
      <c r="E305" s="14"/>
      <c r="F305" s="15"/>
      <c r="G305" s="14"/>
      <c r="H305" s="15"/>
      <c r="I305" s="14"/>
      <c r="J305" s="15"/>
      <c r="K305" s="14"/>
      <c r="L305" s="15"/>
      <c r="M305" s="14"/>
      <c r="N305" s="15"/>
      <c r="O305" s="14"/>
      <c r="P305" s="15"/>
      <c r="Q305" s="14"/>
      <c r="R305" s="15"/>
      <c r="S305" s="14"/>
      <c r="T305" s="15"/>
      <c r="U305" s="14"/>
      <c r="V305" s="15"/>
      <c r="W305" s="14"/>
      <c r="X305" s="15"/>
      <c r="Y305" s="14"/>
      <c r="Z305" s="15"/>
      <c r="AA305" s="14"/>
      <c r="AB305" s="15"/>
      <c r="AC305" s="14"/>
      <c r="AD305" s="15"/>
      <c r="AE305" s="14"/>
      <c r="AF305" s="15"/>
      <c r="AG305" s="14"/>
      <c r="AH305" s="120"/>
      <c r="AI305" s="14"/>
      <c r="AJ305" s="110"/>
      <c r="AK305" s="107"/>
    </row>
    <row r="306" spans="1:37" ht="16.5" customHeight="1" x14ac:dyDescent="0.2">
      <c r="A306" s="6"/>
      <c r="B306" s="135">
        <f t="shared" si="104"/>
        <v>18</v>
      </c>
      <c r="C306" s="135">
        <f>'Kelas XII'!C296</f>
        <v>16068</v>
      </c>
      <c r="D306" s="34" t="str">
        <f>'Kelas XII'!D296</f>
        <v>RAVITA PUTRI ANGKASA</v>
      </c>
      <c r="E306" s="14"/>
      <c r="F306" s="15"/>
      <c r="G306" s="14"/>
      <c r="H306" s="15"/>
      <c r="I306" s="14"/>
      <c r="J306" s="15"/>
      <c r="K306" s="14"/>
      <c r="L306" s="15"/>
      <c r="M306" s="14"/>
      <c r="N306" s="15"/>
      <c r="O306" s="14"/>
      <c r="P306" s="15"/>
      <c r="Q306" s="14"/>
      <c r="R306" s="15"/>
      <c r="S306" s="14"/>
      <c r="T306" s="15"/>
      <c r="U306" s="14"/>
      <c r="V306" s="15"/>
      <c r="W306" s="14"/>
      <c r="X306" s="15"/>
      <c r="Y306" s="14"/>
      <c r="Z306" s="15"/>
      <c r="AA306" s="14"/>
      <c r="AB306" s="15"/>
      <c r="AC306" s="14"/>
      <c r="AD306" s="15"/>
      <c r="AE306" s="14"/>
      <c r="AF306" s="15"/>
      <c r="AG306" s="14"/>
      <c r="AH306" s="120"/>
      <c r="AI306" s="14"/>
      <c r="AJ306" s="110"/>
      <c r="AK306" s="107"/>
    </row>
    <row r="307" spans="1:37" ht="16.5" customHeight="1" x14ac:dyDescent="0.2">
      <c r="A307" s="6"/>
      <c r="B307" s="135">
        <f t="shared" si="104"/>
        <v>19</v>
      </c>
      <c r="C307" s="135">
        <f>'Kelas XII'!C297</f>
        <v>16012</v>
      </c>
      <c r="D307" s="34" t="str">
        <f>'Kelas XII'!D297</f>
        <v>ROBIATUL ADAWIYAH</v>
      </c>
      <c r="E307" s="14"/>
      <c r="F307" s="15"/>
      <c r="G307" s="14"/>
      <c r="H307" s="15"/>
      <c r="I307" s="14"/>
      <c r="J307" s="15"/>
      <c r="K307" s="14"/>
      <c r="L307" s="15"/>
      <c r="M307" s="14"/>
      <c r="N307" s="15"/>
      <c r="O307" s="14"/>
      <c r="P307" s="15"/>
      <c r="Q307" s="14"/>
      <c r="R307" s="15"/>
      <c r="S307" s="14"/>
      <c r="T307" s="15"/>
      <c r="U307" s="14"/>
      <c r="V307" s="15"/>
      <c r="W307" s="14"/>
      <c r="X307" s="15"/>
      <c r="Y307" s="14"/>
      <c r="Z307" s="15"/>
      <c r="AA307" s="14"/>
      <c r="AB307" s="15"/>
      <c r="AC307" s="14"/>
      <c r="AD307" s="15"/>
      <c r="AE307" s="14"/>
      <c r="AF307" s="15"/>
      <c r="AG307" s="14"/>
      <c r="AH307" s="120"/>
      <c r="AI307" s="14"/>
      <c r="AJ307" s="110"/>
      <c r="AK307" s="107"/>
    </row>
    <row r="308" spans="1:37" ht="16.5" customHeight="1" x14ac:dyDescent="0.2">
      <c r="A308" s="6"/>
      <c r="B308" s="135">
        <f t="shared" si="104"/>
        <v>20</v>
      </c>
      <c r="C308" s="135">
        <f>'Kelas XII'!C298</f>
        <v>15981</v>
      </c>
      <c r="D308" s="34" t="str">
        <f>'Kelas XII'!D298</f>
        <v>SEFYNES BIANDA SATARENA</v>
      </c>
      <c r="E308" s="14"/>
      <c r="F308" s="15"/>
      <c r="G308" s="14"/>
      <c r="H308" s="15"/>
      <c r="I308" s="14"/>
      <c r="J308" s="15"/>
      <c r="K308" s="14"/>
      <c r="L308" s="15"/>
      <c r="M308" s="14"/>
      <c r="N308" s="15"/>
      <c r="O308" s="14"/>
      <c r="P308" s="15"/>
      <c r="Q308" s="14"/>
      <c r="R308" s="15"/>
      <c r="S308" s="14"/>
      <c r="T308" s="15"/>
      <c r="U308" s="14"/>
      <c r="V308" s="15"/>
      <c r="W308" s="14"/>
      <c r="X308" s="15"/>
      <c r="Y308" s="14"/>
      <c r="Z308" s="15"/>
      <c r="AA308" s="14"/>
      <c r="AB308" s="15"/>
      <c r="AC308" s="14"/>
      <c r="AD308" s="15"/>
      <c r="AE308" s="14"/>
      <c r="AF308" s="15"/>
      <c r="AG308" s="14"/>
      <c r="AH308" s="120"/>
      <c r="AI308" s="14"/>
      <c r="AJ308" s="110"/>
      <c r="AK308" s="107"/>
    </row>
    <row r="309" spans="1:37" ht="16.5" customHeight="1" x14ac:dyDescent="0.2">
      <c r="A309" s="6"/>
      <c r="B309" s="135">
        <f t="shared" si="104"/>
        <v>21</v>
      </c>
      <c r="C309" s="135">
        <f>'Kelas XII'!C299</f>
        <v>16073</v>
      </c>
      <c r="D309" s="34" t="str">
        <f>'Kelas XII'!D299</f>
        <v>SYAFIRANIDA IKHWAN</v>
      </c>
      <c r="E309" s="14"/>
      <c r="F309" s="15"/>
      <c r="G309" s="14"/>
      <c r="H309" s="15"/>
      <c r="I309" s="14"/>
      <c r="J309" s="15"/>
      <c r="K309" s="14"/>
      <c r="L309" s="15"/>
      <c r="M309" s="14"/>
      <c r="N309" s="15"/>
      <c r="O309" s="14"/>
      <c r="P309" s="15"/>
      <c r="Q309" s="14"/>
      <c r="R309" s="15"/>
      <c r="S309" s="14"/>
      <c r="T309" s="15"/>
      <c r="U309" s="14"/>
      <c r="V309" s="15"/>
      <c r="W309" s="14"/>
      <c r="X309" s="15"/>
      <c r="Y309" s="14"/>
      <c r="Z309" s="15"/>
      <c r="AA309" s="14"/>
      <c r="AB309" s="15"/>
      <c r="AC309" s="14"/>
      <c r="AD309" s="15"/>
      <c r="AE309" s="14"/>
      <c r="AF309" s="15"/>
      <c r="AG309" s="14"/>
      <c r="AH309" s="120"/>
      <c r="AI309" s="14"/>
      <c r="AJ309" s="110"/>
      <c r="AK309" s="107"/>
    </row>
    <row r="310" spans="1:37" ht="16.5" customHeight="1" x14ac:dyDescent="0.2">
      <c r="A310" s="6"/>
      <c r="B310" s="135">
        <f t="shared" si="104"/>
        <v>22</v>
      </c>
      <c r="C310" s="135">
        <f>'Kelas XII'!C300</f>
        <v>16015</v>
      </c>
      <c r="D310" s="34" t="str">
        <f>'Kelas XII'!D300</f>
        <v>WILDA FARICHA NUR KAMALIA</v>
      </c>
      <c r="E310" s="14"/>
      <c r="F310" s="15"/>
      <c r="G310" s="14"/>
      <c r="H310" s="15"/>
      <c r="I310" s="14"/>
      <c r="J310" s="15"/>
      <c r="K310" s="14"/>
      <c r="L310" s="15"/>
      <c r="M310" s="14"/>
      <c r="N310" s="15"/>
      <c r="O310" s="14"/>
      <c r="P310" s="15"/>
      <c r="Q310" s="14"/>
      <c r="R310" s="15"/>
      <c r="S310" s="14"/>
      <c r="T310" s="15"/>
      <c r="U310" s="14"/>
      <c r="V310" s="15"/>
      <c r="W310" s="14"/>
      <c r="X310" s="15"/>
      <c r="Y310" s="14"/>
      <c r="Z310" s="15"/>
      <c r="AA310" s="14"/>
      <c r="AB310" s="15"/>
      <c r="AC310" s="14"/>
      <c r="AD310" s="15"/>
      <c r="AE310" s="14"/>
      <c r="AF310" s="15"/>
      <c r="AG310" s="14"/>
      <c r="AH310" s="120"/>
      <c r="AI310" s="14"/>
      <c r="AJ310" s="110"/>
      <c r="AK310" s="107"/>
    </row>
    <row r="311" spans="1:37" ht="16.5" customHeight="1" x14ac:dyDescent="0.2">
      <c r="A311" s="6"/>
      <c r="B311" s="135">
        <f t="shared" si="104"/>
        <v>23</v>
      </c>
      <c r="C311" s="135">
        <f>'Kelas XII'!C301</f>
        <v>15986</v>
      </c>
      <c r="D311" s="34" t="str">
        <f>'Kelas XII'!D301</f>
        <v>YASMIN ALTHAFUNNISA</v>
      </c>
      <c r="E311" s="14"/>
      <c r="F311" s="15"/>
      <c r="G311" s="14"/>
      <c r="H311" s="15"/>
      <c r="I311" s="14"/>
      <c r="J311" s="15"/>
      <c r="K311" s="14"/>
      <c r="L311" s="15"/>
      <c r="M311" s="14"/>
      <c r="N311" s="15"/>
      <c r="O311" s="14"/>
      <c r="P311" s="15"/>
      <c r="Q311" s="14"/>
      <c r="R311" s="15"/>
      <c r="S311" s="14"/>
      <c r="T311" s="15"/>
      <c r="U311" s="14"/>
      <c r="V311" s="15"/>
      <c r="W311" s="14"/>
      <c r="X311" s="15"/>
      <c r="Y311" s="14"/>
      <c r="Z311" s="15"/>
      <c r="AA311" s="14"/>
      <c r="AB311" s="15"/>
      <c r="AC311" s="14"/>
      <c r="AD311" s="15"/>
      <c r="AE311" s="14"/>
      <c r="AF311" s="15"/>
      <c r="AG311" s="14"/>
      <c r="AH311" s="120"/>
      <c r="AI311" s="14"/>
      <c r="AJ311" s="110"/>
      <c r="AK311" s="107"/>
    </row>
    <row r="312" spans="1:37" ht="16.5" customHeight="1" x14ac:dyDescent="0.2">
      <c r="A312" s="6"/>
      <c r="B312" s="135">
        <f t="shared" si="104"/>
        <v>24</v>
      </c>
      <c r="C312" s="135">
        <f>'Kelas XII'!C302</f>
        <v>16075</v>
      </c>
      <c r="D312" s="34" t="str">
        <f>'Kelas XII'!D302</f>
        <v>YOVI ASTINA HERNAWATI</v>
      </c>
      <c r="E312" s="14"/>
      <c r="F312" s="15"/>
      <c r="G312" s="14"/>
      <c r="H312" s="15"/>
      <c r="I312" s="14"/>
      <c r="J312" s="15"/>
      <c r="K312" s="14"/>
      <c r="L312" s="15"/>
      <c r="M312" s="14"/>
      <c r="N312" s="15"/>
      <c r="O312" s="14"/>
      <c r="P312" s="15"/>
      <c r="Q312" s="14"/>
      <c r="R312" s="15"/>
      <c r="S312" s="14"/>
      <c r="T312" s="15"/>
      <c r="U312" s="14"/>
      <c r="V312" s="15"/>
      <c r="W312" s="14"/>
      <c r="X312" s="15"/>
      <c r="Y312" s="14"/>
      <c r="Z312" s="15"/>
      <c r="AA312" s="14"/>
      <c r="AB312" s="15"/>
      <c r="AC312" s="14"/>
      <c r="AD312" s="15"/>
      <c r="AE312" s="14"/>
      <c r="AF312" s="15"/>
      <c r="AG312" s="14"/>
      <c r="AH312" s="120"/>
      <c r="AI312" s="14"/>
      <c r="AJ312" s="110"/>
      <c r="AK312" s="107"/>
    </row>
    <row r="313" spans="1:37" ht="16.5" customHeight="1" x14ac:dyDescent="0.2">
      <c r="A313" s="6"/>
      <c r="B313" s="135">
        <f t="shared" si="104"/>
        <v>25</v>
      </c>
      <c r="C313" s="135">
        <f>'Kelas XII'!C303</f>
        <v>0</v>
      </c>
      <c r="D313" s="34">
        <f>'Kelas XII'!D303</f>
        <v>0</v>
      </c>
      <c r="E313" s="14"/>
      <c r="F313" s="15"/>
      <c r="G313" s="14"/>
      <c r="H313" s="15"/>
      <c r="I313" s="14"/>
      <c r="J313" s="15"/>
      <c r="K313" s="14"/>
      <c r="L313" s="15"/>
      <c r="M313" s="14"/>
      <c r="N313" s="15"/>
      <c r="O313" s="14"/>
      <c r="P313" s="15"/>
      <c r="Q313" s="14"/>
      <c r="R313" s="15"/>
      <c r="S313" s="14"/>
      <c r="T313" s="15"/>
      <c r="U313" s="14"/>
      <c r="V313" s="15"/>
      <c r="W313" s="14"/>
      <c r="X313" s="15"/>
      <c r="Y313" s="14"/>
      <c r="Z313" s="15"/>
      <c r="AA313" s="14"/>
      <c r="AB313" s="15"/>
      <c r="AC313" s="14"/>
      <c r="AD313" s="15"/>
      <c r="AE313" s="14"/>
      <c r="AF313" s="15"/>
      <c r="AG313" s="14"/>
      <c r="AH313" s="120"/>
      <c r="AI313" s="14"/>
      <c r="AJ313" s="110"/>
      <c r="AK313" s="107"/>
    </row>
    <row r="314" spans="1:37" ht="16.5" customHeight="1" x14ac:dyDescent="0.2">
      <c r="A314" s="6"/>
      <c r="B314" s="135">
        <f t="shared" si="104"/>
        <v>26</v>
      </c>
      <c r="C314" s="135">
        <f>'Kelas XII'!C304</f>
        <v>0</v>
      </c>
      <c r="D314" s="34">
        <f>'Kelas XII'!D304</f>
        <v>0</v>
      </c>
      <c r="E314" s="14"/>
      <c r="F314" s="15"/>
      <c r="G314" s="14"/>
      <c r="H314" s="15"/>
      <c r="I314" s="14"/>
      <c r="J314" s="15"/>
      <c r="K314" s="14"/>
      <c r="L314" s="15"/>
      <c r="M314" s="14"/>
      <c r="N314" s="15"/>
      <c r="O314" s="14"/>
      <c r="P314" s="15"/>
      <c r="Q314" s="14"/>
      <c r="R314" s="15"/>
      <c r="S314" s="14"/>
      <c r="T314" s="15"/>
      <c r="U314" s="14"/>
      <c r="V314" s="15"/>
      <c r="W314" s="14"/>
      <c r="X314" s="15"/>
      <c r="Y314" s="14"/>
      <c r="Z314" s="15"/>
      <c r="AA314" s="14"/>
      <c r="AB314" s="15"/>
      <c r="AC314" s="14"/>
      <c r="AD314" s="15"/>
      <c r="AE314" s="14"/>
      <c r="AF314" s="15"/>
      <c r="AG314" s="14"/>
      <c r="AH314" s="120"/>
      <c r="AI314" s="14"/>
      <c r="AJ314" s="110"/>
      <c r="AK314" s="107"/>
    </row>
    <row r="315" spans="1:37" ht="16.5" customHeight="1" x14ac:dyDescent="0.2">
      <c r="A315" s="6"/>
      <c r="B315" s="135">
        <f t="shared" si="104"/>
        <v>27</v>
      </c>
      <c r="C315" s="135">
        <f>'Kelas XII'!C305</f>
        <v>0</v>
      </c>
      <c r="D315" s="34">
        <f>'Kelas XII'!D305</f>
        <v>0</v>
      </c>
      <c r="E315" s="14"/>
      <c r="F315" s="15"/>
      <c r="G315" s="14"/>
      <c r="H315" s="15"/>
      <c r="I315" s="14"/>
      <c r="J315" s="15"/>
      <c r="K315" s="14"/>
      <c r="L315" s="15"/>
      <c r="M315" s="14"/>
      <c r="N315" s="15"/>
      <c r="O315" s="14"/>
      <c r="P315" s="15"/>
      <c r="Q315" s="14"/>
      <c r="R315" s="15"/>
      <c r="S315" s="14"/>
      <c r="T315" s="15"/>
      <c r="U315" s="14"/>
      <c r="V315" s="15"/>
      <c r="W315" s="14"/>
      <c r="X315" s="15"/>
      <c r="Y315" s="14"/>
      <c r="Z315" s="15"/>
      <c r="AA315" s="14"/>
      <c r="AB315" s="15"/>
      <c r="AC315" s="14"/>
      <c r="AD315" s="15"/>
      <c r="AE315" s="14"/>
      <c r="AF315" s="15"/>
      <c r="AG315" s="14"/>
      <c r="AH315" s="120"/>
      <c r="AI315" s="14"/>
      <c r="AJ315" s="110"/>
      <c r="AK315" s="107"/>
    </row>
    <row r="316" spans="1:37" ht="16.5" customHeight="1" x14ac:dyDescent="0.2">
      <c r="A316" s="6"/>
      <c r="B316" s="135">
        <f t="shared" si="104"/>
        <v>28</v>
      </c>
      <c r="C316" s="135">
        <f>'Kelas XII'!C306</f>
        <v>0</v>
      </c>
      <c r="D316" s="34">
        <f>'Kelas XII'!D306</f>
        <v>0</v>
      </c>
      <c r="E316" s="14"/>
      <c r="F316" s="15"/>
      <c r="G316" s="14"/>
      <c r="H316" s="15"/>
      <c r="I316" s="14"/>
      <c r="J316" s="15"/>
      <c r="K316" s="14"/>
      <c r="L316" s="15"/>
      <c r="M316" s="14"/>
      <c r="N316" s="15"/>
      <c r="O316" s="14"/>
      <c r="P316" s="15"/>
      <c r="Q316" s="14"/>
      <c r="R316" s="15"/>
      <c r="S316" s="14"/>
      <c r="T316" s="15"/>
      <c r="U316" s="14"/>
      <c r="V316" s="15"/>
      <c r="W316" s="14"/>
      <c r="X316" s="15"/>
      <c r="Y316" s="14"/>
      <c r="Z316" s="15"/>
      <c r="AA316" s="14"/>
      <c r="AB316" s="15"/>
      <c r="AC316" s="14"/>
      <c r="AD316" s="15"/>
      <c r="AE316" s="14"/>
      <c r="AF316" s="15"/>
      <c r="AG316" s="14"/>
      <c r="AH316" s="120"/>
      <c r="AI316" s="14"/>
      <c r="AJ316" s="110"/>
      <c r="AK316" s="107"/>
    </row>
    <row r="317" spans="1:37" ht="16.5" customHeight="1" x14ac:dyDescent="0.2">
      <c r="A317" s="6"/>
      <c r="B317" s="135">
        <f t="shared" si="104"/>
        <v>29</v>
      </c>
      <c r="C317" s="135">
        <f>'Kelas XII'!C307</f>
        <v>0</v>
      </c>
      <c r="D317" s="34">
        <f>'Kelas XII'!D307</f>
        <v>0</v>
      </c>
      <c r="E317" s="16"/>
      <c r="F317" s="17"/>
      <c r="G317" s="16"/>
      <c r="H317" s="17"/>
      <c r="I317" s="16"/>
      <c r="J317" s="17"/>
      <c r="K317" s="16"/>
      <c r="L317" s="17"/>
      <c r="M317" s="16"/>
      <c r="N317" s="17"/>
      <c r="O317" s="16"/>
      <c r="P317" s="17"/>
      <c r="Q317" s="16"/>
      <c r="R317" s="17"/>
      <c r="S317" s="16"/>
      <c r="T317" s="17"/>
      <c r="U317" s="16"/>
      <c r="V317" s="17"/>
      <c r="W317" s="16"/>
      <c r="X317" s="17"/>
      <c r="Y317" s="16"/>
      <c r="Z317" s="17"/>
      <c r="AA317" s="16"/>
      <c r="AB317" s="17"/>
      <c r="AC317" s="16"/>
      <c r="AD317" s="17"/>
      <c r="AE317" s="16"/>
      <c r="AF317" s="17"/>
      <c r="AG317" s="16"/>
      <c r="AH317" s="121"/>
      <c r="AI317" s="16"/>
      <c r="AJ317" s="111"/>
      <c r="AK317" s="107"/>
    </row>
    <row r="318" spans="1:37" ht="16.5" customHeight="1" x14ac:dyDescent="0.2">
      <c r="A318" s="6"/>
      <c r="B318" s="135">
        <f t="shared" si="104"/>
        <v>30</v>
      </c>
      <c r="C318" s="135">
        <f>'Kelas XII'!C308</f>
        <v>0</v>
      </c>
      <c r="D318" s="34">
        <f>'Kelas XII'!D308</f>
        <v>0</v>
      </c>
      <c r="E318" s="16"/>
      <c r="F318" s="17"/>
      <c r="G318" s="16"/>
      <c r="H318" s="17"/>
      <c r="I318" s="16"/>
      <c r="J318" s="17"/>
      <c r="K318" s="16"/>
      <c r="L318" s="17"/>
      <c r="M318" s="16"/>
      <c r="N318" s="17"/>
      <c r="O318" s="16"/>
      <c r="P318" s="17"/>
      <c r="Q318" s="16"/>
      <c r="R318" s="17"/>
      <c r="S318" s="16"/>
      <c r="T318" s="17"/>
      <c r="U318" s="16"/>
      <c r="V318" s="17"/>
      <c r="W318" s="16"/>
      <c r="X318" s="17"/>
      <c r="Y318" s="16"/>
      <c r="Z318" s="17"/>
      <c r="AA318" s="16"/>
      <c r="AB318" s="17"/>
      <c r="AC318" s="16"/>
      <c r="AD318" s="17"/>
      <c r="AE318" s="16"/>
      <c r="AF318" s="17"/>
      <c r="AG318" s="16"/>
      <c r="AH318" s="121"/>
      <c r="AI318" s="16"/>
      <c r="AJ318" s="111"/>
      <c r="AK318" s="107"/>
    </row>
    <row r="319" spans="1:37" ht="16.5" customHeight="1" x14ac:dyDescent="0.2">
      <c r="A319" s="6"/>
      <c r="B319" s="135">
        <f t="shared" si="104"/>
        <v>31</v>
      </c>
      <c r="C319" s="135">
        <f>'Kelas XII'!C309</f>
        <v>0</v>
      </c>
      <c r="D319" s="34">
        <f>'Kelas XII'!D309</f>
        <v>0</v>
      </c>
      <c r="E319" s="16"/>
      <c r="F319" s="17"/>
      <c r="G319" s="16"/>
      <c r="H319" s="17"/>
      <c r="I319" s="16"/>
      <c r="J319" s="17"/>
      <c r="K319" s="16"/>
      <c r="L319" s="17"/>
      <c r="M319" s="16"/>
      <c r="N319" s="17"/>
      <c r="O319" s="16"/>
      <c r="P319" s="17"/>
      <c r="Q319" s="16"/>
      <c r="R319" s="17"/>
      <c r="S319" s="16"/>
      <c r="T319" s="17"/>
      <c r="U319" s="16"/>
      <c r="V319" s="17"/>
      <c r="W319" s="16"/>
      <c r="X319" s="17"/>
      <c r="Y319" s="16"/>
      <c r="Z319" s="17"/>
      <c r="AA319" s="16"/>
      <c r="AB319" s="17"/>
      <c r="AC319" s="16"/>
      <c r="AD319" s="17"/>
      <c r="AE319" s="16"/>
      <c r="AF319" s="17"/>
      <c r="AG319" s="16"/>
      <c r="AH319" s="121"/>
      <c r="AI319" s="16"/>
      <c r="AJ319" s="111"/>
      <c r="AK319" s="107"/>
    </row>
    <row r="320" spans="1:37" ht="16.5" customHeight="1" x14ac:dyDescent="0.2">
      <c r="A320" s="6"/>
      <c r="B320" s="135">
        <f t="shared" si="104"/>
        <v>32</v>
      </c>
      <c r="C320" s="135">
        <f>'Kelas XII'!C310</f>
        <v>0</v>
      </c>
      <c r="D320" s="34">
        <f>'Kelas XII'!D310</f>
        <v>0</v>
      </c>
      <c r="E320" s="16"/>
      <c r="F320" s="17"/>
      <c r="G320" s="16"/>
      <c r="H320" s="17"/>
      <c r="I320" s="16"/>
      <c r="J320" s="17"/>
      <c r="K320" s="16"/>
      <c r="L320" s="17"/>
      <c r="M320" s="16"/>
      <c r="N320" s="17"/>
      <c r="O320" s="16"/>
      <c r="P320" s="17"/>
      <c r="Q320" s="16"/>
      <c r="R320" s="17"/>
      <c r="S320" s="16"/>
      <c r="T320" s="17"/>
      <c r="U320" s="16"/>
      <c r="V320" s="17"/>
      <c r="W320" s="16"/>
      <c r="X320" s="17"/>
      <c r="Y320" s="16"/>
      <c r="Z320" s="17"/>
      <c r="AA320" s="16"/>
      <c r="AB320" s="17"/>
      <c r="AC320" s="16"/>
      <c r="AD320" s="17"/>
      <c r="AE320" s="16"/>
      <c r="AF320" s="17"/>
      <c r="AG320" s="16"/>
      <c r="AH320" s="121"/>
      <c r="AI320" s="16"/>
      <c r="AJ320" s="111"/>
      <c r="AK320" s="107"/>
    </row>
    <row r="321" spans="1:37" ht="16.5" customHeight="1" x14ac:dyDescent="0.2">
      <c r="A321" s="6"/>
      <c r="B321" s="135">
        <f t="shared" si="104"/>
        <v>33</v>
      </c>
      <c r="C321" s="135">
        <f>'Kelas XII'!C311</f>
        <v>0</v>
      </c>
      <c r="D321" s="34">
        <f>'Kelas XII'!D311</f>
        <v>0</v>
      </c>
      <c r="E321" s="16"/>
      <c r="F321" s="17"/>
      <c r="G321" s="16"/>
      <c r="H321" s="17"/>
      <c r="I321" s="16"/>
      <c r="J321" s="17"/>
      <c r="K321" s="16"/>
      <c r="L321" s="17"/>
      <c r="M321" s="16"/>
      <c r="N321" s="17"/>
      <c r="O321" s="16"/>
      <c r="P321" s="17"/>
      <c r="Q321" s="16"/>
      <c r="R321" s="17"/>
      <c r="S321" s="16"/>
      <c r="T321" s="17"/>
      <c r="U321" s="16"/>
      <c r="V321" s="17"/>
      <c r="W321" s="16"/>
      <c r="X321" s="17"/>
      <c r="Y321" s="16"/>
      <c r="Z321" s="17"/>
      <c r="AA321" s="16"/>
      <c r="AB321" s="17"/>
      <c r="AC321" s="16"/>
      <c r="AD321" s="17"/>
      <c r="AE321" s="16"/>
      <c r="AF321" s="17"/>
      <c r="AG321" s="16"/>
      <c r="AH321" s="121"/>
      <c r="AI321" s="16"/>
      <c r="AJ321" s="111"/>
      <c r="AK321" s="107"/>
    </row>
    <row r="322" spans="1:37" ht="16.5" customHeight="1" x14ac:dyDescent="0.2">
      <c r="A322" s="6"/>
      <c r="B322" s="135">
        <f t="shared" si="104"/>
        <v>34</v>
      </c>
      <c r="C322" s="135">
        <f>'Kelas XII'!C312</f>
        <v>0</v>
      </c>
      <c r="D322" s="34">
        <f>'Kelas XII'!D312</f>
        <v>0</v>
      </c>
      <c r="E322" s="16"/>
      <c r="F322" s="17"/>
      <c r="G322" s="16"/>
      <c r="H322" s="17"/>
      <c r="I322" s="16"/>
      <c r="J322" s="17"/>
      <c r="K322" s="16"/>
      <c r="L322" s="17"/>
      <c r="M322" s="16"/>
      <c r="N322" s="17"/>
      <c r="O322" s="16"/>
      <c r="P322" s="17"/>
      <c r="Q322" s="16"/>
      <c r="R322" s="17"/>
      <c r="S322" s="16"/>
      <c r="T322" s="17"/>
      <c r="U322" s="16"/>
      <c r="V322" s="17"/>
      <c r="W322" s="16"/>
      <c r="X322" s="17"/>
      <c r="Y322" s="16"/>
      <c r="Z322" s="17"/>
      <c r="AA322" s="16"/>
      <c r="AB322" s="17"/>
      <c r="AC322" s="16"/>
      <c r="AD322" s="17"/>
      <c r="AE322" s="16"/>
      <c r="AF322" s="17"/>
      <c r="AG322" s="16"/>
      <c r="AH322" s="121"/>
      <c r="AI322" s="16"/>
      <c r="AJ322" s="111"/>
      <c r="AK322" s="107"/>
    </row>
    <row r="323" spans="1:37" ht="16.5" customHeight="1" x14ac:dyDescent="0.2">
      <c r="A323" s="6"/>
      <c r="B323" s="135">
        <f t="shared" si="104"/>
        <v>35</v>
      </c>
      <c r="C323" s="135">
        <f>'Kelas XII'!C313</f>
        <v>0</v>
      </c>
      <c r="D323" s="34">
        <f>'Kelas XII'!D313</f>
        <v>0</v>
      </c>
      <c r="E323" s="16"/>
      <c r="F323" s="17"/>
      <c r="G323" s="16"/>
      <c r="H323" s="17"/>
      <c r="I323" s="16"/>
      <c r="J323" s="17"/>
      <c r="K323" s="16"/>
      <c r="L323" s="17"/>
      <c r="M323" s="16"/>
      <c r="N323" s="17"/>
      <c r="O323" s="16"/>
      <c r="P323" s="17"/>
      <c r="Q323" s="16"/>
      <c r="R323" s="17"/>
      <c r="S323" s="16"/>
      <c r="T323" s="17"/>
      <c r="U323" s="16"/>
      <c r="V323" s="17"/>
      <c r="W323" s="16"/>
      <c r="X323" s="17"/>
      <c r="Y323" s="16"/>
      <c r="Z323" s="17"/>
      <c r="AA323" s="16"/>
      <c r="AB323" s="17"/>
      <c r="AC323" s="16"/>
      <c r="AD323" s="17"/>
      <c r="AE323" s="16"/>
      <c r="AF323" s="17"/>
      <c r="AG323" s="16"/>
      <c r="AH323" s="121"/>
      <c r="AI323" s="16"/>
      <c r="AJ323" s="111"/>
      <c r="AK323" s="107"/>
    </row>
    <row r="324" spans="1:37" ht="16.5" customHeight="1" x14ac:dyDescent="0.2">
      <c r="A324" s="6"/>
      <c r="B324" s="135">
        <f t="shared" si="104"/>
        <v>36</v>
      </c>
      <c r="C324" s="135">
        <f>'Kelas XII'!C314</f>
        <v>0</v>
      </c>
      <c r="D324" s="34">
        <f>'Kelas XII'!D314</f>
        <v>0</v>
      </c>
      <c r="E324" s="16"/>
      <c r="F324" s="17"/>
      <c r="G324" s="16"/>
      <c r="H324" s="17"/>
      <c r="I324" s="16"/>
      <c r="J324" s="17"/>
      <c r="K324" s="16"/>
      <c r="L324" s="17"/>
      <c r="M324" s="16"/>
      <c r="N324" s="17"/>
      <c r="O324" s="16"/>
      <c r="P324" s="17"/>
      <c r="Q324" s="16"/>
      <c r="R324" s="17"/>
      <c r="S324" s="16"/>
      <c r="T324" s="17"/>
      <c r="U324" s="16"/>
      <c r="V324" s="17"/>
      <c r="W324" s="16"/>
      <c r="X324" s="17"/>
      <c r="Y324" s="16"/>
      <c r="Z324" s="17"/>
      <c r="AA324" s="16"/>
      <c r="AB324" s="17"/>
      <c r="AC324" s="16"/>
      <c r="AD324" s="17"/>
      <c r="AE324" s="16"/>
      <c r="AF324" s="17"/>
      <c r="AG324" s="16"/>
      <c r="AH324" s="121"/>
      <c r="AI324" s="16"/>
      <c r="AJ324" s="111"/>
      <c r="AK324" s="107"/>
    </row>
    <row r="325" spans="1:37" ht="16.5" customHeight="1" thickBot="1" x14ac:dyDescent="0.25">
      <c r="A325" s="6"/>
      <c r="B325" s="143">
        <f t="shared" si="104"/>
        <v>37</v>
      </c>
      <c r="C325" s="143">
        <f>'Kelas XII'!C315</f>
        <v>0</v>
      </c>
      <c r="D325" s="147">
        <f>'Kelas XII'!D315</f>
        <v>0</v>
      </c>
      <c r="E325" s="18"/>
      <c r="F325" s="19"/>
      <c r="G325" s="18"/>
      <c r="H325" s="19"/>
      <c r="I325" s="18"/>
      <c r="J325" s="19"/>
      <c r="K325" s="18"/>
      <c r="L325" s="19"/>
      <c r="M325" s="18"/>
      <c r="N325" s="19"/>
      <c r="O325" s="18"/>
      <c r="P325" s="19"/>
      <c r="Q325" s="18"/>
      <c r="R325" s="19"/>
      <c r="S325" s="18"/>
      <c r="T325" s="19"/>
      <c r="U325" s="18"/>
      <c r="V325" s="19"/>
      <c r="W325" s="18"/>
      <c r="X325" s="19"/>
      <c r="Y325" s="18"/>
      <c r="Z325" s="19"/>
      <c r="AA325" s="18"/>
      <c r="AB325" s="19"/>
      <c r="AC325" s="18"/>
      <c r="AD325" s="19"/>
      <c r="AE325" s="18"/>
      <c r="AF325" s="19"/>
      <c r="AG325" s="18"/>
      <c r="AH325" s="122"/>
      <c r="AI325" s="18"/>
      <c r="AJ325" s="112"/>
      <c r="AK325" s="107"/>
    </row>
    <row r="326" spans="1:37" ht="16.5" customHeight="1" x14ac:dyDescent="0.2">
      <c r="A326" s="6"/>
      <c r="B326" s="6"/>
      <c r="C326" s="20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107"/>
    </row>
    <row r="327" spans="1:37" ht="16.5" customHeight="1" thickBo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107"/>
    </row>
    <row r="328" spans="1:37" ht="16.5" customHeight="1" x14ac:dyDescent="0.2">
      <c r="A328" s="6"/>
      <c r="B328" s="279"/>
      <c r="C328" s="280"/>
      <c r="D328" s="283" t="s">
        <v>3</v>
      </c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  <c r="AA328" s="284"/>
      <c r="AB328" s="284"/>
      <c r="AC328" s="284"/>
      <c r="AD328" s="284"/>
      <c r="AE328" s="284"/>
      <c r="AF328" s="284"/>
      <c r="AG328" s="284"/>
      <c r="AH328" s="284"/>
      <c r="AI328" s="284"/>
      <c r="AJ328" s="285"/>
      <c r="AK328" s="107"/>
    </row>
    <row r="329" spans="1:37" ht="16.5" customHeight="1" x14ac:dyDescent="0.2">
      <c r="A329" s="6"/>
      <c r="B329" s="281"/>
      <c r="C329" s="282"/>
      <c r="D329" s="286" t="s">
        <v>4</v>
      </c>
      <c r="E329" s="287"/>
      <c r="F329" s="287"/>
      <c r="G329" s="287"/>
      <c r="H329" s="287"/>
      <c r="I329" s="287"/>
      <c r="J329" s="287"/>
      <c r="K329" s="287"/>
      <c r="L329" s="287"/>
      <c r="M329" s="287"/>
      <c r="N329" s="287"/>
      <c r="O329" s="287"/>
      <c r="P329" s="287"/>
      <c r="Q329" s="287"/>
      <c r="R329" s="287"/>
      <c r="S329" s="287"/>
      <c r="T329" s="287"/>
      <c r="U329" s="287"/>
      <c r="V329" s="287"/>
      <c r="W329" s="287"/>
      <c r="X329" s="287"/>
      <c r="Y329" s="287"/>
      <c r="Z329" s="287"/>
      <c r="AA329" s="287"/>
      <c r="AB329" s="287"/>
      <c r="AC329" s="287"/>
      <c r="AD329" s="287"/>
      <c r="AE329" s="287"/>
      <c r="AF329" s="287"/>
      <c r="AG329" s="287"/>
      <c r="AH329" s="287"/>
      <c r="AI329" s="287"/>
      <c r="AJ329" s="288"/>
      <c r="AK329" s="107"/>
    </row>
    <row r="330" spans="1:37" ht="16.5" customHeight="1" x14ac:dyDescent="0.2">
      <c r="A330" s="6"/>
      <c r="B330" s="281"/>
      <c r="C330" s="282"/>
      <c r="D330" s="286" t="s">
        <v>547</v>
      </c>
      <c r="E330" s="287"/>
      <c r="F330" s="287"/>
      <c r="G330" s="287"/>
      <c r="H330" s="287"/>
      <c r="I330" s="287"/>
      <c r="J330" s="287"/>
      <c r="K330" s="287"/>
      <c r="L330" s="287"/>
      <c r="M330" s="287"/>
      <c r="N330" s="287"/>
      <c r="O330" s="287"/>
      <c r="P330" s="287"/>
      <c r="Q330" s="287"/>
      <c r="R330" s="287"/>
      <c r="S330" s="287"/>
      <c r="T330" s="287"/>
      <c r="U330" s="287"/>
      <c r="V330" s="287"/>
      <c r="W330" s="287"/>
      <c r="X330" s="287"/>
      <c r="Y330" s="287"/>
      <c r="Z330" s="287"/>
      <c r="AA330" s="287"/>
      <c r="AB330" s="287"/>
      <c r="AC330" s="287"/>
      <c r="AD330" s="287"/>
      <c r="AE330" s="287"/>
      <c r="AF330" s="287"/>
      <c r="AG330" s="287"/>
      <c r="AH330" s="287"/>
      <c r="AI330" s="287"/>
      <c r="AJ330" s="288"/>
      <c r="AK330" s="107"/>
    </row>
    <row r="331" spans="1:37" ht="16.5" customHeight="1" thickBot="1" x14ac:dyDescent="0.25">
      <c r="A331" s="6"/>
      <c r="B331" s="281"/>
      <c r="C331" s="282"/>
      <c r="D331" s="289"/>
      <c r="E331" s="290"/>
      <c r="F331" s="290"/>
      <c r="G331" s="290"/>
      <c r="H331" s="290"/>
      <c r="I331" s="290"/>
      <c r="J331" s="290"/>
      <c r="K331" s="290"/>
      <c r="L331" s="290"/>
      <c r="M331" s="290"/>
      <c r="N331" s="290"/>
      <c r="O331" s="290"/>
      <c r="P331" s="290"/>
      <c r="Q331" s="290"/>
      <c r="R331" s="290"/>
      <c r="S331" s="290"/>
      <c r="T331" s="290"/>
      <c r="U331" s="290"/>
      <c r="V331" s="290"/>
      <c r="W331" s="290"/>
      <c r="X331" s="290"/>
      <c r="Y331" s="290"/>
      <c r="Z331" s="290"/>
      <c r="AA331" s="290"/>
      <c r="AB331" s="290"/>
      <c r="AC331" s="290"/>
      <c r="AD331" s="290"/>
      <c r="AE331" s="290"/>
      <c r="AF331" s="290"/>
      <c r="AG331" s="290"/>
      <c r="AH331" s="290"/>
      <c r="AI331" s="290"/>
      <c r="AJ331" s="291"/>
      <c r="AK331" s="107"/>
    </row>
    <row r="332" spans="1:37" ht="16.5" customHeight="1" thickBot="1" x14ac:dyDescent="0.25">
      <c r="A332" s="6"/>
      <c r="B332" s="292"/>
      <c r="C332" s="293"/>
      <c r="D332" s="9" t="s">
        <v>256</v>
      </c>
      <c r="E332" s="10" t="s">
        <v>11</v>
      </c>
      <c r="F332" s="10"/>
      <c r="G332" s="10"/>
      <c r="H332" s="10"/>
      <c r="I332" s="10"/>
      <c r="J332" s="149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 t="s">
        <v>5</v>
      </c>
      <c r="AB332" s="10"/>
      <c r="AC332" s="10" t="s">
        <v>526</v>
      </c>
      <c r="AD332" s="10"/>
      <c r="AE332" s="10"/>
      <c r="AF332" s="10"/>
      <c r="AG332" s="10"/>
      <c r="AH332" s="10"/>
      <c r="AI332" s="10"/>
      <c r="AJ332" s="158"/>
      <c r="AK332" s="107"/>
    </row>
    <row r="333" spans="1:37" ht="16.5" customHeight="1" thickBot="1" x14ac:dyDescent="0.25">
      <c r="A333" s="6"/>
      <c r="B333" s="294" t="s">
        <v>6</v>
      </c>
      <c r="C333" s="294"/>
      <c r="D333" s="295" t="s">
        <v>7</v>
      </c>
      <c r="E333" s="292"/>
      <c r="F333" s="298"/>
      <c r="G333" s="298"/>
      <c r="H333" s="298"/>
      <c r="I333" s="298"/>
      <c r="J333" s="298"/>
      <c r="K333" s="298"/>
      <c r="L333" s="298"/>
      <c r="M333" s="298"/>
      <c r="N333" s="298"/>
      <c r="O333" s="298"/>
      <c r="P333" s="298"/>
      <c r="Q333" s="298"/>
      <c r="R333" s="298"/>
      <c r="S333" s="298"/>
      <c r="T333" s="298"/>
      <c r="U333" s="298"/>
      <c r="V333" s="298"/>
      <c r="W333" s="298"/>
      <c r="X333" s="298"/>
      <c r="Y333" s="298"/>
      <c r="Z333" s="298"/>
      <c r="AA333" s="298"/>
      <c r="AB333" s="298"/>
      <c r="AC333" s="298"/>
      <c r="AD333" s="298"/>
      <c r="AE333" s="298"/>
      <c r="AF333" s="298"/>
      <c r="AG333" s="298"/>
      <c r="AH333" s="298"/>
      <c r="AI333" s="298"/>
      <c r="AJ333" s="293"/>
      <c r="AK333" s="107"/>
    </row>
    <row r="334" spans="1:37" ht="16.5" customHeight="1" thickBot="1" x14ac:dyDescent="0.25">
      <c r="A334" s="6"/>
      <c r="B334" s="295" t="s">
        <v>8</v>
      </c>
      <c r="C334" s="295" t="s">
        <v>9</v>
      </c>
      <c r="D334" s="296"/>
      <c r="E334" s="292">
        <f>E8</f>
        <v>17</v>
      </c>
      <c r="F334" s="298"/>
      <c r="G334" s="292">
        <f>E334+1</f>
        <v>18</v>
      </c>
      <c r="H334" s="298"/>
      <c r="I334" s="292">
        <f t="shared" ref="I334" si="105">G334+1</f>
        <v>19</v>
      </c>
      <c r="J334" s="298"/>
      <c r="K334" s="292">
        <f t="shared" ref="K334" si="106">I334+1</f>
        <v>20</v>
      </c>
      <c r="L334" s="298"/>
      <c r="M334" s="292">
        <f t="shared" ref="M334" si="107">K334+1</f>
        <v>21</v>
      </c>
      <c r="N334" s="298"/>
      <c r="O334" s="292">
        <f t="shared" ref="O334" si="108">M334+1</f>
        <v>22</v>
      </c>
      <c r="P334" s="298"/>
      <c r="Q334" s="292">
        <f t="shared" ref="Q334" si="109">O334+1</f>
        <v>23</v>
      </c>
      <c r="R334" s="298"/>
      <c r="S334" s="292">
        <f t="shared" ref="S334" si="110">Q334+1</f>
        <v>24</v>
      </c>
      <c r="T334" s="298"/>
      <c r="U334" s="292">
        <f t="shared" ref="U334" si="111">S334+1</f>
        <v>25</v>
      </c>
      <c r="V334" s="298"/>
      <c r="W334" s="292">
        <f t="shared" ref="W334" si="112">U334+1</f>
        <v>26</v>
      </c>
      <c r="X334" s="298"/>
      <c r="Y334" s="292">
        <f t="shared" ref="Y334" si="113">W334+1</f>
        <v>27</v>
      </c>
      <c r="Z334" s="298"/>
      <c r="AA334" s="292">
        <f t="shared" ref="AA334" si="114">Y334+1</f>
        <v>28</v>
      </c>
      <c r="AB334" s="298"/>
      <c r="AC334" s="292">
        <f t="shared" ref="AC334" si="115">AA334+1</f>
        <v>29</v>
      </c>
      <c r="AD334" s="298"/>
      <c r="AE334" s="292">
        <f t="shared" ref="AE334" si="116">AC334+1</f>
        <v>30</v>
      </c>
      <c r="AF334" s="298"/>
      <c r="AG334" s="292">
        <f t="shared" ref="AG334" si="117">AE334+1</f>
        <v>31</v>
      </c>
      <c r="AH334" s="298"/>
      <c r="AI334" s="292">
        <f t="shared" ref="AI334" si="118">AG334+1</f>
        <v>32</v>
      </c>
      <c r="AJ334" s="298"/>
      <c r="AK334" s="107"/>
    </row>
    <row r="335" spans="1:37" ht="25.5" customHeight="1" thickBot="1" x14ac:dyDescent="0.25">
      <c r="A335" s="6"/>
      <c r="B335" s="297"/>
      <c r="C335" s="297"/>
      <c r="D335" s="297"/>
      <c r="E335" s="108" t="s">
        <v>13</v>
      </c>
      <c r="F335" s="108" t="s">
        <v>14</v>
      </c>
      <c r="G335" s="108" t="s">
        <v>13</v>
      </c>
      <c r="H335" s="108" t="s">
        <v>14</v>
      </c>
      <c r="I335" s="108" t="s">
        <v>13</v>
      </c>
      <c r="J335" s="108" t="s">
        <v>14</v>
      </c>
      <c r="K335" s="108" t="s">
        <v>13</v>
      </c>
      <c r="L335" s="108" t="s">
        <v>14</v>
      </c>
      <c r="M335" s="108" t="s">
        <v>13</v>
      </c>
      <c r="N335" s="108" t="s">
        <v>14</v>
      </c>
      <c r="O335" s="108" t="s">
        <v>13</v>
      </c>
      <c r="P335" s="108" t="s">
        <v>14</v>
      </c>
      <c r="Q335" s="108" t="s">
        <v>13</v>
      </c>
      <c r="R335" s="108" t="s">
        <v>14</v>
      </c>
      <c r="S335" s="108" t="s">
        <v>13</v>
      </c>
      <c r="T335" s="108" t="s">
        <v>14</v>
      </c>
      <c r="U335" s="108" t="s">
        <v>13</v>
      </c>
      <c r="V335" s="108" t="s">
        <v>14</v>
      </c>
      <c r="W335" s="108" t="s">
        <v>13</v>
      </c>
      <c r="X335" s="108" t="s">
        <v>14</v>
      </c>
      <c r="Y335" s="108" t="s">
        <v>13</v>
      </c>
      <c r="Z335" s="108" t="s">
        <v>14</v>
      </c>
      <c r="AA335" s="108" t="s">
        <v>13</v>
      </c>
      <c r="AB335" s="108" t="s">
        <v>14</v>
      </c>
      <c r="AC335" s="108" t="s">
        <v>13</v>
      </c>
      <c r="AD335" s="108" t="s">
        <v>14</v>
      </c>
      <c r="AE335" s="108" t="s">
        <v>13</v>
      </c>
      <c r="AF335" s="108" t="s">
        <v>14</v>
      </c>
      <c r="AG335" s="108" t="s">
        <v>13</v>
      </c>
      <c r="AH335" s="108" t="s">
        <v>14</v>
      </c>
      <c r="AI335" s="108" t="s">
        <v>13</v>
      </c>
      <c r="AJ335" s="108" t="s">
        <v>14</v>
      </c>
      <c r="AK335" s="107"/>
    </row>
    <row r="336" spans="1:37" ht="16.5" customHeight="1" x14ac:dyDescent="0.2">
      <c r="A336" s="6"/>
      <c r="B336" s="22">
        <v>1</v>
      </c>
      <c r="C336" s="22">
        <f>'Kelas XII'!C325</f>
        <v>15961</v>
      </c>
      <c r="D336" s="34" t="str">
        <f>'Kelas XII'!D325</f>
        <v>AISYAH ANANDA YUNITA SARI</v>
      </c>
      <c r="E336" s="12"/>
      <c r="F336" s="13"/>
      <c r="G336" s="12"/>
      <c r="H336" s="13"/>
      <c r="I336" s="12"/>
      <c r="J336" s="13"/>
      <c r="K336" s="12"/>
      <c r="L336" s="13"/>
      <c r="M336" s="12"/>
      <c r="N336" s="13"/>
      <c r="O336" s="12"/>
      <c r="P336" s="13"/>
      <c r="Q336" s="12"/>
      <c r="R336" s="13"/>
      <c r="S336" s="109"/>
      <c r="T336" s="109"/>
      <c r="U336" s="12"/>
      <c r="V336" s="13"/>
      <c r="W336" s="12"/>
      <c r="X336" s="13"/>
      <c r="Y336" s="12"/>
      <c r="Z336" s="13"/>
      <c r="AA336" s="12"/>
      <c r="AB336" s="13"/>
      <c r="AC336" s="12"/>
      <c r="AD336" s="119"/>
      <c r="AE336" s="118"/>
      <c r="AF336" s="136"/>
      <c r="AG336" s="109"/>
      <c r="AH336" s="137"/>
      <c r="AI336" s="118"/>
      <c r="AJ336" s="109"/>
      <c r="AK336" s="107"/>
    </row>
    <row r="337" spans="1:37" ht="16.5" customHeight="1" x14ac:dyDescent="0.2">
      <c r="A337" s="6"/>
      <c r="B337" s="135">
        <f t="shared" ref="B337:B373" si="119">B336+1</f>
        <v>2</v>
      </c>
      <c r="C337" s="135">
        <f>'Kelas XII'!C326</f>
        <v>16022</v>
      </c>
      <c r="D337" s="34" t="str">
        <f>'Kelas XII'!D326</f>
        <v>AISYAH NABILATUL NUR SARIROH</v>
      </c>
      <c r="E337" s="14"/>
      <c r="F337" s="15"/>
      <c r="G337" s="14"/>
      <c r="H337" s="15"/>
      <c r="I337" s="14"/>
      <c r="J337" s="15"/>
      <c r="K337" s="14"/>
      <c r="L337" s="15"/>
      <c r="M337" s="14"/>
      <c r="N337" s="15"/>
      <c r="O337" s="14"/>
      <c r="P337" s="15"/>
      <c r="Q337" s="14"/>
      <c r="R337" s="15"/>
      <c r="S337" s="110"/>
      <c r="T337" s="110"/>
      <c r="U337" s="14"/>
      <c r="V337" s="15"/>
      <c r="W337" s="14"/>
      <c r="X337" s="15"/>
      <c r="Y337" s="14"/>
      <c r="Z337" s="15"/>
      <c r="AA337" s="14"/>
      <c r="AB337" s="15"/>
      <c r="AC337" s="14"/>
      <c r="AD337" s="120"/>
      <c r="AE337" s="14"/>
      <c r="AF337" s="114"/>
      <c r="AG337" s="110"/>
      <c r="AH337" s="138"/>
      <c r="AI337" s="14"/>
      <c r="AJ337" s="110"/>
      <c r="AK337" s="107"/>
    </row>
    <row r="338" spans="1:37" ht="16.5" customHeight="1" x14ac:dyDescent="0.2">
      <c r="A338" s="6"/>
      <c r="B338" s="135">
        <f t="shared" si="119"/>
        <v>3</v>
      </c>
      <c r="C338" s="135">
        <f>'Kelas XII'!C327</f>
        <v>15990</v>
      </c>
      <c r="D338" s="34" t="str">
        <f>'Kelas XII'!D327</f>
        <v>ALIEFTA AININ QOLBI</v>
      </c>
      <c r="E338" s="14"/>
      <c r="F338" s="15"/>
      <c r="G338" s="14"/>
      <c r="H338" s="15"/>
      <c r="I338" s="14"/>
      <c r="J338" s="15"/>
      <c r="K338" s="14"/>
      <c r="L338" s="15"/>
      <c r="M338" s="14"/>
      <c r="N338" s="15"/>
      <c r="O338" s="14"/>
      <c r="P338" s="15"/>
      <c r="Q338" s="14"/>
      <c r="R338" s="15"/>
      <c r="S338" s="110"/>
      <c r="T338" s="110"/>
      <c r="U338" s="14"/>
      <c r="V338" s="15"/>
      <c r="W338" s="14"/>
      <c r="X338" s="15"/>
      <c r="Y338" s="14"/>
      <c r="Z338" s="15"/>
      <c r="AA338" s="14"/>
      <c r="AB338" s="15"/>
      <c r="AC338" s="14"/>
      <c r="AD338" s="120"/>
      <c r="AE338" s="14"/>
      <c r="AF338" s="114"/>
      <c r="AG338" s="110"/>
      <c r="AH338" s="138"/>
      <c r="AI338" s="14"/>
      <c r="AJ338" s="110"/>
      <c r="AK338" s="107"/>
    </row>
    <row r="339" spans="1:37" ht="16.5" customHeight="1" x14ac:dyDescent="0.2">
      <c r="A339" s="6"/>
      <c r="B339" s="135">
        <f t="shared" si="119"/>
        <v>4</v>
      </c>
      <c r="C339" s="135">
        <f>'Kelas XII'!C328</f>
        <v>15963</v>
      </c>
      <c r="D339" s="34" t="str">
        <f>'Kelas XII'!D328</f>
        <v>AMIRA BINTANG PUTRI ANANTA</v>
      </c>
      <c r="E339" s="14"/>
      <c r="F339" s="15"/>
      <c r="G339" s="14"/>
      <c r="H339" s="15"/>
      <c r="I339" s="14"/>
      <c r="J339" s="15"/>
      <c r="K339" s="14"/>
      <c r="L339" s="15"/>
      <c r="M339" s="14"/>
      <c r="N339" s="15"/>
      <c r="O339" s="14"/>
      <c r="P339" s="15"/>
      <c r="Q339" s="14"/>
      <c r="R339" s="15"/>
      <c r="S339" s="110"/>
      <c r="T339" s="110"/>
      <c r="U339" s="14"/>
      <c r="V339" s="15"/>
      <c r="W339" s="14"/>
      <c r="X339" s="15"/>
      <c r="Y339" s="14"/>
      <c r="Z339" s="15"/>
      <c r="AA339" s="14"/>
      <c r="AB339" s="15"/>
      <c r="AC339" s="14"/>
      <c r="AD339" s="120"/>
      <c r="AE339" s="14"/>
      <c r="AF339" s="114"/>
      <c r="AG339" s="110"/>
      <c r="AH339" s="138"/>
      <c r="AI339" s="14"/>
      <c r="AJ339" s="110"/>
      <c r="AK339" s="107"/>
    </row>
    <row r="340" spans="1:37" ht="16.5" customHeight="1" x14ac:dyDescent="0.2">
      <c r="A340" s="6"/>
      <c r="B340" s="135">
        <f t="shared" si="119"/>
        <v>5</v>
      </c>
      <c r="C340" s="135">
        <f>'Kelas XII'!C329</f>
        <v>16030</v>
      </c>
      <c r="D340" s="34" t="str">
        <f>'Kelas XII'!D329</f>
        <v>AZKA ADZKIYAH</v>
      </c>
      <c r="E340" s="14"/>
      <c r="F340" s="15"/>
      <c r="G340" s="14"/>
      <c r="H340" s="15"/>
      <c r="I340" s="14"/>
      <c r="J340" s="15"/>
      <c r="K340" s="14"/>
      <c r="L340" s="15"/>
      <c r="M340" s="14"/>
      <c r="N340" s="15"/>
      <c r="O340" s="14"/>
      <c r="P340" s="15"/>
      <c r="Q340" s="14"/>
      <c r="R340" s="15"/>
      <c r="S340" s="110"/>
      <c r="T340" s="110"/>
      <c r="U340" s="14"/>
      <c r="V340" s="15"/>
      <c r="W340" s="14"/>
      <c r="X340" s="15"/>
      <c r="Y340" s="14"/>
      <c r="Z340" s="15"/>
      <c r="AA340" s="14"/>
      <c r="AB340" s="15"/>
      <c r="AC340" s="14"/>
      <c r="AD340" s="120"/>
      <c r="AE340" s="14"/>
      <c r="AF340" s="114"/>
      <c r="AG340" s="110"/>
      <c r="AH340" s="138"/>
      <c r="AI340" s="14"/>
      <c r="AJ340" s="110"/>
      <c r="AK340" s="107"/>
    </row>
    <row r="341" spans="1:37" ht="16.5" customHeight="1" x14ac:dyDescent="0.2">
      <c r="A341" s="6"/>
      <c r="B341" s="135">
        <f t="shared" si="119"/>
        <v>6</v>
      </c>
      <c r="C341" s="135">
        <f>'Kelas XII'!C330</f>
        <v>15993</v>
      </c>
      <c r="D341" s="34" t="str">
        <f>'Kelas XII'!D330</f>
        <v>AZZALFA MA'RIFATUL 'AZIZAH</v>
      </c>
      <c r="E341" s="14"/>
      <c r="F341" s="15"/>
      <c r="G341" s="14"/>
      <c r="H341" s="15"/>
      <c r="I341" s="14"/>
      <c r="J341" s="15"/>
      <c r="K341" s="14"/>
      <c r="L341" s="15"/>
      <c r="M341" s="14"/>
      <c r="N341" s="15"/>
      <c r="O341" s="14"/>
      <c r="P341" s="15"/>
      <c r="Q341" s="14"/>
      <c r="R341" s="15"/>
      <c r="S341" s="110"/>
      <c r="T341" s="110"/>
      <c r="U341" s="14"/>
      <c r="V341" s="15"/>
      <c r="W341" s="14"/>
      <c r="X341" s="15"/>
      <c r="Y341" s="14"/>
      <c r="Z341" s="15"/>
      <c r="AA341" s="14"/>
      <c r="AB341" s="15"/>
      <c r="AC341" s="14"/>
      <c r="AD341" s="120"/>
      <c r="AE341" s="14"/>
      <c r="AF341" s="114"/>
      <c r="AG341" s="110"/>
      <c r="AH341" s="138"/>
      <c r="AI341" s="14"/>
      <c r="AJ341" s="110"/>
      <c r="AK341" s="107"/>
    </row>
    <row r="342" spans="1:37" ht="16.5" customHeight="1" x14ac:dyDescent="0.2">
      <c r="A342" s="6"/>
      <c r="B342" s="135">
        <f t="shared" si="119"/>
        <v>7</v>
      </c>
      <c r="C342" s="135">
        <f>'Kelas XII'!C331</f>
        <v>16049</v>
      </c>
      <c r="D342" s="34" t="str">
        <f>'Kelas XII'!D331</f>
        <v>CYNTHIA CAMILLA PUTRI ALISYAHBANA</v>
      </c>
      <c r="E342" s="14"/>
      <c r="F342" s="15"/>
      <c r="G342" s="14"/>
      <c r="H342" s="15"/>
      <c r="I342" s="14"/>
      <c r="J342" s="15"/>
      <c r="K342" s="14"/>
      <c r="L342" s="15"/>
      <c r="M342" s="14"/>
      <c r="N342" s="15"/>
      <c r="O342" s="14"/>
      <c r="P342" s="15"/>
      <c r="Q342" s="14"/>
      <c r="R342" s="15"/>
      <c r="S342" s="110"/>
      <c r="T342" s="110"/>
      <c r="U342" s="14"/>
      <c r="V342" s="15"/>
      <c r="W342" s="14"/>
      <c r="X342" s="15"/>
      <c r="Y342" s="14"/>
      <c r="Z342" s="15"/>
      <c r="AA342" s="14"/>
      <c r="AB342" s="15"/>
      <c r="AC342" s="14"/>
      <c r="AD342" s="120"/>
      <c r="AE342" s="14"/>
      <c r="AF342" s="114"/>
      <c r="AG342" s="110"/>
      <c r="AH342" s="138"/>
      <c r="AI342" s="14"/>
      <c r="AJ342" s="110"/>
      <c r="AK342" s="107"/>
    </row>
    <row r="343" spans="1:37" ht="16.5" customHeight="1" x14ac:dyDescent="0.2">
      <c r="A343" s="6"/>
      <c r="B343" s="135">
        <f t="shared" si="119"/>
        <v>8</v>
      </c>
      <c r="C343" s="135">
        <f>'Kelas XII'!C332</f>
        <v>15968</v>
      </c>
      <c r="D343" s="34" t="str">
        <f>'Kelas XII'!D332</f>
        <v>DEA NURHANIFA</v>
      </c>
      <c r="E343" s="14"/>
      <c r="F343" s="15"/>
      <c r="G343" s="14"/>
      <c r="H343" s="15"/>
      <c r="I343" s="14"/>
      <c r="J343" s="15"/>
      <c r="K343" s="14"/>
      <c r="L343" s="15"/>
      <c r="M343" s="14"/>
      <c r="N343" s="15"/>
      <c r="O343" s="14"/>
      <c r="P343" s="15"/>
      <c r="Q343" s="14"/>
      <c r="R343" s="15"/>
      <c r="S343" s="110"/>
      <c r="T343" s="110"/>
      <c r="U343" s="14"/>
      <c r="V343" s="15"/>
      <c r="W343" s="14"/>
      <c r="X343" s="15"/>
      <c r="Y343" s="14"/>
      <c r="Z343" s="15"/>
      <c r="AA343" s="14"/>
      <c r="AB343" s="15"/>
      <c r="AC343" s="14"/>
      <c r="AD343" s="120"/>
      <c r="AE343" s="14"/>
      <c r="AF343" s="114"/>
      <c r="AG343" s="110"/>
      <c r="AH343" s="138"/>
      <c r="AI343" s="14"/>
      <c r="AJ343" s="110"/>
      <c r="AK343" s="107"/>
    </row>
    <row r="344" spans="1:37" ht="16.5" customHeight="1" x14ac:dyDescent="0.2">
      <c r="A344" s="6"/>
      <c r="B344" s="135">
        <f t="shared" si="119"/>
        <v>9</v>
      </c>
      <c r="C344" s="135">
        <f>'Kelas XII'!C333</f>
        <v>15997</v>
      </c>
      <c r="D344" s="34" t="str">
        <f>'Kelas XII'!D333</f>
        <v>DZAKIYAH AFIFATUNISA</v>
      </c>
      <c r="E344" s="14"/>
      <c r="F344" s="15"/>
      <c r="G344" s="14"/>
      <c r="H344" s="15"/>
      <c r="I344" s="14"/>
      <c r="J344" s="15"/>
      <c r="K344" s="14"/>
      <c r="L344" s="15"/>
      <c r="M344" s="14"/>
      <c r="N344" s="15"/>
      <c r="O344" s="14"/>
      <c r="P344" s="15"/>
      <c r="Q344" s="14"/>
      <c r="R344" s="15"/>
      <c r="S344" s="110"/>
      <c r="T344" s="110"/>
      <c r="U344" s="14"/>
      <c r="V344" s="15"/>
      <c r="W344" s="14"/>
      <c r="X344" s="15"/>
      <c r="Y344" s="14"/>
      <c r="Z344" s="15"/>
      <c r="AA344" s="14"/>
      <c r="AB344" s="15"/>
      <c r="AC344" s="14"/>
      <c r="AD344" s="120"/>
      <c r="AE344" s="14"/>
      <c r="AF344" s="114"/>
      <c r="AG344" s="110"/>
      <c r="AH344" s="138"/>
      <c r="AI344" s="14"/>
      <c r="AJ344" s="110"/>
      <c r="AK344" s="107"/>
    </row>
    <row r="345" spans="1:37" ht="16.5" customHeight="1" x14ac:dyDescent="0.2">
      <c r="A345" s="6"/>
      <c r="B345" s="135">
        <f t="shared" si="119"/>
        <v>10</v>
      </c>
      <c r="C345" s="135">
        <f>'Kelas XII'!C334</f>
        <v>15999</v>
      </c>
      <c r="D345" s="34" t="str">
        <f>'Kelas XII'!D334</f>
        <v>GANDHES JANITRA MUNANDAR</v>
      </c>
      <c r="E345" s="14"/>
      <c r="F345" s="15"/>
      <c r="G345" s="14"/>
      <c r="H345" s="15"/>
      <c r="I345" s="14"/>
      <c r="J345" s="15"/>
      <c r="K345" s="14"/>
      <c r="L345" s="15"/>
      <c r="M345" s="14"/>
      <c r="N345" s="15"/>
      <c r="O345" s="14"/>
      <c r="P345" s="15"/>
      <c r="Q345" s="14"/>
      <c r="R345" s="15"/>
      <c r="S345" s="110"/>
      <c r="T345" s="110"/>
      <c r="U345" s="14"/>
      <c r="V345" s="15"/>
      <c r="W345" s="14"/>
      <c r="X345" s="15"/>
      <c r="Y345" s="14"/>
      <c r="Z345" s="15"/>
      <c r="AA345" s="14"/>
      <c r="AB345" s="15"/>
      <c r="AC345" s="14"/>
      <c r="AD345" s="120"/>
      <c r="AE345" s="14"/>
      <c r="AF345" s="114"/>
      <c r="AG345" s="110"/>
      <c r="AH345" s="138"/>
      <c r="AI345" s="14"/>
      <c r="AJ345" s="110"/>
      <c r="AK345" s="107"/>
    </row>
    <row r="346" spans="1:37" ht="16.5" customHeight="1" x14ac:dyDescent="0.2">
      <c r="A346" s="6"/>
      <c r="B346" s="135">
        <f t="shared" si="119"/>
        <v>11</v>
      </c>
      <c r="C346" s="135">
        <f>'Kelas XII'!C335</f>
        <v>16000</v>
      </c>
      <c r="D346" s="34" t="str">
        <f>'Kelas XII'!D335</f>
        <v>HANIFA HAYATI</v>
      </c>
      <c r="E346" s="14"/>
      <c r="F346" s="15"/>
      <c r="G346" s="14"/>
      <c r="H346" s="15"/>
      <c r="I346" s="14"/>
      <c r="J346" s="15"/>
      <c r="K346" s="14"/>
      <c r="L346" s="15"/>
      <c r="M346" s="14"/>
      <c r="N346" s="15"/>
      <c r="O346" s="14"/>
      <c r="P346" s="15"/>
      <c r="Q346" s="14"/>
      <c r="R346" s="15"/>
      <c r="S346" s="110"/>
      <c r="T346" s="110"/>
      <c r="U346" s="14"/>
      <c r="V346" s="15"/>
      <c r="W346" s="14"/>
      <c r="X346" s="15"/>
      <c r="Y346" s="14"/>
      <c r="Z346" s="15"/>
      <c r="AA346" s="14"/>
      <c r="AB346" s="15"/>
      <c r="AC346" s="14"/>
      <c r="AD346" s="120"/>
      <c r="AE346" s="14"/>
      <c r="AF346" s="114"/>
      <c r="AG346" s="110"/>
      <c r="AH346" s="138"/>
      <c r="AI346" s="14"/>
      <c r="AJ346" s="110"/>
      <c r="AK346" s="107"/>
    </row>
    <row r="347" spans="1:37" ht="16.5" customHeight="1" x14ac:dyDescent="0.2">
      <c r="A347" s="6"/>
      <c r="B347" s="135">
        <f t="shared" si="119"/>
        <v>12</v>
      </c>
      <c r="C347" s="135">
        <f>'Kelas XII'!C336</f>
        <v>16058</v>
      </c>
      <c r="D347" s="34" t="str">
        <f>'Kelas XII'!D336</f>
        <v>HAYA MUTIA LIES NABILAH</v>
      </c>
      <c r="E347" s="14"/>
      <c r="F347" s="15"/>
      <c r="G347" s="14"/>
      <c r="H347" s="15"/>
      <c r="I347" s="14"/>
      <c r="J347" s="15"/>
      <c r="K347" s="14"/>
      <c r="L347" s="15"/>
      <c r="M347" s="14"/>
      <c r="N347" s="15"/>
      <c r="O347" s="14"/>
      <c r="P347" s="15"/>
      <c r="Q347" s="14"/>
      <c r="R347" s="15"/>
      <c r="S347" s="110"/>
      <c r="T347" s="110"/>
      <c r="U347" s="14"/>
      <c r="V347" s="15"/>
      <c r="W347" s="14"/>
      <c r="X347" s="15"/>
      <c r="Y347" s="14"/>
      <c r="Z347" s="15"/>
      <c r="AA347" s="14"/>
      <c r="AB347" s="15"/>
      <c r="AC347" s="14"/>
      <c r="AD347" s="120"/>
      <c r="AE347" s="14"/>
      <c r="AF347" s="114"/>
      <c r="AG347" s="110"/>
      <c r="AH347" s="138"/>
      <c r="AI347" s="14"/>
      <c r="AJ347" s="110"/>
      <c r="AK347" s="107"/>
    </row>
    <row r="348" spans="1:37" ht="16.5" customHeight="1" x14ac:dyDescent="0.2">
      <c r="A348" s="6"/>
      <c r="B348" s="135">
        <f t="shared" si="119"/>
        <v>13</v>
      </c>
      <c r="C348" s="135">
        <f>'Kelas XII'!C337</f>
        <v>16002</v>
      </c>
      <c r="D348" s="34" t="str">
        <f>'Kelas XII'!D337</f>
        <v>KAMILA TUNGGA DEWI</v>
      </c>
      <c r="E348" s="14"/>
      <c r="F348" s="15"/>
      <c r="G348" s="14"/>
      <c r="H348" s="15"/>
      <c r="I348" s="14"/>
      <c r="J348" s="15"/>
      <c r="K348" s="14"/>
      <c r="L348" s="15"/>
      <c r="M348" s="14"/>
      <c r="N348" s="15"/>
      <c r="O348" s="14"/>
      <c r="P348" s="15"/>
      <c r="Q348" s="14"/>
      <c r="R348" s="15"/>
      <c r="S348" s="110"/>
      <c r="T348" s="110"/>
      <c r="U348" s="14"/>
      <c r="V348" s="15"/>
      <c r="W348" s="14"/>
      <c r="X348" s="15"/>
      <c r="Y348" s="14"/>
      <c r="Z348" s="15"/>
      <c r="AA348" s="14"/>
      <c r="AB348" s="15"/>
      <c r="AC348" s="14"/>
      <c r="AD348" s="120"/>
      <c r="AE348" s="14"/>
      <c r="AF348" s="114"/>
      <c r="AG348" s="110"/>
      <c r="AH348" s="138"/>
      <c r="AI348" s="14"/>
      <c r="AJ348" s="110"/>
      <c r="AK348" s="107"/>
    </row>
    <row r="349" spans="1:37" ht="16.5" customHeight="1" x14ac:dyDescent="0.2">
      <c r="A349" s="6"/>
      <c r="B349" s="135">
        <f t="shared" si="119"/>
        <v>14</v>
      </c>
      <c r="C349" s="135">
        <f>'Kelas XII'!C338</f>
        <v>15971</v>
      </c>
      <c r="D349" s="34" t="str">
        <f>'Kelas XII'!D338</f>
        <v>KHEISYA NOVTHALYLA BAMBANG</v>
      </c>
      <c r="E349" s="14"/>
      <c r="F349" s="15"/>
      <c r="G349" s="14"/>
      <c r="H349" s="15"/>
      <c r="I349" s="14"/>
      <c r="J349" s="15"/>
      <c r="K349" s="14"/>
      <c r="L349" s="15"/>
      <c r="M349" s="14"/>
      <c r="N349" s="15"/>
      <c r="O349" s="14"/>
      <c r="P349" s="15"/>
      <c r="Q349" s="14"/>
      <c r="R349" s="15"/>
      <c r="S349" s="110"/>
      <c r="T349" s="110"/>
      <c r="U349" s="14"/>
      <c r="V349" s="15"/>
      <c r="W349" s="14"/>
      <c r="X349" s="15"/>
      <c r="Y349" s="14"/>
      <c r="Z349" s="15"/>
      <c r="AA349" s="14"/>
      <c r="AB349" s="15"/>
      <c r="AC349" s="14"/>
      <c r="AD349" s="120"/>
      <c r="AE349" s="14"/>
      <c r="AF349" s="114"/>
      <c r="AG349" s="110"/>
      <c r="AH349" s="138"/>
      <c r="AI349" s="14"/>
      <c r="AJ349" s="110"/>
      <c r="AK349" s="107"/>
    </row>
    <row r="350" spans="1:37" ht="16.5" customHeight="1" x14ac:dyDescent="0.2">
      <c r="A350" s="6"/>
      <c r="B350" s="135">
        <f t="shared" si="119"/>
        <v>15</v>
      </c>
      <c r="C350" s="135">
        <f>'Kelas XII'!C339</f>
        <v>15973</v>
      </c>
      <c r="D350" s="34" t="str">
        <f>'Kelas XII'!D339</f>
        <v>KIRANA PUTRI ASMARANI</v>
      </c>
      <c r="E350" s="14"/>
      <c r="F350" s="15"/>
      <c r="G350" s="14"/>
      <c r="H350" s="15"/>
      <c r="I350" s="14"/>
      <c r="J350" s="15"/>
      <c r="K350" s="14"/>
      <c r="L350" s="15"/>
      <c r="M350" s="14"/>
      <c r="N350" s="15"/>
      <c r="O350" s="14"/>
      <c r="P350" s="15"/>
      <c r="Q350" s="14"/>
      <c r="R350" s="15"/>
      <c r="S350" s="110"/>
      <c r="T350" s="110"/>
      <c r="U350" s="14"/>
      <c r="V350" s="15"/>
      <c r="W350" s="14"/>
      <c r="X350" s="15"/>
      <c r="Y350" s="14"/>
      <c r="Z350" s="15"/>
      <c r="AA350" s="14"/>
      <c r="AB350" s="15"/>
      <c r="AC350" s="14"/>
      <c r="AD350" s="120"/>
      <c r="AE350" s="14"/>
      <c r="AF350" s="114"/>
      <c r="AG350" s="110"/>
      <c r="AH350" s="138"/>
      <c r="AI350" s="14"/>
      <c r="AJ350" s="110"/>
      <c r="AK350" s="107"/>
    </row>
    <row r="351" spans="1:37" ht="16.5" customHeight="1" x14ac:dyDescent="0.2">
      <c r="A351" s="6"/>
      <c r="B351" s="135">
        <f t="shared" si="119"/>
        <v>16</v>
      </c>
      <c r="C351" s="135">
        <f>'Kelas XII'!C340</f>
        <v>16036</v>
      </c>
      <c r="D351" s="34" t="str">
        <f>'Kelas XII'!D340</f>
        <v>KIRANIA NUR FATIMATUZZAHROH</v>
      </c>
      <c r="E351" s="14"/>
      <c r="F351" s="15"/>
      <c r="G351" s="14"/>
      <c r="H351" s="15"/>
      <c r="I351" s="14"/>
      <c r="J351" s="15"/>
      <c r="K351" s="14"/>
      <c r="L351" s="15"/>
      <c r="M351" s="14"/>
      <c r="N351" s="15"/>
      <c r="O351" s="14"/>
      <c r="P351" s="15"/>
      <c r="Q351" s="14"/>
      <c r="R351" s="15"/>
      <c r="S351" s="110"/>
      <c r="T351" s="110"/>
      <c r="U351" s="14"/>
      <c r="V351" s="15"/>
      <c r="W351" s="14"/>
      <c r="X351" s="15"/>
      <c r="Y351" s="14"/>
      <c r="Z351" s="15"/>
      <c r="AA351" s="14"/>
      <c r="AB351" s="15"/>
      <c r="AC351" s="14"/>
      <c r="AD351" s="120"/>
      <c r="AE351" s="14"/>
      <c r="AF351" s="114"/>
      <c r="AG351" s="110"/>
      <c r="AH351" s="138"/>
      <c r="AI351" s="14"/>
      <c r="AJ351" s="110"/>
      <c r="AK351" s="107"/>
    </row>
    <row r="352" spans="1:37" ht="16.5" customHeight="1" x14ac:dyDescent="0.2">
      <c r="A352" s="6"/>
      <c r="B352" s="135">
        <f t="shared" si="119"/>
        <v>17</v>
      </c>
      <c r="C352" s="135">
        <f>'Kelas XII'!C341</f>
        <v>15975</v>
      </c>
      <c r="D352" s="34" t="str">
        <f>'Kelas XII'!D341</f>
        <v>MUFIYATUL ISTIQOMAH</v>
      </c>
      <c r="E352" s="14"/>
      <c r="F352" s="15"/>
      <c r="G352" s="14"/>
      <c r="H352" s="15"/>
      <c r="I352" s="14"/>
      <c r="J352" s="15"/>
      <c r="K352" s="14"/>
      <c r="L352" s="15"/>
      <c r="M352" s="14"/>
      <c r="N352" s="15"/>
      <c r="O352" s="14"/>
      <c r="P352" s="15"/>
      <c r="Q352" s="14"/>
      <c r="R352" s="15"/>
      <c r="S352" s="110"/>
      <c r="T352" s="110"/>
      <c r="U352" s="14"/>
      <c r="V352" s="15"/>
      <c r="W352" s="14"/>
      <c r="X352" s="15"/>
      <c r="Y352" s="14"/>
      <c r="Z352" s="15"/>
      <c r="AA352" s="14"/>
      <c r="AB352" s="15"/>
      <c r="AC352" s="14"/>
      <c r="AD352" s="120"/>
      <c r="AE352" s="14"/>
      <c r="AF352" s="114"/>
      <c r="AG352" s="110"/>
      <c r="AH352" s="138"/>
      <c r="AI352" s="14"/>
      <c r="AJ352" s="110"/>
      <c r="AK352" s="107"/>
    </row>
    <row r="353" spans="1:37" ht="16.5" customHeight="1" x14ac:dyDescent="0.2">
      <c r="A353" s="6"/>
      <c r="B353" s="135">
        <f t="shared" si="119"/>
        <v>18</v>
      </c>
      <c r="C353" s="135">
        <f>'Kelas XII'!C342</f>
        <v>15976</v>
      </c>
      <c r="D353" s="34" t="str">
        <f>'Kelas XII'!D342</f>
        <v>NAILATUL MUNA</v>
      </c>
      <c r="E353" s="14"/>
      <c r="F353" s="15"/>
      <c r="G353" s="14"/>
      <c r="H353" s="15"/>
      <c r="I353" s="14"/>
      <c r="J353" s="15"/>
      <c r="K353" s="14"/>
      <c r="L353" s="15"/>
      <c r="M353" s="14"/>
      <c r="N353" s="15"/>
      <c r="O353" s="14"/>
      <c r="P353" s="15"/>
      <c r="Q353" s="14"/>
      <c r="R353" s="15"/>
      <c r="S353" s="110"/>
      <c r="T353" s="110"/>
      <c r="U353" s="14"/>
      <c r="V353" s="15"/>
      <c r="W353" s="14"/>
      <c r="X353" s="15"/>
      <c r="Y353" s="14"/>
      <c r="Z353" s="15"/>
      <c r="AA353" s="14"/>
      <c r="AB353" s="15"/>
      <c r="AC353" s="14"/>
      <c r="AD353" s="120"/>
      <c r="AE353" s="14"/>
      <c r="AF353" s="114"/>
      <c r="AG353" s="110"/>
      <c r="AH353" s="138"/>
      <c r="AI353" s="14"/>
      <c r="AJ353" s="110"/>
      <c r="AK353" s="107"/>
    </row>
    <row r="354" spans="1:37" ht="16.5" customHeight="1" x14ac:dyDescent="0.2">
      <c r="A354" s="6"/>
      <c r="B354" s="135">
        <f t="shared" si="119"/>
        <v>19</v>
      </c>
      <c r="C354" s="135">
        <f>'Kelas XII'!C343</f>
        <v>16069</v>
      </c>
      <c r="D354" s="34" t="str">
        <f>'Kelas XII'!D343</f>
        <v>REHANA KHOLIDA AZ-ZAHRA</v>
      </c>
      <c r="E354" s="14"/>
      <c r="F354" s="15"/>
      <c r="G354" s="14"/>
      <c r="H354" s="15"/>
      <c r="I354" s="14"/>
      <c r="J354" s="15"/>
      <c r="K354" s="14"/>
      <c r="L354" s="15"/>
      <c r="M354" s="14"/>
      <c r="N354" s="15"/>
      <c r="O354" s="14"/>
      <c r="P354" s="15"/>
      <c r="Q354" s="14"/>
      <c r="R354" s="15"/>
      <c r="S354" s="110"/>
      <c r="T354" s="110"/>
      <c r="U354" s="14"/>
      <c r="V354" s="15"/>
      <c r="W354" s="14"/>
      <c r="X354" s="15"/>
      <c r="Y354" s="14"/>
      <c r="Z354" s="15"/>
      <c r="AA354" s="14"/>
      <c r="AB354" s="15"/>
      <c r="AC354" s="14"/>
      <c r="AD354" s="120"/>
      <c r="AE354" s="14"/>
      <c r="AF354" s="114"/>
      <c r="AG354" s="110"/>
      <c r="AH354" s="138"/>
      <c r="AI354" s="14"/>
      <c r="AJ354" s="110"/>
      <c r="AK354" s="107"/>
    </row>
    <row r="355" spans="1:37" ht="16.5" customHeight="1" x14ac:dyDescent="0.2">
      <c r="A355" s="6"/>
      <c r="B355" s="135">
        <f t="shared" si="119"/>
        <v>20</v>
      </c>
      <c r="C355" s="135">
        <f>'Kelas XII'!C344</f>
        <v>15980</v>
      </c>
      <c r="D355" s="34" t="str">
        <f>'Kelas XII'!D344</f>
        <v>RIYA FITHRI AZ ZAHROH</v>
      </c>
      <c r="E355" s="14"/>
      <c r="F355" s="15"/>
      <c r="G355" s="14"/>
      <c r="H355" s="15"/>
      <c r="I355" s="14"/>
      <c r="J355" s="15"/>
      <c r="K355" s="14"/>
      <c r="L355" s="15"/>
      <c r="M355" s="14"/>
      <c r="N355" s="15"/>
      <c r="O355" s="14"/>
      <c r="P355" s="15"/>
      <c r="Q355" s="14"/>
      <c r="R355" s="15"/>
      <c r="S355" s="110"/>
      <c r="T355" s="110"/>
      <c r="U355" s="14"/>
      <c r="V355" s="15"/>
      <c r="W355" s="14"/>
      <c r="X355" s="15"/>
      <c r="Y355" s="14"/>
      <c r="Z355" s="15"/>
      <c r="AA355" s="14"/>
      <c r="AB355" s="15"/>
      <c r="AC355" s="14"/>
      <c r="AD355" s="120"/>
      <c r="AE355" s="14"/>
      <c r="AF355" s="114"/>
      <c r="AG355" s="110"/>
      <c r="AH355" s="138"/>
      <c r="AI355" s="14"/>
      <c r="AJ355" s="110"/>
      <c r="AK355" s="107"/>
    </row>
    <row r="356" spans="1:37" ht="16.5" customHeight="1" x14ac:dyDescent="0.2">
      <c r="A356" s="6"/>
      <c r="B356" s="135">
        <f t="shared" si="119"/>
        <v>21</v>
      </c>
      <c r="C356" s="135">
        <f>'Kelas XII'!C345</f>
        <v>16042</v>
      </c>
      <c r="D356" s="34" t="str">
        <f>'Kelas XII'!D345</f>
        <v>SABRINA HAYA ANNUFUS</v>
      </c>
      <c r="E356" s="14"/>
      <c r="F356" s="15"/>
      <c r="G356" s="14"/>
      <c r="H356" s="15"/>
      <c r="I356" s="14"/>
      <c r="J356" s="15"/>
      <c r="K356" s="14"/>
      <c r="L356" s="15"/>
      <c r="M356" s="14"/>
      <c r="N356" s="15"/>
      <c r="O356" s="14"/>
      <c r="P356" s="15"/>
      <c r="Q356" s="14"/>
      <c r="R356" s="15"/>
      <c r="S356" s="110"/>
      <c r="T356" s="110"/>
      <c r="U356" s="14"/>
      <c r="V356" s="15"/>
      <c r="W356" s="14"/>
      <c r="X356" s="15"/>
      <c r="Y356" s="14"/>
      <c r="Z356" s="15"/>
      <c r="AA356" s="14"/>
      <c r="AB356" s="15"/>
      <c r="AC356" s="14"/>
      <c r="AD356" s="120"/>
      <c r="AE356" s="14"/>
      <c r="AF356" s="114"/>
      <c r="AG356" s="110"/>
      <c r="AH356" s="138"/>
      <c r="AI356" s="14"/>
      <c r="AJ356" s="110"/>
      <c r="AK356" s="107"/>
    </row>
    <row r="357" spans="1:37" ht="16.5" customHeight="1" x14ac:dyDescent="0.2">
      <c r="A357" s="6"/>
      <c r="B357" s="135">
        <f t="shared" si="119"/>
        <v>22</v>
      </c>
      <c r="C357" s="135">
        <f>'Kelas XII'!C346</f>
        <v>15984</v>
      </c>
      <c r="D357" s="34" t="str">
        <f>'Kelas XII'!D346</f>
        <v>SHYRNA INDAKA AULIA</v>
      </c>
      <c r="E357" s="14"/>
      <c r="F357" s="15"/>
      <c r="G357" s="14"/>
      <c r="H357" s="15"/>
      <c r="I357" s="14"/>
      <c r="J357" s="15"/>
      <c r="K357" s="14"/>
      <c r="L357" s="15"/>
      <c r="M357" s="14"/>
      <c r="N357" s="15"/>
      <c r="O357" s="14"/>
      <c r="P357" s="15"/>
      <c r="Q357" s="14"/>
      <c r="R357" s="15"/>
      <c r="S357" s="110"/>
      <c r="T357" s="110"/>
      <c r="U357" s="14"/>
      <c r="V357" s="15"/>
      <c r="W357" s="14"/>
      <c r="X357" s="15"/>
      <c r="Y357" s="14"/>
      <c r="Z357" s="15"/>
      <c r="AA357" s="14"/>
      <c r="AB357" s="15"/>
      <c r="AC357" s="14"/>
      <c r="AD357" s="120"/>
      <c r="AE357" s="14"/>
      <c r="AF357" s="114"/>
      <c r="AG357" s="110"/>
      <c r="AH357" s="138"/>
      <c r="AI357" s="14"/>
      <c r="AJ357" s="110"/>
      <c r="AK357" s="107"/>
    </row>
    <row r="358" spans="1:37" ht="16.5" customHeight="1" x14ac:dyDescent="0.2">
      <c r="A358" s="6"/>
      <c r="B358" s="135">
        <f t="shared" si="119"/>
        <v>23</v>
      </c>
      <c r="C358" s="135">
        <f>'Kelas XII'!C347</f>
        <v>15985</v>
      </c>
      <c r="D358" s="34" t="str">
        <f>'Kelas XII'!D347</f>
        <v>SISKA AMELIA</v>
      </c>
      <c r="E358" s="14"/>
      <c r="F358" s="15"/>
      <c r="G358" s="14"/>
      <c r="H358" s="15"/>
      <c r="I358" s="14"/>
      <c r="J358" s="15"/>
      <c r="K358" s="14"/>
      <c r="L358" s="15"/>
      <c r="M358" s="14"/>
      <c r="N358" s="15"/>
      <c r="O358" s="14"/>
      <c r="P358" s="15"/>
      <c r="Q358" s="14"/>
      <c r="R358" s="15"/>
      <c r="S358" s="110"/>
      <c r="T358" s="110"/>
      <c r="U358" s="14"/>
      <c r="V358" s="15"/>
      <c r="W358" s="14"/>
      <c r="X358" s="15"/>
      <c r="Y358" s="14"/>
      <c r="Z358" s="15"/>
      <c r="AA358" s="14"/>
      <c r="AB358" s="15"/>
      <c r="AC358" s="14"/>
      <c r="AD358" s="120"/>
      <c r="AE358" s="14"/>
      <c r="AF358" s="114"/>
      <c r="AG358" s="110"/>
      <c r="AH358" s="138"/>
      <c r="AI358" s="14"/>
      <c r="AJ358" s="110"/>
      <c r="AK358" s="107"/>
    </row>
    <row r="359" spans="1:37" ht="16.5" customHeight="1" x14ac:dyDescent="0.2">
      <c r="A359" s="6"/>
      <c r="B359" s="135">
        <f t="shared" si="119"/>
        <v>24</v>
      </c>
      <c r="C359" s="135">
        <f>'Kelas XII'!C348</f>
        <v>16016</v>
      </c>
      <c r="D359" s="34" t="str">
        <f>'Kelas XII'!D348</f>
        <v>WULAN NOVITA AYU WINDARI</v>
      </c>
      <c r="E359" s="14"/>
      <c r="F359" s="15"/>
      <c r="G359" s="14"/>
      <c r="H359" s="15"/>
      <c r="I359" s="14"/>
      <c r="J359" s="15"/>
      <c r="K359" s="14"/>
      <c r="L359" s="15"/>
      <c r="M359" s="14"/>
      <c r="N359" s="15"/>
      <c r="O359" s="14"/>
      <c r="P359" s="15"/>
      <c r="Q359" s="14"/>
      <c r="R359" s="15"/>
      <c r="S359" s="110"/>
      <c r="T359" s="110"/>
      <c r="U359" s="14"/>
      <c r="V359" s="15"/>
      <c r="W359" s="14"/>
      <c r="X359" s="15"/>
      <c r="Y359" s="14"/>
      <c r="Z359" s="15"/>
      <c r="AA359" s="14"/>
      <c r="AB359" s="15"/>
      <c r="AC359" s="14"/>
      <c r="AD359" s="120"/>
      <c r="AE359" s="14"/>
      <c r="AF359" s="114"/>
      <c r="AG359" s="110"/>
      <c r="AH359" s="138"/>
      <c r="AI359" s="14"/>
      <c r="AJ359" s="110"/>
      <c r="AK359" s="107"/>
    </row>
    <row r="360" spans="1:37" ht="16.5" customHeight="1" x14ac:dyDescent="0.2">
      <c r="A360" s="6"/>
      <c r="B360" s="135">
        <f t="shared" si="119"/>
        <v>25</v>
      </c>
      <c r="C360" s="135">
        <f>'Kelas XII'!C349</f>
        <v>16044</v>
      </c>
      <c r="D360" s="34" t="str">
        <f>'Kelas XII'!D349</f>
        <v>ZAHRA AMELIA RAHMAN</v>
      </c>
      <c r="E360" s="14"/>
      <c r="F360" s="15"/>
      <c r="G360" s="14"/>
      <c r="H360" s="15"/>
      <c r="I360" s="14"/>
      <c r="J360" s="15"/>
      <c r="K360" s="14"/>
      <c r="L360" s="15"/>
      <c r="M360" s="14"/>
      <c r="N360" s="15"/>
      <c r="O360" s="14"/>
      <c r="P360" s="15"/>
      <c r="Q360" s="14"/>
      <c r="R360" s="15"/>
      <c r="S360" s="110"/>
      <c r="T360" s="110"/>
      <c r="U360" s="14"/>
      <c r="V360" s="15"/>
      <c r="W360" s="14"/>
      <c r="X360" s="15"/>
      <c r="Y360" s="14"/>
      <c r="Z360" s="15"/>
      <c r="AA360" s="14"/>
      <c r="AB360" s="15"/>
      <c r="AC360" s="14"/>
      <c r="AD360" s="120"/>
      <c r="AE360" s="14"/>
      <c r="AF360" s="114"/>
      <c r="AG360" s="110"/>
      <c r="AH360" s="138"/>
      <c r="AI360" s="14"/>
      <c r="AJ360" s="110"/>
      <c r="AK360" s="107"/>
    </row>
    <row r="361" spans="1:37" ht="16.5" customHeight="1" x14ac:dyDescent="0.2">
      <c r="A361" s="6"/>
      <c r="B361" s="135">
        <f t="shared" si="119"/>
        <v>26</v>
      </c>
      <c r="C361" s="135">
        <f>'Kelas XII'!C350</f>
        <v>0</v>
      </c>
      <c r="D361" s="34">
        <f>'Kelas XII'!D350</f>
        <v>0</v>
      </c>
      <c r="E361" s="14"/>
      <c r="F361" s="15"/>
      <c r="G361" s="14"/>
      <c r="H361" s="15"/>
      <c r="I361" s="14"/>
      <c r="J361" s="15"/>
      <c r="K361" s="14"/>
      <c r="L361" s="15"/>
      <c r="M361" s="14"/>
      <c r="N361" s="15"/>
      <c r="O361" s="14"/>
      <c r="P361" s="15"/>
      <c r="Q361" s="14"/>
      <c r="R361" s="15"/>
      <c r="S361" s="110"/>
      <c r="T361" s="110"/>
      <c r="U361" s="14"/>
      <c r="V361" s="15"/>
      <c r="W361" s="14"/>
      <c r="X361" s="15"/>
      <c r="Y361" s="14"/>
      <c r="Z361" s="15"/>
      <c r="AA361" s="14"/>
      <c r="AB361" s="15"/>
      <c r="AC361" s="14"/>
      <c r="AD361" s="120"/>
      <c r="AE361" s="14"/>
      <c r="AF361" s="114"/>
      <c r="AG361" s="110"/>
      <c r="AH361" s="138"/>
      <c r="AI361" s="14"/>
      <c r="AJ361" s="110"/>
      <c r="AK361" s="107"/>
    </row>
    <row r="362" spans="1:37" ht="16.5" customHeight="1" x14ac:dyDescent="0.2">
      <c r="A362" s="6"/>
      <c r="B362" s="135">
        <f t="shared" si="119"/>
        <v>27</v>
      </c>
      <c r="C362" s="135">
        <f>'Kelas XII'!C351</f>
        <v>0</v>
      </c>
      <c r="D362" s="34">
        <f>'Kelas XII'!D351</f>
        <v>0</v>
      </c>
      <c r="E362" s="14"/>
      <c r="F362" s="15"/>
      <c r="G362" s="14"/>
      <c r="H362" s="15"/>
      <c r="I362" s="14"/>
      <c r="J362" s="15"/>
      <c r="K362" s="14"/>
      <c r="L362" s="15"/>
      <c r="M362" s="14"/>
      <c r="N362" s="15"/>
      <c r="O362" s="14"/>
      <c r="P362" s="15"/>
      <c r="Q362" s="14"/>
      <c r="R362" s="15"/>
      <c r="S362" s="110"/>
      <c r="T362" s="110"/>
      <c r="U362" s="14"/>
      <c r="V362" s="15"/>
      <c r="W362" s="14"/>
      <c r="X362" s="15"/>
      <c r="Y362" s="14"/>
      <c r="Z362" s="15"/>
      <c r="AA362" s="14"/>
      <c r="AB362" s="15"/>
      <c r="AC362" s="14"/>
      <c r="AD362" s="120"/>
      <c r="AE362" s="14"/>
      <c r="AF362" s="114"/>
      <c r="AG362" s="110"/>
      <c r="AH362" s="138"/>
      <c r="AI362" s="14"/>
      <c r="AJ362" s="110"/>
      <c r="AK362" s="107"/>
    </row>
    <row r="363" spans="1:37" ht="16.5" customHeight="1" x14ac:dyDescent="0.2">
      <c r="A363" s="6"/>
      <c r="B363" s="135">
        <f t="shared" si="119"/>
        <v>28</v>
      </c>
      <c r="C363" s="135">
        <f>'Kelas XII'!C352</f>
        <v>0</v>
      </c>
      <c r="D363" s="34">
        <f>'Kelas XII'!D352</f>
        <v>0</v>
      </c>
      <c r="E363" s="14"/>
      <c r="F363" s="15"/>
      <c r="G363" s="14"/>
      <c r="H363" s="15"/>
      <c r="I363" s="14"/>
      <c r="J363" s="15"/>
      <c r="K363" s="14"/>
      <c r="L363" s="15"/>
      <c r="M363" s="14"/>
      <c r="N363" s="15"/>
      <c r="O363" s="14"/>
      <c r="P363" s="15"/>
      <c r="Q363" s="14"/>
      <c r="R363" s="15"/>
      <c r="S363" s="110"/>
      <c r="T363" s="110"/>
      <c r="U363" s="14"/>
      <c r="V363" s="15"/>
      <c r="W363" s="14"/>
      <c r="X363" s="15"/>
      <c r="Y363" s="14"/>
      <c r="Z363" s="15"/>
      <c r="AA363" s="14"/>
      <c r="AB363" s="15"/>
      <c r="AC363" s="14"/>
      <c r="AD363" s="120"/>
      <c r="AE363" s="14"/>
      <c r="AF363" s="114"/>
      <c r="AG363" s="110"/>
      <c r="AH363" s="138"/>
      <c r="AI363" s="14"/>
      <c r="AJ363" s="110"/>
      <c r="AK363" s="107"/>
    </row>
    <row r="364" spans="1:37" ht="16.5" customHeight="1" x14ac:dyDescent="0.2">
      <c r="A364" s="6"/>
      <c r="B364" s="135">
        <f t="shared" si="119"/>
        <v>29</v>
      </c>
      <c r="C364" s="135">
        <f>'Kelas XII'!C353</f>
        <v>0</v>
      </c>
      <c r="D364" s="34">
        <f>'Kelas XII'!D353</f>
        <v>0</v>
      </c>
      <c r="E364" s="14"/>
      <c r="F364" s="15"/>
      <c r="G364" s="14"/>
      <c r="H364" s="15"/>
      <c r="I364" s="14"/>
      <c r="J364" s="15"/>
      <c r="K364" s="14"/>
      <c r="L364" s="15"/>
      <c r="M364" s="14"/>
      <c r="N364" s="15"/>
      <c r="O364" s="14"/>
      <c r="P364" s="15"/>
      <c r="Q364" s="14"/>
      <c r="R364" s="15"/>
      <c r="S364" s="110"/>
      <c r="T364" s="110"/>
      <c r="U364" s="14"/>
      <c r="V364" s="15"/>
      <c r="W364" s="14"/>
      <c r="X364" s="15"/>
      <c r="Y364" s="14"/>
      <c r="Z364" s="15"/>
      <c r="AA364" s="14"/>
      <c r="AB364" s="15"/>
      <c r="AC364" s="14"/>
      <c r="AD364" s="120"/>
      <c r="AE364" s="14"/>
      <c r="AF364" s="114"/>
      <c r="AG364" s="110"/>
      <c r="AH364" s="138"/>
      <c r="AI364" s="14"/>
      <c r="AJ364" s="110"/>
      <c r="AK364" s="107"/>
    </row>
    <row r="365" spans="1:37" ht="16.5" customHeight="1" x14ac:dyDescent="0.2">
      <c r="A365" s="6"/>
      <c r="B365" s="135">
        <f t="shared" si="119"/>
        <v>30</v>
      </c>
      <c r="C365" s="135">
        <f>'Kelas XII'!C354</f>
        <v>0</v>
      </c>
      <c r="D365" s="34">
        <f>'Kelas XII'!D354</f>
        <v>0</v>
      </c>
      <c r="E365" s="14"/>
      <c r="F365" s="15"/>
      <c r="G365" s="14"/>
      <c r="H365" s="15"/>
      <c r="I365" s="14"/>
      <c r="J365" s="15"/>
      <c r="K365" s="14"/>
      <c r="L365" s="15"/>
      <c r="M365" s="14"/>
      <c r="N365" s="15"/>
      <c r="O365" s="14"/>
      <c r="P365" s="15"/>
      <c r="Q365" s="14"/>
      <c r="R365" s="15"/>
      <c r="S365" s="110"/>
      <c r="T365" s="110"/>
      <c r="U365" s="14"/>
      <c r="V365" s="15"/>
      <c r="W365" s="14"/>
      <c r="X365" s="15"/>
      <c r="Y365" s="14"/>
      <c r="Z365" s="15"/>
      <c r="AA365" s="14"/>
      <c r="AB365" s="15"/>
      <c r="AC365" s="14"/>
      <c r="AD365" s="120"/>
      <c r="AE365" s="14"/>
      <c r="AF365" s="114"/>
      <c r="AG365" s="110"/>
      <c r="AH365" s="138"/>
      <c r="AI365" s="14"/>
      <c r="AJ365" s="110"/>
      <c r="AK365" s="107"/>
    </row>
    <row r="366" spans="1:37" ht="16.5" customHeight="1" x14ac:dyDescent="0.2">
      <c r="A366" s="6"/>
      <c r="B366" s="135">
        <f t="shared" si="119"/>
        <v>31</v>
      </c>
      <c r="C366" s="135">
        <f>'Kelas XII'!C355</f>
        <v>0</v>
      </c>
      <c r="D366" s="34">
        <f>'Kelas XII'!D355</f>
        <v>0</v>
      </c>
      <c r="E366" s="14"/>
      <c r="F366" s="15"/>
      <c r="G366" s="14"/>
      <c r="H366" s="15"/>
      <c r="I366" s="14"/>
      <c r="J366" s="15"/>
      <c r="K366" s="14"/>
      <c r="L366" s="15"/>
      <c r="M366" s="14"/>
      <c r="N366" s="15"/>
      <c r="O366" s="14"/>
      <c r="P366" s="15"/>
      <c r="Q366" s="14"/>
      <c r="R366" s="15"/>
      <c r="S366" s="110"/>
      <c r="T366" s="110"/>
      <c r="U366" s="14"/>
      <c r="V366" s="15"/>
      <c r="W366" s="14"/>
      <c r="X366" s="15"/>
      <c r="Y366" s="14"/>
      <c r="Z366" s="15"/>
      <c r="AA366" s="14"/>
      <c r="AB366" s="15"/>
      <c r="AC366" s="14"/>
      <c r="AD366" s="120"/>
      <c r="AE366" s="14"/>
      <c r="AF366" s="114"/>
      <c r="AG366" s="110"/>
      <c r="AH366" s="138"/>
      <c r="AI366" s="14"/>
      <c r="AJ366" s="110"/>
      <c r="AK366" s="107"/>
    </row>
    <row r="367" spans="1:37" ht="16.5" customHeight="1" x14ac:dyDescent="0.2">
      <c r="A367" s="6"/>
      <c r="B367" s="135">
        <f t="shared" si="119"/>
        <v>32</v>
      </c>
      <c r="C367" s="135">
        <f>'Kelas XII'!C356</f>
        <v>0</v>
      </c>
      <c r="D367" s="34">
        <f>'Kelas XII'!D356</f>
        <v>0</v>
      </c>
      <c r="E367" s="14"/>
      <c r="F367" s="15"/>
      <c r="G367" s="14"/>
      <c r="H367" s="15"/>
      <c r="I367" s="14"/>
      <c r="J367" s="15"/>
      <c r="K367" s="14"/>
      <c r="L367" s="15"/>
      <c r="M367" s="14"/>
      <c r="N367" s="15"/>
      <c r="O367" s="14"/>
      <c r="P367" s="15"/>
      <c r="Q367" s="14"/>
      <c r="R367" s="15"/>
      <c r="S367" s="110"/>
      <c r="T367" s="110"/>
      <c r="U367" s="14"/>
      <c r="V367" s="15"/>
      <c r="W367" s="14"/>
      <c r="X367" s="15"/>
      <c r="Y367" s="14"/>
      <c r="Z367" s="15"/>
      <c r="AA367" s="14"/>
      <c r="AB367" s="15"/>
      <c r="AC367" s="14"/>
      <c r="AD367" s="120"/>
      <c r="AE367" s="14"/>
      <c r="AF367" s="114"/>
      <c r="AG367" s="110"/>
      <c r="AH367" s="138"/>
      <c r="AI367" s="14"/>
      <c r="AJ367" s="110"/>
      <c r="AK367" s="107"/>
    </row>
    <row r="368" spans="1:37" ht="16.5" customHeight="1" x14ac:dyDescent="0.2">
      <c r="A368" s="6"/>
      <c r="B368" s="135">
        <f t="shared" si="119"/>
        <v>33</v>
      </c>
      <c r="C368" s="135">
        <f>'Kelas XII'!C357</f>
        <v>0</v>
      </c>
      <c r="D368" s="34">
        <f>'Kelas XII'!D357</f>
        <v>0</v>
      </c>
      <c r="E368" s="16"/>
      <c r="F368" s="17"/>
      <c r="G368" s="16"/>
      <c r="H368" s="17"/>
      <c r="I368" s="16"/>
      <c r="J368" s="17"/>
      <c r="K368" s="16"/>
      <c r="L368" s="17"/>
      <c r="M368" s="16"/>
      <c r="N368" s="17"/>
      <c r="O368" s="16"/>
      <c r="P368" s="17"/>
      <c r="Q368" s="16"/>
      <c r="R368" s="17"/>
      <c r="S368" s="111"/>
      <c r="T368" s="111"/>
      <c r="U368" s="16"/>
      <c r="V368" s="17"/>
      <c r="W368" s="16"/>
      <c r="X368" s="17"/>
      <c r="Y368" s="16"/>
      <c r="Z368" s="17"/>
      <c r="AA368" s="16"/>
      <c r="AB368" s="17"/>
      <c r="AC368" s="16"/>
      <c r="AD368" s="121"/>
      <c r="AE368" s="16"/>
      <c r="AF368" s="115"/>
      <c r="AG368" s="111"/>
      <c r="AH368" s="139"/>
      <c r="AI368" s="16"/>
      <c r="AJ368" s="111"/>
      <c r="AK368" s="107"/>
    </row>
    <row r="369" spans="1:37" ht="16.5" customHeight="1" x14ac:dyDescent="0.2">
      <c r="A369" s="6"/>
      <c r="B369" s="135">
        <f t="shared" si="119"/>
        <v>34</v>
      </c>
      <c r="C369" s="135">
        <f>'Kelas XII'!C358</f>
        <v>0</v>
      </c>
      <c r="D369" s="34">
        <f>'Kelas XII'!D358</f>
        <v>0</v>
      </c>
      <c r="E369" s="16"/>
      <c r="F369" s="17"/>
      <c r="G369" s="16"/>
      <c r="H369" s="17"/>
      <c r="I369" s="16"/>
      <c r="J369" s="17"/>
      <c r="K369" s="16"/>
      <c r="L369" s="17"/>
      <c r="M369" s="16"/>
      <c r="N369" s="17"/>
      <c r="O369" s="16"/>
      <c r="P369" s="17"/>
      <c r="Q369" s="16"/>
      <c r="R369" s="17"/>
      <c r="S369" s="111"/>
      <c r="T369" s="111"/>
      <c r="U369" s="16"/>
      <c r="V369" s="17"/>
      <c r="W369" s="16"/>
      <c r="X369" s="17"/>
      <c r="Y369" s="16"/>
      <c r="Z369" s="17"/>
      <c r="AA369" s="16"/>
      <c r="AB369" s="17"/>
      <c r="AC369" s="16"/>
      <c r="AD369" s="121"/>
      <c r="AE369" s="16"/>
      <c r="AF369" s="115"/>
      <c r="AG369" s="111"/>
      <c r="AH369" s="139"/>
      <c r="AI369" s="16"/>
      <c r="AJ369" s="111"/>
      <c r="AK369" s="107"/>
    </row>
    <row r="370" spans="1:37" ht="16.5" customHeight="1" x14ac:dyDescent="0.2">
      <c r="A370" s="6"/>
      <c r="B370" s="135">
        <f t="shared" si="119"/>
        <v>35</v>
      </c>
      <c r="C370" s="135">
        <f>'Kelas XII'!C359</f>
        <v>0</v>
      </c>
      <c r="D370" s="34">
        <f>'Kelas XII'!D359</f>
        <v>0</v>
      </c>
      <c r="E370" s="16"/>
      <c r="F370" s="17"/>
      <c r="G370" s="16"/>
      <c r="H370" s="17"/>
      <c r="I370" s="16"/>
      <c r="J370" s="17"/>
      <c r="K370" s="16"/>
      <c r="L370" s="17"/>
      <c r="M370" s="16"/>
      <c r="N370" s="17"/>
      <c r="O370" s="16"/>
      <c r="P370" s="17"/>
      <c r="Q370" s="16"/>
      <c r="R370" s="17"/>
      <c r="S370" s="111"/>
      <c r="T370" s="111"/>
      <c r="U370" s="16"/>
      <c r="V370" s="17"/>
      <c r="W370" s="16"/>
      <c r="X370" s="17"/>
      <c r="Y370" s="16"/>
      <c r="Z370" s="17"/>
      <c r="AA370" s="16"/>
      <c r="AB370" s="17"/>
      <c r="AC370" s="16"/>
      <c r="AD370" s="121"/>
      <c r="AE370" s="16"/>
      <c r="AF370" s="115"/>
      <c r="AG370" s="111"/>
      <c r="AH370" s="139"/>
      <c r="AI370" s="16"/>
      <c r="AJ370" s="111"/>
      <c r="AK370" s="107"/>
    </row>
    <row r="371" spans="1:37" ht="16.5" customHeight="1" x14ac:dyDescent="0.2">
      <c r="A371" s="6"/>
      <c r="B371" s="135">
        <f t="shared" si="119"/>
        <v>36</v>
      </c>
      <c r="C371" s="135">
        <f>'Kelas XII'!C360</f>
        <v>0</v>
      </c>
      <c r="D371" s="34">
        <f>'Kelas XII'!D360</f>
        <v>0</v>
      </c>
      <c r="E371" s="16"/>
      <c r="F371" s="17"/>
      <c r="G371" s="16"/>
      <c r="H371" s="17"/>
      <c r="I371" s="16"/>
      <c r="J371" s="17"/>
      <c r="K371" s="16"/>
      <c r="L371" s="17"/>
      <c r="M371" s="16"/>
      <c r="N371" s="17"/>
      <c r="O371" s="16"/>
      <c r="P371" s="17"/>
      <c r="Q371" s="16"/>
      <c r="R371" s="17"/>
      <c r="S371" s="111"/>
      <c r="T371" s="111"/>
      <c r="U371" s="16"/>
      <c r="V371" s="17"/>
      <c r="W371" s="16"/>
      <c r="X371" s="17"/>
      <c r="Y371" s="16"/>
      <c r="Z371" s="17"/>
      <c r="AA371" s="16"/>
      <c r="AB371" s="17"/>
      <c r="AC371" s="16"/>
      <c r="AD371" s="121"/>
      <c r="AE371" s="16"/>
      <c r="AF371" s="115"/>
      <c r="AG371" s="111"/>
      <c r="AH371" s="139"/>
      <c r="AI371" s="16"/>
      <c r="AJ371" s="111"/>
      <c r="AK371" s="107"/>
    </row>
    <row r="372" spans="1:37" ht="16.5" customHeight="1" x14ac:dyDescent="0.2">
      <c r="A372" s="6"/>
      <c r="B372" s="135">
        <f t="shared" si="119"/>
        <v>37</v>
      </c>
      <c r="C372" s="135">
        <f>'Kelas XII'!C361</f>
        <v>0</v>
      </c>
      <c r="D372" s="34">
        <f>'Kelas XII'!D361</f>
        <v>0</v>
      </c>
      <c r="E372" s="16"/>
      <c r="F372" s="17"/>
      <c r="G372" s="16"/>
      <c r="H372" s="17"/>
      <c r="I372" s="16"/>
      <c r="J372" s="17"/>
      <c r="K372" s="16"/>
      <c r="L372" s="17"/>
      <c r="M372" s="16"/>
      <c r="N372" s="17"/>
      <c r="O372" s="16"/>
      <c r="P372" s="17"/>
      <c r="Q372" s="16"/>
      <c r="R372" s="17"/>
      <c r="S372" s="111"/>
      <c r="T372" s="111"/>
      <c r="U372" s="16"/>
      <c r="V372" s="17"/>
      <c r="W372" s="16"/>
      <c r="X372" s="17"/>
      <c r="Y372" s="16"/>
      <c r="Z372" s="17"/>
      <c r="AA372" s="16"/>
      <c r="AB372" s="17"/>
      <c r="AC372" s="16"/>
      <c r="AD372" s="121"/>
      <c r="AE372" s="16"/>
      <c r="AF372" s="115"/>
      <c r="AG372" s="111"/>
      <c r="AH372" s="139"/>
      <c r="AI372" s="16"/>
      <c r="AJ372" s="111"/>
      <c r="AK372" s="107"/>
    </row>
    <row r="373" spans="1:37" ht="16.5" customHeight="1" thickBot="1" x14ac:dyDescent="0.25">
      <c r="A373" s="6"/>
      <c r="B373" s="143">
        <f t="shared" si="119"/>
        <v>38</v>
      </c>
      <c r="C373" s="143">
        <f>'Kelas XII'!C362</f>
        <v>0</v>
      </c>
      <c r="D373" s="147">
        <f>'Kelas XII'!D362</f>
        <v>0</v>
      </c>
      <c r="E373" s="18"/>
      <c r="F373" s="19"/>
      <c r="G373" s="18"/>
      <c r="H373" s="19"/>
      <c r="I373" s="18"/>
      <c r="J373" s="19"/>
      <c r="K373" s="18"/>
      <c r="L373" s="19"/>
      <c r="M373" s="18"/>
      <c r="N373" s="19"/>
      <c r="O373" s="18"/>
      <c r="P373" s="19"/>
      <c r="Q373" s="18"/>
      <c r="R373" s="19"/>
      <c r="S373" s="112"/>
      <c r="T373" s="112"/>
      <c r="U373" s="18"/>
      <c r="V373" s="19"/>
      <c r="W373" s="18"/>
      <c r="X373" s="19"/>
      <c r="Y373" s="18"/>
      <c r="Z373" s="19"/>
      <c r="AA373" s="18"/>
      <c r="AB373" s="19"/>
      <c r="AC373" s="18"/>
      <c r="AD373" s="122"/>
      <c r="AE373" s="18"/>
      <c r="AF373" s="116"/>
      <c r="AG373" s="112"/>
      <c r="AH373" s="140"/>
      <c r="AI373" s="18"/>
      <c r="AJ373" s="112"/>
      <c r="AK373" s="107"/>
    </row>
    <row r="374" spans="1:37" ht="16.5" customHeight="1" x14ac:dyDescent="0.2">
      <c r="A374" s="6"/>
      <c r="B374" s="6"/>
      <c r="C374" s="20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149"/>
      <c r="AK374" s="6"/>
    </row>
  </sheetData>
  <mergeCells count="216">
    <mergeCell ref="B332:C332"/>
    <mergeCell ref="B333:C333"/>
    <mergeCell ref="D333:D335"/>
    <mergeCell ref="E333:AJ333"/>
    <mergeCell ref="B334:B335"/>
    <mergeCell ref="C334:C335"/>
    <mergeCell ref="E334:F334"/>
    <mergeCell ref="G334:H334"/>
    <mergeCell ref="I334:J334"/>
    <mergeCell ref="K334:L334"/>
    <mergeCell ref="AG334:AH334"/>
    <mergeCell ref="AI334:AJ334"/>
    <mergeCell ref="U334:V334"/>
    <mergeCell ref="W334:X334"/>
    <mergeCell ref="Y334:Z334"/>
    <mergeCell ref="AA334:AB334"/>
    <mergeCell ref="AC334:AD334"/>
    <mergeCell ref="AE334:AF334"/>
    <mergeCell ref="M334:N334"/>
    <mergeCell ref="O334:P334"/>
    <mergeCell ref="Q334:R334"/>
    <mergeCell ref="S334:T334"/>
    <mergeCell ref="B328:C331"/>
    <mergeCell ref="D328:AJ328"/>
    <mergeCell ref="D329:AJ329"/>
    <mergeCell ref="D330:AJ330"/>
    <mergeCell ref="D331:AJ331"/>
    <mergeCell ref="U287:V287"/>
    <mergeCell ref="W287:X287"/>
    <mergeCell ref="Y287:Z287"/>
    <mergeCell ref="AA287:AB287"/>
    <mergeCell ref="AC287:AD287"/>
    <mergeCell ref="AE287:AF287"/>
    <mergeCell ref="B285:C285"/>
    <mergeCell ref="B286:C286"/>
    <mergeCell ref="D286:D288"/>
    <mergeCell ref="E286:AJ286"/>
    <mergeCell ref="B287:B288"/>
    <mergeCell ref="C287:C288"/>
    <mergeCell ref="E287:F287"/>
    <mergeCell ref="G287:H287"/>
    <mergeCell ref="I287:J287"/>
    <mergeCell ref="K287:L287"/>
    <mergeCell ref="AG287:AH287"/>
    <mergeCell ref="AI287:AJ287"/>
    <mergeCell ref="M287:N287"/>
    <mergeCell ref="O287:P287"/>
    <mergeCell ref="Q287:R287"/>
    <mergeCell ref="S287:T287"/>
    <mergeCell ref="B281:C284"/>
    <mergeCell ref="D281:AJ281"/>
    <mergeCell ref="D282:AJ282"/>
    <mergeCell ref="D283:AJ283"/>
    <mergeCell ref="D284:AJ284"/>
    <mergeCell ref="U243:V243"/>
    <mergeCell ref="W243:X243"/>
    <mergeCell ref="Y243:Z243"/>
    <mergeCell ref="AA243:AB243"/>
    <mergeCell ref="AC243:AD243"/>
    <mergeCell ref="AE243:AF243"/>
    <mergeCell ref="B241:C241"/>
    <mergeCell ref="B242:C242"/>
    <mergeCell ref="D242:D244"/>
    <mergeCell ref="E242:AJ242"/>
    <mergeCell ref="B243:B244"/>
    <mergeCell ref="C243:C244"/>
    <mergeCell ref="E243:F243"/>
    <mergeCell ref="G243:H243"/>
    <mergeCell ref="I243:J243"/>
    <mergeCell ref="K243:L243"/>
    <mergeCell ref="AG243:AH243"/>
    <mergeCell ref="AI243:AJ243"/>
    <mergeCell ref="M243:N243"/>
    <mergeCell ref="O243:P243"/>
    <mergeCell ref="Q243:R243"/>
    <mergeCell ref="S243:T243"/>
    <mergeCell ref="B237:C240"/>
    <mergeCell ref="D237:AJ237"/>
    <mergeCell ref="D238:AJ238"/>
    <mergeCell ref="D239:AJ239"/>
    <mergeCell ref="D240:AJ240"/>
    <mergeCell ref="K196:L196"/>
    <mergeCell ref="U196:V196"/>
    <mergeCell ref="W196:X196"/>
    <mergeCell ref="Y196:Z196"/>
    <mergeCell ref="AA196:AB196"/>
    <mergeCell ref="AC196:AD196"/>
    <mergeCell ref="B194:C194"/>
    <mergeCell ref="AC194:AJ194"/>
    <mergeCell ref="B195:C195"/>
    <mergeCell ref="D195:D197"/>
    <mergeCell ref="E195:AJ195"/>
    <mergeCell ref="B196:B197"/>
    <mergeCell ref="C196:C197"/>
    <mergeCell ref="E196:F196"/>
    <mergeCell ref="G196:H196"/>
    <mergeCell ref="I196:J196"/>
    <mergeCell ref="AE196:AF196"/>
    <mergeCell ref="AG196:AH196"/>
    <mergeCell ref="AI196:AJ196"/>
    <mergeCell ref="M196:N196"/>
    <mergeCell ref="O196:P196"/>
    <mergeCell ref="Q196:R196"/>
    <mergeCell ref="S196:T196"/>
    <mergeCell ref="B190:C193"/>
    <mergeCell ref="D190:AJ190"/>
    <mergeCell ref="D191:AJ191"/>
    <mergeCell ref="D192:AJ192"/>
    <mergeCell ref="D193:AJ193"/>
    <mergeCell ref="U149:V149"/>
    <mergeCell ref="W149:X149"/>
    <mergeCell ref="Y149:Z149"/>
    <mergeCell ref="AA149:AB149"/>
    <mergeCell ref="AC149:AD149"/>
    <mergeCell ref="AE149:AF149"/>
    <mergeCell ref="B147:C147"/>
    <mergeCell ref="B148:C148"/>
    <mergeCell ref="D148:D150"/>
    <mergeCell ref="E148:AJ148"/>
    <mergeCell ref="B149:B150"/>
    <mergeCell ref="C149:C150"/>
    <mergeCell ref="E149:F149"/>
    <mergeCell ref="G149:H149"/>
    <mergeCell ref="I149:J149"/>
    <mergeCell ref="K149:L149"/>
    <mergeCell ref="AG149:AH149"/>
    <mergeCell ref="AI149:AJ149"/>
    <mergeCell ref="M149:N149"/>
    <mergeCell ref="O149:P149"/>
    <mergeCell ref="Q149:R149"/>
    <mergeCell ref="S149:T149"/>
    <mergeCell ref="B143:C146"/>
    <mergeCell ref="D143:AJ143"/>
    <mergeCell ref="D144:AJ144"/>
    <mergeCell ref="D145:AJ145"/>
    <mergeCell ref="D146:AJ146"/>
    <mergeCell ref="U102:V102"/>
    <mergeCell ref="W102:X102"/>
    <mergeCell ref="Y102:Z102"/>
    <mergeCell ref="AA102:AB102"/>
    <mergeCell ref="AC102:AD102"/>
    <mergeCell ref="AE102:AF102"/>
    <mergeCell ref="B100:C100"/>
    <mergeCell ref="B101:C101"/>
    <mergeCell ref="D101:D103"/>
    <mergeCell ref="E101:AJ101"/>
    <mergeCell ref="B102:B103"/>
    <mergeCell ref="C102:C103"/>
    <mergeCell ref="E102:F102"/>
    <mergeCell ref="G102:H102"/>
    <mergeCell ref="I102:J102"/>
    <mergeCell ref="K102:L102"/>
    <mergeCell ref="AG102:AH102"/>
    <mergeCell ref="AI102:AJ102"/>
    <mergeCell ref="M102:N102"/>
    <mergeCell ref="O102:P102"/>
    <mergeCell ref="Q102:R102"/>
    <mergeCell ref="S102:T102"/>
    <mergeCell ref="B96:C99"/>
    <mergeCell ref="D96:AJ96"/>
    <mergeCell ref="D97:AJ97"/>
    <mergeCell ref="D98:AJ98"/>
    <mergeCell ref="D99:AJ99"/>
    <mergeCell ref="U55:V55"/>
    <mergeCell ref="W55:X55"/>
    <mergeCell ref="Y55:Z55"/>
    <mergeCell ref="AA55:AB55"/>
    <mergeCell ref="AC55:AD55"/>
    <mergeCell ref="AE55:AF55"/>
    <mergeCell ref="B53:C53"/>
    <mergeCell ref="B54:C54"/>
    <mergeCell ref="D54:D56"/>
    <mergeCell ref="E54:AJ54"/>
    <mergeCell ref="B55:B56"/>
    <mergeCell ref="C55:C56"/>
    <mergeCell ref="E55:F55"/>
    <mergeCell ref="G55:H55"/>
    <mergeCell ref="I55:J55"/>
    <mergeCell ref="K55:L55"/>
    <mergeCell ref="AG55:AH55"/>
    <mergeCell ref="AI55:AJ55"/>
    <mergeCell ref="M55:N55"/>
    <mergeCell ref="O55:P55"/>
    <mergeCell ref="Q55:R55"/>
    <mergeCell ref="S55:T55"/>
    <mergeCell ref="B49:C52"/>
    <mergeCell ref="D49:AJ49"/>
    <mergeCell ref="D50:AJ50"/>
    <mergeCell ref="D51:AJ51"/>
    <mergeCell ref="D52:AJ52"/>
    <mergeCell ref="W8:X8"/>
    <mergeCell ref="Y8:Z8"/>
    <mergeCell ref="AA8:AB8"/>
    <mergeCell ref="AC8:AD8"/>
    <mergeCell ref="AE8:AF8"/>
    <mergeCell ref="AG8:AH8"/>
    <mergeCell ref="B2:C5"/>
    <mergeCell ref="D2:AJ2"/>
    <mergeCell ref="D3:AJ3"/>
    <mergeCell ref="D4:AJ4"/>
    <mergeCell ref="D5:AJ5"/>
    <mergeCell ref="B6:C6"/>
    <mergeCell ref="B7:C7"/>
    <mergeCell ref="D7:D9"/>
    <mergeCell ref="B8:B9"/>
    <mergeCell ref="C8:C9"/>
    <mergeCell ref="E8:F8"/>
    <mergeCell ref="G8:H8"/>
    <mergeCell ref="I8:J8"/>
    <mergeCell ref="K8:L8"/>
    <mergeCell ref="U8:V8"/>
    <mergeCell ref="AI8:AJ8"/>
    <mergeCell ref="M8:N8"/>
    <mergeCell ref="O8:P8"/>
    <mergeCell ref="Q8:R8"/>
    <mergeCell ref="S8:T8"/>
  </mergeCells>
  <printOptions horizontalCentered="1"/>
  <pageMargins left="0.23622047244094499" right="0.39370078740157499" top="0.972440945" bottom="0.23622047244094499" header="0.511811023622047" footer="0.511811023622047"/>
  <pageSetup paperSize="14" scale="60" orientation="landscape" horizontalDpi="360" verticalDpi="360" r:id="rId1"/>
  <headerFooter alignWithMargins="0"/>
  <rowBreaks count="7" manualBreakCount="7">
    <brk id="47" min="1" max="27" man="1"/>
    <brk id="94" min="1" max="27" man="1"/>
    <brk id="141" min="1" max="27" man="1"/>
    <brk id="188" max="16383" man="1"/>
    <brk id="235" max="16383" man="1"/>
    <brk id="279" max="16383" man="1"/>
    <brk id="326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Kelas X</vt:lpstr>
      <vt:lpstr>Absen Piket X</vt:lpstr>
      <vt:lpstr>Kelas XI</vt:lpstr>
      <vt:lpstr>Absen Piket XI</vt:lpstr>
      <vt:lpstr>Kelas XII</vt:lpstr>
      <vt:lpstr>Absen Piket XII</vt:lpstr>
      <vt:lpstr>'Absen Piket X'!Print_Area</vt:lpstr>
      <vt:lpstr>'Absen Piket XI'!Print_Area</vt:lpstr>
      <vt:lpstr>'Absen Piket XII'!Print_Area</vt:lpstr>
      <vt:lpstr>'Kelas X'!Print_Area</vt:lpstr>
      <vt:lpstr>'Kelas XI'!Print_Area</vt:lpstr>
      <vt:lpstr>'Kelas XII'!Print_Area</vt:lpstr>
    </vt:vector>
  </TitlesOfParts>
  <Company>muhammad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dzar</dc:creator>
  <cp:lastModifiedBy>user</cp:lastModifiedBy>
  <cp:lastPrinted>2026-07-18T03:40:49Z</cp:lastPrinted>
  <dcterms:created xsi:type="dcterms:W3CDTF">2010-12-03T02:18:27Z</dcterms:created>
  <dcterms:modified xsi:type="dcterms:W3CDTF">2026-07-22T00:24:52Z</dcterms:modified>
</cp:coreProperties>
</file>